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SCAL\1-FEDERAIS\PIS E COFINS\04_Services - 5000\2026\"/>
    </mc:Choice>
  </mc:AlternateContent>
  <xr:revisionPtr revIDLastSave="0" documentId="13_ncr:1_{6BFA693B-DC51-4DDD-8AED-E9DD45A740E7}" xr6:coauthVersionLast="47" xr6:coauthVersionMax="47" xr10:uidLastSave="{00000000-0000-0000-0000-000000000000}"/>
  <bookViews>
    <workbookView xWindow="-110" yWindow="-110" windowWidth="19420" windowHeight="10300" xr2:uid="{90F0FAC1-33DC-4D73-864B-DA2EF3815EC6}"/>
  </bookViews>
  <sheets>
    <sheet name="Apuração" sheetId="2" r:id="rId1"/>
    <sheet name="Bal 06.2026" sheetId="14" r:id="rId2"/>
    <sheet name="Bal 052026" sheetId="7" r:id="rId3"/>
    <sheet name="Bal 042026" sheetId="6" r:id="rId4"/>
    <sheet name="Bal 032026" sheetId="12" r:id="rId5"/>
    <sheet name="Bal 022026" sheetId="3" r:id="rId6"/>
    <sheet name="Bal 012026" sheetId="1" r:id="rId7"/>
    <sheet name="Bal 12.2026" sheetId="23" r:id="rId8"/>
    <sheet name="Bal 11.2026" sheetId="22" r:id="rId9"/>
    <sheet name="Bal 10.2026" sheetId="21" r:id="rId10"/>
    <sheet name="Bal 09.2026" sheetId="17" r:id="rId11"/>
    <sheet name="Bal 08.2026" sheetId="16" r:id="rId12"/>
    <sheet name="Bal 07.2026" sheetId="15" r:id="rId13"/>
  </sheets>
  <externalReferences>
    <externalReference r:id="rId14"/>
  </externalReferences>
  <definedNames>
    <definedName name="_xlnm._FilterDatabase" localSheetId="6" hidden="1">'Bal 012026'!$A$2:$H$117</definedName>
    <definedName name="_xlnm._FilterDatabase" localSheetId="5" hidden="1">'Bal 022026'!$B$3:$H$108</definedName>
    <definedName name="_xlnm._FilterDatabase" localSheetId="4" hidden="1">'Bal 032026'!$B$1:$H$107</definedName>
    <definedName name="_xlnm._FilterDatabase" localSheetId="3" hidden="1">'Bal 042026'!$B$1:$H$101</definedName>
    <definedName name="_xlnm._FilterDatabase" localSheetId="2" hidden="1">'Bal 052026'!$B$3:$H$102</definedName>
    <definedName name="_xlnm._FilterDatabase" localSheetId="1" hidden="1">'Bal 06.2026'!$B$3:$H$3</definedName>
    <definedName name="_xlnm._FilterDatabase" localSheetId="11" hidden="1">'Bal 08.2026'!$A$3:$G$94</definedName>
    <definedName name="_xlnm._FilterDatabase" localSheetId="8" hidden="1">'Bal 11.2026'!$A$1:$H$95</definedName>
    <definedName name="_xlnm._FilterDatabase" localSheetId="7" hidden="1">'Bal 12.2026'!$A$3:$I$105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171" i="14"/>
  <c r="I122" i="14" l="1"/>
  <c r="I17" i="2"/>
  <c r="I19" i="2" s="1"/>
  <c r="I18" i="2"/>
  <c r="I11" i="2"/>
  <c r="I10" i="2"/>
  <c r="I9" i="2"/>
  <c r="H9" i="2"/>
  <c r="I8" i="2"/>
  <c r="I7" i="2"/>
  <c r="I40" i="2"/>
  <c r="I39" i="2"/>
  <c r="I15" i="2"/>
  <c r="I16" i="2"/>
  <c r="I14" i="2"/>
  <c r="A4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H40" i="2"/>
  <c r="H39" i="2"/>
  <c r="G39" i="2"/>
  <c r="H7" i="2"/>
  <c r="H16" i="2" l="1"/>
  <c r="H15" i="2"/>
  <c r="H14" i="2"/>
  <c r="A23" i="7"/>
  <c r="A4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G9" i="2" l="1"/>
  <c r="H8" i="2"/>
  <c r="H11" i="2" l="1"/>
  <c r="H10" i="2"/>
  <c r="F41" i="2"/>
  <c r="F42" i="2"/>
  <c r="F40" i="2"/>
  <c r="F39" i="2"/>
  <c r="E39" i="2"/>
  <c r="G15" i="2" l="1"/>
  <c r="G14" i="2"/>
  <c r="G8" i="2"/>
  <c r="G7" i="2"/>
  <c r="A4" i="6" l="1"/>
  <c r="A18" i="6"/>
  <c r="G40" i="2" l="1"/>
  <c r="G16" i="2"/>
  <c r="G17" i="2" s="1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E41" i="2"/>
  <c r="E9" i="2"/>
  <c r="F16" i="2"/>
  <c r="A97" i="12" l="1"/>
  <c r="E16" i="2"/>
  <c r="F14" i="2" l="1"/>
  <c r="F17" i="2" s="1"/>
  <c r="F8" i="2"/>
  <c r="F7" i="2"/>
  <c r="F9" i="2" s="1"/>
  <c r="E8" i="2"/>
  <c r="D8" i="2"/>
  <c r="D7" i="2"/>
  <c r="E7" i="2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E40" i="2" l="1"/>
  <c r="D40" i="2"/>
  <c r="D39" i="2"/>
  <c r="D16" i="2" l="1"/>
  <c r="A117" i="1"/>
  <c r="D15" i="2"/>
  <c r="D14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3" i="1"/>
  <c r="L7" i="2"/>
  <c r="D17" i="2" l="1"/>
  <c r="D19" i="2" s="1"/>
  <c r="D9" i="2"/>
  <c r="O40" i="2"/>
  <c r="O39" i="2"/>
  <c r="N40" i="2"/>
  <c r="N39" i="2"/>
  <c r="O8" i="2" l="1"/>
  <c r="O16" i="2"/>
  <c r="O15" i="2"/>
  <c r="O14" i="2"/>
  <c r="O7" i="2"/>
  <c r="O9" i="2" l="1"/>
  <c r="H30" i="23"/>
  <c r="H28" i="23"/>
  <c r="N7" i="2" l="1"/>
  <c r="N9" i="2" s="1"/>
  <c r="N16" i="2"/>
  <c r="N15" i="2"/>
  <c r="N14" i="2"/>
  <c r="M7" i="2"/>
  <c r="H30" i="22"/>
  <c r="H28" i="22"/>
  <c r="H30" i="21" l="1"/>
  <c r="H28" i="21"/>
  <c r="M39" i="2"/>
  <c r="M40" i="2"/>
  <c r="L40" i="2"/>
  <c r="L39" i="2"/>
  <c r="M16" i="2" l="1"/>
  <c r="M15" i="2"/>
  <c r="M14" i="2"/>
  <c r="M17" i="2" l="1"/>
  <c r="K39" i="2"/>
  <c r="J39" i="2"/>
  <c r="M19" i="2" l="1"/>
  <c r="M18" i="2"/>
  <c r="M9" i="2"/>
  <c r="L16" i="2"/>
  <c r="L15" i="2"/>
  <c r="L14" i="2"/>
  <c r="M10" i="2" l="1"/>
  <c r="M21" i="2" s="1"/>
  <c r="M11" i="2"/>
  <c r="M22" i="2" s="1"/>
  <c r="M34" i="2"/>
  <c r="M30" i="2"/>
  <c r="K40" i="2"/>
  <c r="K14" i="2"/>
  <c r="K16" i="2"/>
  <c r="K15" i="2"/>
  <c r="K7" i="2"/>
  <c r="K17" i="2" l="1"/>
  <c r="K19" i="2" s="1"/>
  <c r="K18" i="2" l="1"/>
  <c r="J16" i="2"/>
  <c r="J40" i="2" l="1"/>
  <c r="J15" i="2" l="1"/>
  <c r="J14" i="2"/>
  <c r="J7" i="2"/>
  <c r="O17" i="2" l="1"/>
  <c r="O19" i="2" s="1"/>
  <c r="N17" i="2"/>
  <c r="N19" i="2" s="1"/>
  <c r="L17" i="2"/>
  <c r="O10" i="2"/>
  <c r="N10" i="2"/>
  <c r="L9" i="2"/>
  <c r="L10" i="2" s="1"/>
  <c r="K9" i="2"/>
  <c r="L19" i="2" l="1"/>
  <c r="L18" i="2"/>
  <c r="K11" i="2"/>
  <c r="K22" i="2" s="1"/>
  <c r="K34" i="2" s="1"/>
  <c r="K10" i="2"/>
  <c r="K21" i="2" s="1"/>
  <c r="K30" i="2" s="1"/>
  <c r="M32" i="2"/>
  <c r="N18" i="2"/>
  <c r="N21" i="2" s="1"/>
  <c r="O18" i="2"/>
  <c r="O21" i="2" s="1"/>
  <c r="O30" i="2" s="1"/>
  <c r="O32" i="2" s="1"/>
  <c r="L11" i="2"/>
  <c r="L22" i="2" s="1"/>
  <c r="L34" i="2" s="1"/>
  <c r="M36" i="2"/>
  <c r="N11" i="2"/>
  <c r="N22" i="2" s="1"/>
  <c r="O11" i="2"/>
  <c r="O22" i="2" s="1"/>
  <c r="O34" i="2" l="1"/>
  <c r="O36" i="2" s="1"/>
  <c r="N34" i="2"/>
  <c r="N36" i="2" s="1"/>
  <c r="N30" i="2"/>
  <c r="N32" i="2" s="1"/>
  <c r="L21" i="2"/>
  <c r="L30" i="2" s="1"/>
  <c r="K32" i="2"/>
  <c r="L36" i="2"/>
  <c r="K36" i="2"/>
  <c r="H17" i="2"/>
  <c r="H18" i="2" s="1"/>
  <c r="L32" i="2" l="1"/>
  <c r="E14" i="2"/>
  <c r="E15" i="2"/>
  <c r="E17" i="2" l="1"/>
  <c r="H19" i="2"/>
  <c r="J9" i="2"/>
  <c r="G11" i="2"/>
  <c r="F11" i="2"/>
  <c r="E11" i="2"/>
  <c r="E19" i="2" l="1"/>
  <c r="E22" i="2" s="1"/>
  <c r="E42" i="2" s="1"/>
  <c r="E18" i="2"/>
  <c r="J11" i="2"/>
  <c r="J10" i="2"/>
  <c r="D10" i="2"/>
  <c r="D11" i="2"/>
  <c r="D22" i="2" s="1"/>
  <c r="J17" i="2"/>
  <c r="J19" i="2" s="1"/>
  <c r="D18" i="2"/>
  <c r="F18" i="2"/>
  <c r="G18" i="2"/>
  <c r="H21" i="2"/>
  <c r="H41" i="2" s="1"/>
  <c r="H22" i="2"/>
  <c r="H42" i="2" s="1"/>
  <c r="E10" i="2"/>
  <c r="G10" i="2"/>
  <c r="F10" i="2"/>
  <c r="G21" i="2" l="1"/>
  <c r="G41" i="2" s="1"/>
  <c r="E21" i="2"/>
  <c r="D21" i="2"/>
  <c r="H34" i="2"/>
  <c r="H36" i="2" s="1"/>
  <c r="H30" i="2"/>
  <c r="H32" i="2" s="1"/>
  <c r="J22" i="2"/>
  <c r="J34" i="2" s="1"/>
  <c r="I30" i="2"/>
  <c r="G19" i="2"/>
  <c r="G22" i="2" s="1"/>
  <c r="G42" i="2" s="1"/>
  <c r="J18" i="2"/>
  <c r="J21" i="2" s="1"/>
  <c r="J30" i="2" s="1"/>
  <c r="F19" i="2"/>
  <c r="F22" i="2" s="1"/>
  <c r="F21" i="2"/>
  <c r="G30" i="2"/>
  <c r="G34" i="2" l="1"/>
  <c r="G36" i="2" s="1"/>
  <c r="E30" i="2"/>
  <c r="E32" i="2" s="1"/>
  <c r="I34" i="2"/>
  <c r="I36" i="2" s="1"/>
  <c r="D30" i="2"/>
  <c r="D32" i="2" s="1"/>
  <c r="F30" i="2"/>
  <c r="F32" i="2" s="1"/>
  <c r="D34" i="2"/>
  <c r="D36" i="2" s="1"/>
  <c r="F34" i="2"/>
  <c r="F36" i="2" s="1"/>
  <c r="I32" i="2"/>
  <c r="J32" i="2"/>
  <c r="J36" i="2"/>
  <c r="G32" i="2"/>
  <c r="E34" i="2" l="1"/>
  <c r="E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tc={E76AB684-EF27-4B40-9753-6EE2116FC30C}</author>
  </authors>
  <commentList>
    <comment ref="E16" authorId="0" shapeId="0" xr:uid="{E76AB684-EF27-4B40-9753-6EE2116FC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Impostos restituídos Sompo do Brasil</t>
      </text>
    </comment>
  </commentList>
</comments>
</file>

<file path=xl/sharedStrings.xml><?xml version="1.0" encoding="utf-8"?>
<sst xmlns="http://schemas.openxmlformats.org/spreadsheetml/2006/main" count="1930" uniqueCount="457">
  <si>
    <t>Conta do Razão</t>
  </si>
  <si>
    <t>BCO SANTANDER</t>
  </si>
  <si>
    <t>BCO SANTANDER SAIDA</t>
  </si>
  <si>
    <t>FD ÑEX CUV VC CP DPV</t>
  </si>
  <si>
    <t>SOMPO SEG REC RECEIT</t>
  </si>
  <si>
    <t>CRED OPR CONCILIAÇÃO</t>
  </si>
  <si>
    <t>OUTROS CRÉD.RECEBER</t>
  </si>
  <si>
    <t>IR RETIDO S/APL FIN</t>
  </si>
  <si>
    <t>IR RETIDO SERV PREST</t>
  </si>
  <si>
    <t>CSLL RETIDO A COMP</t>
  </si>
  <si>
    <t>PIS RETIDO A COMP</t>
  </si>
  <si>
    <t>COFINS RETIDO A COMP</t>
  </si>
  <si>
    <t>CRÉDITOS RECEBER-LP</t>
  </si>
  <si>
    <t>FORN BENS SERVIÇOS</t>
  </si>
  <si>
    <t>COFINS A RECOLHER</t>
  </si>
  <si>
    <t>PIS/PASEP A RECOLHER</t>
  </si>
  <si>
    <t>ISS S/FATURAMENTO</t>
  </si>
  <si>
    <t>RESULTADO EXERCÍCIO</t>
  </si>
  <si>
    <t>RECEITAS PREST SERV</t>
  </si>
  <si>
    <t>FDO ÑEX VC (DPV)GAIN</t>
  </si>
  <si>
    <t>JUROS S/CRED.TRIBUT</t>
  </si>
  <si>
    <t>OUTRAS REC.FINAN EV</t>
  </si>
  <si>
    <t>TARIFA MANUTENÇÃO BA</t>
  </si>
  <si>
    <t>COFINS</t>
  </si>
  <si>
    <t>PIS</t>
  </si>
  <si>
    <t>ISS S/ PRESTAC.SERV</t>
  </si>
  <si>
    <t>MULTAS P/PGTO ATRASO</t>
  </si>
  <si>
    <t>CONTA ZERO BALANCE</t>
  </si>
  <si>
    <t>PIS SOBRE RECEITA FINANCEIRA(0,65%)</t>
  </si>
  <si>
    <t>PIS SOBRE RECEITA (1,65%)</t>
  </si>
  <si>
    <t>COFINS SOBRE RECEITA (7,60%)</t>
  </si>
  <si>
    <t>COFINS SOBRE RECEITA FINANCEIRA (4,00%)</t>
  </si>
  <si>
    <t>Apuração PIS/COFINS - SAP</t>
  </si>
  <si>
    <t>SOMPO SERVICES</t>
  </si>
  <si>
    <t>TOTAL RECEITAS PRESTAÇÃO DE SERVIÇO</t>
  </si>
  <si>
    <t>RECEITAS - PRESTAÇÃO DE SERVIÇO</t>
  </si>
  <si>
    <t>RECEITAS FINANCEIRAS</t>
  </si>
  <si>
    <t>PROVISÃO PARA IRPJ</t>
  </si>
  <si>
    <t>PROVISÃO PARA CSLL</t>
  </si>
  <si>
    <t>ANTECIPAÇÃO DE IRPJ</t>
  </si>
  <si>
    <t>ANTECIPAÇÃO DE CSLL</t>
  </si>
  <si>
    <t>PROV FORNECEDOR CP</t>
  </si>
  <si>
    <t>PIS A RECOLHER</t>
  </si>
  <si>
    <t>CONTABILIZAÇÃO</t>
  </si>
  <si>
    <t>OUTRAS OBRIG.PAGAR</t>
  </si>
  <si>
    <t>TX DIVERSAS / AVERB</t>
  </si>
  <si>
    <t>CSLL A COMPENSAR CP</t>
  </si>
  <si>
    <t>EQTOS DE INFORMATICA</t>
  </si>
  <si>
    <t>TELECOMUNICAÇÕES</t>
  </si>
  <si>
    <t>DEP.ACUM EQTO INFORM</t>
  </si>
  <si>
    <t>DEP.ACUM TELECOMUNIC</t>
  </si>
  <si>
    <t>AÇÕES ORDINÁRIAS</t>
  </si>
  <si>
    <t>IRPJ ANO CORRENTE</t>
  </si>
  <si>
    <t>CSLL ANO CORRENTE</t>
  </si>
  <si>
    <t>IRPJ A COMPENSAR CP</t>
  </si>
  <si>
    <t>SOMPO SEG A REC</t>
  </si>
  <si>
    <t>SERVIÇOS HOSPEDAGEM</t>
  </si>
  <si>
    <t>DARF</t>
  </si>
  <si>
    <t>(-) ANTECIPACAO IRPJ</t>
  </si>
  <si>
    <t>(-) ANTECIPAÇÃO CSLL</t>
  </si>
  <si>
    <t>RETIDOS do Mes PIS</t>
  </si>
  <si>
    <t>RETIDOS do Mês COFINS</t>
  </si>
  <si>
    <t>Compensação Saldo Residual PIS</t>
  </si>
  <si>
    <t>Compensação Saldo Residual COFINS</t>
  </si>
  <si>
    <t>BANCO  SANTANDER</t>
  </si>
  <si>
    <t>Clientes SompoRisk</t>
  </si>
  <si>
    <t>IRF TERCEIROS RECOL</t>
  </si>
  <si>
    <t>PIS/COFINS/CSLL TERC</t>
  </si>
  <si>
    <t>Receita SompoRisk</t>
  </si>
  <si>
    <t>DESP.COBRANÇA DIRETO</t>
  </si>
  <si>
    <t>Prov Rep. Com. Risk</t>
  </si>
  <si>
    <t>01.2026</t>
  </si>
  <si>
    <t>02.2026</t>
  </si>
  <si>
    <t>03.2026</t>
  </si>
  <si>
    <t>04.2026</t>
  </si>
  <si>
    <t>05.2026</t>
  </si>
  <si>
    <t>06.2026</t>
  </si>
  <si>
    <t>07.2026</t>
  </si>
  <si>
    <t>08.2026</t>
  </si>
  <si>
    <t>09.2026</t>
  </si>
  <si>
    <t>10.2026</t>
  </si>
  <si>
    <t>11.2026</t>
  </si>
  <si>
    <t>12.2026</t>
  </si>
  <si>
    <t>SALVADO VEND RECEBER</t>
  </si>
  <si>
    <t>OUTRAS DESP.FIN.EVEN</t>
  </si>
  <si>
    <t>Table</t>
  </si>
  <si>
    <t/>
  </si>
  <si>
    <t>Exercício/período</t>
  </si>
  <si>
    <t>002.2026</t>
  </si>
  <si>
    <t>Saldo Anterior</t>
  </si>
  <si>
    <t>Débitos</t>
  </si>
  <si>
    <t>Créditos</t>
  </si>
  <si>
    <t>Movimento</t>
  </si>
  <si>
    <t>Saldo Acumulado</t>
  </si>
  <si>
    <t>Desp. Repasse Risk</t>
  </si>
  <si>
    <t>TOTAL RECEITAS FINANCEIRA</t>
  </si>
  <si>
    <t>Check</t>
  </si>
  <si>
    <t>003.2026</t>
  </si>
  <si>
    <t>C596</t>
  </si>
  <si>
    <t>PLANO DE CONTAS SUSE</t>
  </si>
  <si>
    <t>C5961</t>
  </si>
  <si>
    <t>ATIVO</t>
  </si>
  <si>
    <t>C59611</t>
  </si>
  <si>
    <t>CIRCULANTE</t>
  </si>
  <si>
    <t>C596111</t>
  </si>
  <si>
    <t>DISPONÍVEL</t>
  </si>
  <si>
    <t>C5961113</t>
  </si>
  <si>
    <t>BANCOS CONTA DEPÓSIT</t>
  </si>
  <si>
    <t>C59611131</t>
  </si>
  <si>
    <t>C596112</t>
  </si>
  <si>
    <t>APLICAÇÕES</t>
  </si>
  <si>
    <t>C5961126</t>
  </si>
  <si>
    <t>QUOTAS DE FUNDOS DE</t>
  </si>
  <si>
    <t>C59611261</t>
  </si>
  <si>
    <t>VINCULADAS À COBERTU</t>
  </si>
  <si>
    <t>C596112612</t>
  </si>
  <si>
    <t>QUOTAS DE OUTROS FUN</t>
  </si>
  <si>
    <t>C5961126121</t>
  </si>
  <si>
    <t>VALOR ORIGINAL</t>
  </si>
  <si>
    <t>C596113</t>
  </si>
  <si>
    <t>CRÉDITOS DAS OPERAÇÕ</t>
  </si>
  <si>
    <t>C5961138</t>
  </si>
  <si>
    <t>OUTROS CRÉDITOS OPER</t>
  </si>
  <si>
    <t>C59611388</t>
  </si>
  <si>
    <t>OUTROS CRÉDITOS</t>
  </si>
  <si>
    <t>C596114</t>
  </si>
  <si>
    <t>TÍTULOS E CRÉDITOS A</t>
  </si>
  <si>
    <t>C5961141</t>
  </si>
  <si>
    <t>CRÉDITOS A RECEBER</t>
  </si>
  <si>
    <t>C59611418</t>
  </si>
  <si>
    <t>OUTROS CRÉDITOS A RE</t>
  </si>
  <si>
    <t>C5961144</t>
  </si>
  <si>
    <t>CRÉDITOS TRIBUTÁRIOS</t>
  </si>
  <si>
    <t>C59611441</t>
  </si>
  <si>
    <t>CRÉDITOS DE IMPOSTO</t>
  </si>
  <si>
    <t>C596114411</t>
  </si>
  <si>
    <t>IMPOSTO DE RENDA A C</t>
  </si>
  <si>
    <t>C59611442</t>
  </si>
  <si>
    <t>CRÉDITOS DE CONTRIBU</t>
  </si>
  <si>
    <t>C596114421</t>
  </si>
  <si>
    <t>CONTRIBUIÇÃO SOCIAL</t>
  </si>
  <si>
    <t>C59612</t>
  </si>
  <si>
    <t>ATIVO NÃO CIRCULANTE</t>
  </si>
  <si>
    <t>C596121</t>
  </si>
  <si>
    <t>REALIZÁVEL A LONGO P</t>
  </si>
  <si>
    <t>C5961213</t>
  </si>
  <si>
    <t>C59612131</t>
  </si>
  <si>
    <t>C596121311</t>
  </si>
  <si>
    <t>C596123</t>
  </si>
  <si>
    <t>IMOBILIZADO</t>
  </si>
  <si>
    <t>C5961232</t>
  </si>
  <si>
    <t>EQUIPAMENTOS</t>
  </si>
  <si>
    <t>C59612321</t>
  </si>
  <si>
    <t>INFORMÁTICA</t>
  </si>
  <si>
    <t>C596123211</t>
  </si>
  <si>
    <t>HARDWARE</t>
  </si>
  <si>
    <t>C59612322</t>
  </si>
  <si>
    <t>C59612329</t>
  </si>
  <si>
    <t>DEPRECIAÇÃO ACUMULAD</t>
  </si>
  <si>
    <t>C596123291</t>
  </si>
  <si>
    <t>C5962</t>
  </si>
  <si>
    <t>PASSIVO</t>
  </si>
  <si>
    <t>C59621</t>
  </si>
  <si>
    <t>C596211</t>
  </si>
  <si>
    <t>CONTAS A PAGAR</t>
  </si>
  <si>
    <t>C5962111</t>
  </si>
  <si>
    <t>OBRIGAÇÕES A PAGAR</t>
  </si>
  <si>
    <t>C59621111</t>
  </si>
  <si>
    <t>FORNECEDORES</t>
  </si>
  <si>
    <t>C59621119</t>
  </si>
  <si>
    <t>OUTRAS OBRIGAÇÕES A</t>
  </si>
  <si>
    <t>C596211198</t>
  </si>
  <si>
    <t>OUTRAS OBRIGAÇÕES</t>
  </si>
  <si>
    <t>C5962112</t>
  </si>
  <si>
    <t>IMPOSTOS E ENCARGOS</t>
  </si>
  <si>
    <t>C59621122</t>
  </si>
  <si>
    <t>IMPOSTO DE RENDA RET</t>
  </si>
  <si>
    <t>C59621128</t>
  </si>
  <si>
    <t>OUTROS IMPOSTOS E EN</t>
  </si>
  <si>
    <t>C5962116</t>
  </si>
  <si>
    <t>IMPOSTOS E CONTRIBUI</t>
  </si>
  <si>
    <t>C59621161</t>
  </si>
  <si>
    <t>IMPOSTO DE RENDA</t>
  </si>
  <si>
    <t>C596211611</t>
  </si>
  <si>
    <t>C596211612</t>
  </si>
  <si>
    <t>(-) ANTECIPAÇÃO DE I</t>
  </si>
  <si>
    <t>C59621162</t>
  </si>
  <si>
    <t>C596211621</t>
  </si>
  <si>
    <t>C596211622</t>
  </si>
  <si>
    <t>(-) ANTECIPAÇÃO DE C</t>
  </si>
  <si>
    <t>C59624</t>
  </si>
  <si>
    <t>PATRIMÔNIO LÍQUIDO O</t>
  </si>
  <si>
    <t>C596241</t>
  </si>
  <si>
    <t>PATRIMÔNIO LÍQUIDO</t>
  </si>
  <si>
    <t>C5962411</t>
  </si>
  <si>
    <t>CAPITAL SOCIAL</t>
  </si>
  <si>
    <t>C59624111</t>
  </si>
  <si>
    <t>CAPITAL NACIONAL</t>
  </si>
  <si>
    <t>C596241111</t>
  </si>
  <si>
    <t>C5962418</t>
  </si>
  <si>
    <t>LUCROS OU PREJUÍZOS</t>
  </si>
  <si>
    <t>C59624184</t>
  </si>
  <si>
    <t>RESULTADO DO EXERCÍC</t>
  </si>
  <si>
    <t>C5963</t>
  </si>
  <si>
    <t>RESULTADO</t>
  </si>
  <si>
    <t>C59631</t>
  </si>
  <si>
    <t>OPERAÇÕES DE SEGUROS</t>
  </si>
  <si>
    <t>C596315</t>
  </si>
  <si>
    <t>OUTRAS RECEITAS E DE</t>
  </si>
  <si>
    <t>C5963151</t>
  </si>
  <si>
    <t>OUTRAS RECEITAS OPER</t>
  </si>
  <si>
    <t>C59631518</t>
  </si>
  <si>
    <t>OUTRAS RECEITAS COM</t>
  </si>
  <si>
    <t>C596315189</t>
  </si>
  <si>
    <t>OUTRAS RECEITAS</t>
  </si>
  <si>
    <t>C5963151898</t>
  </si>
  <si>
    <t>OUTRAS</t>
  </si>
  <si>
    <t>C5963152</t>
  </si>
  <si>
    <t>OUTRAS DESPESAS OPER</t>
  </si>
  <si>
    <t>C59631528</t>
  </si>
  <si>
    <t>OUTRAS DESPESAS COM</t>
  </si>
  <si>
    <t>C596315289</t>
  </si>
  <si>
    <t>OUTRAS DESPESAS</t>
  </si>
  <si>
    <t>C5963152898</t>
  </si>
  <si>
    <t>Rep. Comer. Risk</t>
  </si>
  <si>
    <t>C59635</t>
  </si>
  <si>
    <t>DESPESAS ADMINISTRAT</t>
  </si>
  <si>
    <t>C596352</t>
  </si>
  <si>
    <t>DESPESAS COM SERVIÇO</t>
  </si>
  <si>
    <t>C5963521</t>
  </si>
  <si>
    <t>C59635211</t>
  </si>
  <si>
    <t>REMUNERAÇÃO POR SERV</t>
  </si>
  <si>
    <t>C596352118</t>
  </si>
  <si>
    <t>ANÁLISE DE DADOS</t>
  </si>
  <si>
    <t>MANUTENÇÃO DE SISTEM</t>
  </si>
  <si>
    <t>C596353</t>
  </si>
  <si>
    <t>DESPESAS COM LOCALIZ</t>
  </si>
  <si>
    <t>C5963531</t>
  </si>
  <si>
    <t>C59635312</t>
  </si>
  <si>
    <t>DESPESAS COM EXPEDIE</t>
  </si>
  <si>
    <t>C596353125</t>
  </si>
  <si>
    <t>DESPESAS BANCÁRIAS</t>
  </si>
  <si>
    <t>C596355</t>
  </si>
  <si>
    <t>DESPESAS COM TRIBUTO</t>
  </si>
  <si>
    <t>C5963551</t>
  </si>
  <si>
    <t>C59635512</t>
  </si>
  <si>
    <t>CONTRIBUIÇÕES</t>
  </si>
  <si>
    <t>C596355121</t>
  </si>
  <si>
    <t>SOBRE OPERAÇÕES DE S</t>
  </si>
  <si>
    <t>C5963551211</t>
  </si>
  <si>
    <t>C5963551212</t>
  </si>
  <si>
    <t>PIS/PASEP</t>
  </si>
  <si>
    <t>C59635518</t>
  </si>
  <si>
    <t>OUTROS</t>
  </si>
  <si>
    <t>C596355188</t>
  </si>
  <si>
    <t>OUTROS TRIBUTOS</t>
  </si>
  <si>
    <t>C596358</t>
  </si>
  <si>
    <t>OUTRAS DESPESAS ADMI</t>
  </si>
  <si>
    <t>C5963581</t>
  </si>
  <si>
    <t>C59635811</t>
  </si>
  <si>
    <t>DESPESAS DIVERSAS</t>
  </si>
  <si>
    <t>C596358113</t>
  </si>
  <si>
    <t>MULTAS</t>
  </si>
  <si>
    <t>C59636</t>
  </si>
  <si>
    <t>RESULTADO FINANCEIRO</t>
  </si>
  <si>
    <t>C596361</t>
  </si>
  <si>
    <t>C5963619</t>
  </si>
  <si>
    <t>OUTRAS RECEITAS FINA</t>
  </si>
  <si>
    <t>C59636192</t>
  </si>
  <si>
    <t>RECEITAS C/ CRÉDITOS</t>
  </si>
  <si>
    <t>C596361921</t>
  </si>
  <si>
    <t>JUROS</t>
  </si>
  <si>
    <t>C59636195</t>
  </si>
  <si>
    <t>RECEITAS COM FUNDOS</t>
  </si>
  <si>
    <t>C596361951</t>
  </si>
  <si>
    <t>FUNDOS DE INVEST ESP</t>
  </si>
  <si>
    <t>C5963619511</t>
  </si>
  <si>
    <t>FUNDOS ESPEC CONSTIT</t>
  </si>
  <si>
    <t>C59636195111</t>
  </si>
  <si>
    <t>VALORIZAÇÃO DA QUOTA</t>
  </si>
  <si>
    <t>C59636199</t>
  </si>
  <si>
    <t>C596361998</t>
  </si>
  <si>
    <t>C596362</t>
  </si>
  <si>
    <t>DESPESAS FINANCEIRAS</t>
  </si>
  <si>
    <t>C5963629</t>
  </si>
  <si>
    <t>OUTRAS DESPESAS FINA</t>
  </si>
  <si>
    <t>C59636299</t>
  </si>
  <si>
    <t>C596362998</t>
  </si>
  <si>
    <t>C59639</t>
  </si>
  <si>
    <t>IMPOSTOS E PARTICIPA</t>
  </si>
  <si>
    <t>C596391</t>
  </si>
  <si>
    <t>C5963911</t>
  </si>
  <si>
    <t>C59639111</t>
  </si>
  <si>
    <t>C596391111</t>
  </si>
  <si>
    <t>C596391112</t>
  </si>
  <si>
    <t>Não atrib. Conta do Razão(s)</t>
  </si>
  <si>
    <t>001.2026</t>
  </si>
  <si>
    <t>C596114412</t>
  </si>
  <si>
    <t>ANTECIPAÇÃO DE IMPOS</t>
  </si>
  <si>
    <t>C596114422</t>
  </si>
  <si>
    <t>ANTECIPAÇÃO DE CONTR</t>
  </si>
  <si>
    <t>C59631522</t>
  </si>
  <si>
    <t>DESPESAS COM COBRANÇ</t>
  </si>
  <si>
    <t>C596315221</t>
  </si>
  <si>
    <t>DIRETO</t>
  </si>
  <si>
    <t>004.2026</t>
  </si>
  <si>
    <t>PLANO DE CONTAS CONS</t>
  </si>
  <si>
    <t>PRÊMIOS A RECEBER</t>
  </si>
  <si>
    <t>PRÊMIOS - RISCOS VIG</t>
  </si>
  <si>
    <t>AJUSTES TEMPORAIS</t>
  </si>
  <si>
    <t>CRÉDITOS DE COFINS E</t>
  </si>
  <si>
    <t>COFINS A COMPENSAR</t>
  </si>
  <si>
    <t>PIS A COMPENSAR</t>
  </si>
  <si>
    <t>OUTROS CRÉDITOS TRIB</t>
  </si>
  <si>
    <t>CUSTO DE AQUISIÇÃO</t>
  </si>
  <si>
    <t>OUTROS CUSTOS DE AQU</t>
  </si>
  <si>
    <t>IMPOSTOS</t>
  </si>
  <si>
    <t>IMPOSTOS MUNICIPAIS</t>
  </si>
  <si>
    <t>JUDICIAIS</t>
  </si>
  <si>
    <t>DESPESAS LEGAIS E JU</t>
  </si>
  <si>
    <t>G517</t>
  </si>
  <si>
    <t>G5171</t>
  </si>
  <si>
    <t>G51711</t>
  </si>
  <si>
    <t>G517111</t>
  </si>
  <si>
    <t>G5171113</t>
  </si>
  <si>
    <t>G51711131</t>
  </si>
  <si>
    <t>G517112</t>
  </si>
  <si>
    <t>G5171126</t>
  </si>
  <si>
    <t>G51711261</t>
  </si>
  <si>
    <t>G517112612</t>
  </si>
  <si>
    <t>G5171126121</t>
  </si>
  <si>
    <t>G517113</t>
  </si>
  <si>
    <t>G5171131</t>
  </si>
  <si>
    <t>G51711311</t>
  </si>
  <si>
    <t>G517113111</t>
  </si>
  <si>
    <t>G5171138</t>
  </si>
  <si>
    <t>G51711388</t>
  </si>
  <si>
    <t>G517114</t>
  </si>
  <si>
    <t>G5171141</t>
  </si>
  <si>
    <t>G51711418</t>
  </si>
  <si>
    <t>G5171144</t>
  </si>
  <si>
    <t>G51711441</t>
  </si>
  <si>
    <t>G517114411</t>
  </si>
  <si>
    <t>G51711442</t>
  </si>
  <si>
    <t>G517114421</t>
  </si>
  <si>
    <t>G517114425</t>
  </si>
  <si>
    <t>G51711445</t>
  </si>
  <si>
    <t>G517114451</t>
  </si>
  <si>
    <t>G517114453</t>
  </si>
  <si>
    <t>G51711448</t>
  </si>
  <si>
    <t>G51712</t>
  </si>
  <si>
    <t>G517121</t>
  </si>
  <si>
    <t>G5171213</t>
  </si>
  <si>
    <t>G51712131</t>
  </si>
  <si>
    <t>G517121311</t>
  </si>
  <si>
    <t>G517123</t>
  </si>
  <si>
    <t>G5171232</t>
  </si>
  <si>
    <t>G51712321</t>
  </si>
  <si>
    <t>G517123211</t>
  </si>
  <si>
    <t>G51712322</t>
  </si>
  <si>
    <t>G51712329</t>
  </si>
  <si>
    <t>G517123291</t>
  </si>
  <si>
    <t>G5172</t>
  </si>
  <si>
    <t>G51721</t>
  </si>
  <si>
    <t>G517211</t>
  </si>
  <si>
    <t>G5172111</t>
  </si>
  <si>
    <t>G51721111</t>
  </si>
  <si>
    <t>G51721119</t>
  </si>
  <si>
    <t>G517211198</t>
  </si>
  <si>
    <t>G5172112</t>
  </si>
  <si>
    <t>G51721122</t>
  </si>
  <si>
    <t>G51721128</t>
  </si>
  <si>
    <t>G5172116</t>
  </si>
  <si>
    <t>G51721161</t>
  </si>
  <si>
    <t>G517211611</t>
  </si>
  <si>
    <t>G517211612</t>
  </si>
  <si>
    <t>G51721162</t>
  </si>
  <si>
    <t>G517211621</t>
  </si>
  <si>
    <t>G517211622</t>
  </si>
  <si>
    <t>G51724</t>
  </si>
  <si>
    <t>G517241</t>
  </si>
  <si>
    <t>G5172411</t>
  </si>
  <si>
    <t>G51724111</t>
  </si>
  <si>
    <t>G517241111</t>
  </si>
  <si>
    <t>G5172418</t>
  </si>
  <si>
    <t>G51724184</t>
  </si>
  <si>
    <t>G5173</t>
  </si>
  <si>
    <t>G51731</t>
  </si>
  <si>
    <t>G517314</t>
  </si>
  <si>
    <t>G5173143</t>
  </si>
  <si>
    <t>G51731438</t>
  </si>
  <si>
    <t>G517314381</t>
  </si>
  <si>
    <t>G517315</t>
  </si>
  <si>
    <t>G5173151</t>
  </si>
  <si>
    <t>G51731518</t>
  </si>
  <si>
    <t>G517315189</t>
  </si>
  <si>
    <t>G5173151898</t>
  </si>
  <si>
    <t>G5173152</t>
  </si>
  <si>
    <t>G51731528</t>
  </si>
  <si>
    <t>G517315289</t>
  </si>
  <si>
    <t>G5173152898</t>
  </si>
  <si>
    <t>G51735</t>
  </si>
  <si>
    <t>G517352</t>
  </si>
  <si>
    <t>G5173521</t>
  </si>
  <si>
    <t>G51735211</t>
  </si>
  <si>
    <t>G517352118</t>
  </si>
  <si>
    <t>G517353</t>
  </si>
  <si>
    <t>G5173531</t>
  </si>
  <si>
    <t>G51735312</t>
  </si>
  <si>
    <t>G517353125</t>
  </si>
  <si>
    <t>G517355</t>
  </si>
  <si>
    <t>G5173551</t>
  </si>
  <si>
    <t>G51735511</t>
  </si>
  <si>
    <t>G517355113</t>
  </si>
  <si>
    <t>G51735512</t>
  </si>
  <si>
    <t>G517355121</t>
  </si>
  <si>
    <t>G5173551211</t>
  </si>
  <si>
    <t>G5173551212</t>
  </si>
  <si>
    <t>G51735518</t>
  </si>
  <si>
    <t>G517355188</t>
  </si>
  <si>
    <t>G517358</t>
  </si>
  <si>
    <t>G5173581</t>
  </si>
  <si>
    <t>G51735811</t>
  </si>
  <si>
    <t>G517358111</t>
  </si>
  <si>
    <t>G517358113</t>
  </si>
  <si>
    <t>G517358118</t>
  </si>
  <si>
    <t>G51736</t>
  </si>
  <si>
    <t>G517361</t>
  </si>
  <si>
    <t>G5173619</t>
  </si>
  <si>
    <t>G51736192</t>
  </si>
  <si>
    <t>G517361921</t>
  </si>
  <si>
    <t>G51736195</t>
  </si>
  <si>
    <t>G517361951</t>
  </si>
  <si>
    <t>G5173619511</t>
  </si>
  <si>
    <t>G51736195111</t>
  </si>
  <si>
    <t>G51736199</t>
  </si>
  <si>
    <t>G517361998</t>
  </si>
  <si>
    <t>G517362</t>
  </si>
  <si>
    <t>G5173629</t>
  </si>
  <si>
    <t>G51736299</t>
  </si>
  <si>
    <t>G517362998</t>
  </si>
  <si>
    <t>G51739</t>
  </si>
  <si>
    <t>G517391</t>
  </si>
  <si>
    <t>G5173911</t>
  </si>
  <si>
    <t>G51739111</t>
  </si>
  <si>
    <t>G517391111</t>
  </si>
  <si>
    <t>G517391112</t>
  </si>
  <si>
    <t>F100</t>
  </si>
  <si>
    <t>A100</t>
  </si>
  <si>
    <t>005.2026</t>
  </si>
  <si>
    <t>DESPESAS COM LOCOMOÇ</t>
  </si>
  <si>
    <t>VIAGENS</t>
  </si>
  <si>
    <t>DESPESAS DE VIAGEM</t>
  </si>
  <si>
    <t>E341CC0008417/001791</t>
  </si>
  <si>
    <t>G51735316</t>
  </si>
  <si>
    <t>G517353161</t>
  </si>
  <si>
    <t>006.2026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</si>
</sst>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BRL&quot;"/>
    <numFmt numFmtId="165" formatCode="#,##0.00\ &quot;BRL&quot;;\-\ #,##0.00\ &quot;BRL&quot;"/>
    <numFmt numFmtId="166" formatCode="_-* #,##0.0000_-;\-* #,##0.0000_-;_-* &quot;-&quot;??_-;_-@_-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sz val="8"/>
      <name val="Arial"/>
      <family val="2"/>
    </font>
    <font>
      <sz val="8"/>
      <name val="Arial"/>
    </font>
    <font>
      <b/>
      <sz val="9"/>
      <color rgb="FFFF000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7BFB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/>
      <top/>
      <bottom/>
      <diagonal/>
    </border>
  </borders>
  <cellStyleXfs count="151">
    <xf numFmtId="0" fontId="0" fillId="0" borderId="0"/>
    <xf numFmtId="43" fontId="1" fillId="0" borderId="0" applyFont="0" applyFill="0" applyBorder="0" applyAlignment="0" applyProtection="0"/>
    <xf numFmtId="0" fontId="2" fillId="2" borderId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6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0" fillId="6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0" fillId="22" borderId="0" applyNumberFormat="0" applyBorder="0" applyAlignment="0" applyProtection="0"/>
    <xf numFmtId="0" fontId="12" fillId="20" borderId="0" applyNumberFormat="0" applyBorder="0" applyAlignment="0" applyProtection="0"/>
    <xf numFmtId="0" fontId="13" fillId="23" borderId="1" applyNumberFormat="0" applyAlignment="0" applyProtection="0"/>
    <xf numFmtId="0" fontId="14" fillId="15" borderId="2" applyNumberFormat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1" fillId="13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21" borderId="1" applyNumberFormat="0" applyAlignment="0" applyProtection="0"/>
    <xf numFmtId="0" fontId="20" fillId="0" borderId="6" applyNumberFormat="0" applyFill="0" applyAlignment="0" applyProtection="0"/>
    <xf numFmtId="0" fontId="20" fillId="21" borderId="0" applyNumberFormat="0" applyBorder="0" applyAlignment="0" applyProtection="0"/>
    <xf numFmtId="0" fontId="3" fillId="20" borderId="1" applyNumberFormat="0" applyFont="0" applyAlignment="0" applyProtection="0"/>
    <xf numFmtId="0" fontId="21" fillId="23" borderId="7" applyNumberFormat="0" applyAlignment="0" applyProtection="0"/>
    <xf numFmtId="4" fontId="3" fillId="27" borderId="1" applyNumberFormat="0" applyProtection="0">
      <alignment vertical="center"/>
    </xf>
    <xf numFmtId="4" fontId="24" fillId="28" borderId="1" applyNumberFormat="0" applyProtection="0">
      <alignment vertical="center"/>
    </xf>
    <xf numFmtId="4" fontId="3" fillId="28" borderId="1" applyNumberFormat="0" applyProtection="0">
      <alignment horizontal="left" vertical="center" indent="1"/>
    </xf>
    <xf numFmtId="0" fontId="7" fillId="27" borderId="8" applyNumberFormat="0" applyProtection="0">
      <alignment horizontal="left" vertical="top" indent="1"/>
    </xf>
    <xf numFmtId="4" fontId="3" fillId="29" borderId="1" applyNumberFormat="0" applyProtection="0">
      <alignment horizontal="left" vertical="center" indent="1"/>
    </xf>
    <xf numFmtId="4" fontId="3" fillId="30" borderId="1" applyNumberFormat="0" applyProtection="0">
      <alignment horizontal="right" vertical="center"/>
    </xf>
    <xf numFmtId="4" fontId="3" fillId="31" borderId="1" applyNumberFormat="0" applyProtection="0">
      <alignment horizontal="right" vertical="center"/>
    </xf>
    <xf numFmtId="4" fontId="3" fillId="32" borderId="9" applyNumberFormat="0" applyProtection="0">
      <alignment horizontal="right" vertical="center"/>
    </xf>
    <xf numFmtId="4" fontId="3" fillId="33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1" applyNumberFormat="0" applyProtection="0">
      <alignment horizontal="right" vertical="center"/>
    </xf>
    <xf numFmtId="4" fontId="3" fillId="38" borderId="1" applyNumberFormat="0" applyProtection="0">
      <alignment horizontal="right" vertical="center"/>
    </xf>
    <xf numFmtId="4" fontId="3" fillId="39" borderId="9" applyNumberFormat="0" applyProtection="0">
      <alignment horizontal="left" vertical="center" indent="1"/>
    </xf>
    <xf numFmtId="4" fontId="6" fillId="40" borderId="9" applyNumberFormat="0" applyProtection="0">
      <alignment horizontal="left" vertical="center" indent="1"/>
    </xf>
    <xf numFmtId="4" fontId="6" fillId="40" borderId="9" applyNumberFormat="0" applyProtection="0">
      <alignment horizontal="left" vertical="center" indent="1"/>
    </xf>
    <xf numFmtId="4" fontId="3" fillId="41" borderId="1" applyNumberFormat="0" applyProtection="0">
      <alignment horizontal="right" vertical="center"/>
    </xf>
    <xf numFmtId="4" fontId="3" fillId="42" borderId="9" applyNumberFormat="0" applyProtection="0">
      <alignment horizontal="left" vertical="center" indent="1"/>
    </xf>
    <xf numFmtId="4" fontId="3" fillId="41" borderId="9" applyNumberFormat="0" applyProtection="0">
      <alignment horizontal="left" vertical="center" indent="1"/>
    </xf>
    <xf numFmtId="0" fontId="3" fillId="43" borderId="1" applyNumberFormat="0" applyProtection="0">
      <alignment horizontal="left" vertical="center" indent="1"/>
    </xf>
    <xf numFmtId="0" fontId="3" fillId="40" borderId="8" applyNumberFormat="0" applyProtection="0">
      <alignment horizontal="left" vertical="top" indent="1"/>
    </xf>
    <xf numFmtId="0" fontId="3" fillId="44" borderId="1" applyNumberFormat="0" applyProtection="0">
      <alignment horizontal="left" vertical="center" indent="1"/>
    </xf>
    <xf numFmtId="0" fontId="3" fillId="41" borderId="8" applyNumberFormat="0" applyProtection="0">
      <alignment horizontal="left" vertical="top" indent="1"/>
    </xf>
    <xf numFmtId="0" fontId="3" fillId="45" borderId="1" applyNumberFormat="0" applyProtection="0">
      <alignment horizontal="left" vertical="center" indent="1"/>
    </xf>
    <xf numFmtId="0" fontId="3" fillId="45" borderId="8" applyNumberFormat="0" applyProtection="0">
      <alignment horizontal="left" vertical="top" indent="1"/>
    </xf>
    <xf numFmtId="0" fontId="3" fillId="42" borderId="1" applyNumberFormat="0" applyProtection="0">
      <alignment horizontal="left" vertical="center" indent="1"/>
    </xf>
    <xf numFmtId="0" fontId="3" fillId="42" borderId="8" applyNumberFormat="0" applyProtection="0">
      <alignment horizontal="left" vertical="top" indent="1"/>
    </xf>
    <xf numFmtId="0" fontId="3" fillId="46" borderId="10" applyNumberFormat="0">
      <protection locked="0"/>
    </xf>
    <xf numFmtId="0" fontId="4" fillId="40" borderId="11" applyBorder="0"/>
    <xf numFmtId="4" fontId="5" fillId="47" borderId="8" applyNumberFormat="0" applyProtection="0">
      <alignment vertical="center"/>
    </xf>
    <xf numFmtId="4" fontId="24" fillId="48" borderId="12" applyNumberFormat="0" applyProtection="0">
      <alignment vertical="center"/>
    </xf>
    <xf numFmtId="4" fontId="5" fillId="43" borderId="8" applyNumberFormat="0" applyProtection="0">
      <alignment horizontal="left" vertical="center" indent="1"/>
    </xf>
    <xf numFmtId="0" fontId="5" fillId="47" borderId="8" applyNumberFormat="0" applyProtection="0">
      <alignment horizontal="left" vertical="top" indent="1"/>
    </xf>
    <xf numFmtId="4" fontId="3" fillId="0" borderId="1" applyNumberFormat="0" applyProtection="0">
      <alignment horizontal="right" vertical="center"/>
    </xf>
    <xf numFmtId="4" fontId="24" fillId="49" borderId="1" applyNumberFormat="0" applyProtection="0">
      <alignment horizontal="right" vertical="center"/>
    </xf>
    <xf numFmtId="4" fontId="3" fillId="29" borderId="1" applyNumberFormat="0" applyProtection="0">
      <alignment horizontal="left" vertical="center" indent="1"/>
    </xf>
    <xf numFmtId="0" fontId="5" fillId="41" borderId="8" applyNumberFormat="0" applyProtection="0">
      <alignment horizontal="left" vertical="top" indent="1"/>
    </xf>
    <xf numFmtId="4" fontId="8" fillId="50" borderId="9" applyNumberFormat="0" applyProtection="0">
      <alignment horizontal="left" vertical="center" indent="1"/>
    </xf>
    <xf numFmtId="0" fontId="3" fillId="51" borderId="12"/>
    <xf numFmtId="4" fontId="9" fillId="46" borderId="1" applyNumberFormat="0" applyProtection="0">
      <alignment horizontal="right" vertical="center"/>
    </xf>
    <xf numFmtId="0" fontId="22" fillId="0" borderId="0" applyNumberFormat="0" applyFill="0" applyBorder="0" applyAlignment="0" applyProtection="0"/>
    <xf numFmtId="0" fontId="15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" fillId="20" borderId="1" applyNumberFormat="0" applyFont="0" applyAlignment="0" applyProtection="0"/>
    <xf numFmtId="4" fontId="2" fillId="27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4" fontId="2" fillId="0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2" fillId="51" borderId="12"/>
    <xf numFmtId="0" fontId="28" fillId="2" borderId="0"/>
    <xf numFmtId="43" fontId="1" fillId="0" borderId="0" applyFont="0" applyFill="0" applyBorder="0" applyAlignment="0" applyProtection="0"/>
    <xf numFmtId="4" fontId="2" fillId="27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4" fontId="2" fillId="0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2" fillId="51" borderId="12"/>
    <xf numFmtId="0" fontId="30" fillId="2" borderId="0"/>
    <xf numFmtId="0" fontId="30" fillId="2" borderId="0"/>
    <xf numFmtId="0" fontId="32" fillId="2" borderId="0"/>
    <xf numFmtId="0" fontId="33" fillId="2" borderId="0"/>
    <xf numFmtId="0" fontId="2" fillId="2" borderId="0"/>
  </cellStyleXfs>
  <cellXfs count="136">
    <xf numFmtId="0" fontId="0" fillId="0" borderId="0" xfId="0"/>
    <xf numFmtId="0" fontId="25" fillId="0" borderId="0" xfId="0" applyFont="1"/>
    <xf numFmtId="43" fontId="25" fillId="0" borderId="0" xfId="0" applyNumberFormat="1" applyFont="1"/>
    <xf numFmtId="0" fontId="25" fillId="53" borderId="0" xfId="0" applyFont="1" applyFill="1"/>
    <xf numFmtId="0" fontId="27" fillId="53" borderId="0" xfId="0" applyFont="1" applyFill="1"/>
    <xf numFmtId="43" fontId="27" fillId="53" borderId="0" xfId="0" applyNumberFormat="1" applyFont="1" applyFill="1"/>
    <xf numFmtId="0" fontId="2" fillId="29" borderId="1" xfId="90" quotePrefix="1" applyNumberFormat="1">
      <alignment horizontal="left" vertical="center" indent="1"/>
    </xf>
    <xf numFmtId="0" fontId="2" fillId="29" borderId="1" xfId="114" quotePrefix="1" applyNumberFormat="1">
      <alignment horizontal="left" vertical="center" indent="1"/>
    </xf>
    <xf numFmtId="0" fontId="2" fillId="43" borderId="1" xfId="104" quotePrefix="1" applyAlignment="1">
      <alignment horizontal="left" vertical="center" indent="2"/>
    </xf>
    <xf numFmtId="0" fontId="2" fillId="43" borderId="1" xfId="104" quotePrefix="1">
      <alignment horizontal="left" vertical="center" indent="1"/>
    </xf>
    <xf numFmtId="0" fontId="2" fillId="44" borderId="1" xfId="106" quotePrefix="1" applyAlignment="1">
      <alignment horizontal="left" vertical="center" indent="3"/>
    </xf>
    <xf numFmtId="0" fontId="2" fillId="44" borderId="1" xfId="106" quotePrefix="1">
      <alignment horizontal="left" vertical="center" indent="1"/>
    </xf>
    <xf numFmtId="0" fontId="2" fillId="45" borderId="1" xfId="108" quotePrefix="1" applyAlignment="1">
      <alignment horizontal="left" vertical="center" indent="4"/>
    </xf>
    <xf numFmtId="0" fontId="2" fillId="45" borderId="1" xfId="108" quotePrefix="1">
      <alignment horizontal="left" vertical="center" indent="1"/>
    </xf>
    <xf numFmtId="0" fontId="2" fillId="42" borderId="1" xfId="110" quotePrefix="1" applyAlignment="1">
      <alignment horizontal="left" vertical="center" indent="5"/>
    </xf>
    <xf numFmtId="0" fontId="2" fillId="42" borderId="1" xfId="110" quotePrefix="1">
      <alignment horizontal="left" vertical="center" indent="1"/>
    </xf>
    <xf numFmtId="0" fontId="2" fillId="42" borderId="1" xfId="110" quotePrefix="1" applyAlignment="1">
      <alignment horizontal="left" vertical="center" indent="6"/>
    </xf>
    <xf numFmtId="0" fontId="2" fillId="42" borderId="1" xfId="110" quotePrefix="1" applyAlignment="1">
      <alignment horizontal="left" vertical="center" indent="7"/>
    </xf>
    <xf numFmtId="0" fontId="5" fillId="43" borderId="8" xfId="75" quotePrefix="1" applyNumberFormat="1" applyAlignment="1">
      <alignment horizontal="left" vertical="center" indent="2"/>
    </xf>
    <xf numFmtId="0" fontId="5" fillId="43" borderId="8" xfId="75" quotePrefix="1" applyNumberFormat="1">
      <alignment horizontal="left" vertical="center" indent="1"/>
    </xf>
    <xf numFmtId="0" fontId="27" fillId="53" borderId="15" xfId="0" applyFont="1" applyFill="1" applyBorder="1"/>
    <xf numFmtId="0" fontId="27" fillId="53" borderId="16" xfId="0" applyFont="1" applyFill="1" applyBorder="1"/>
    <xf numFmtId="0" fontId="27" fillId="53" borderId="17" xfId="0" applyFont="1" applyFill="1" applyBorder="1"/>
    <xf numFmtId="0" fontId="25" fillId="0" borderId="17" xfId="0" applyFont="1" applyBorder="1"/>
    <xf numFmtId="43" fontId="25" fillId="0" borderId="0" xfId="1" applyFont="1" applyBorder="1"/>
    <xf numFmtId="0" fontId="25" fillId="0" borderId="18" xfId="0" applyFont="1" applyBorder="1"/>
    <xf numFmtId="0" fontId="25" fillId="0" borderId="14" xfId="0" applyFont="1" applyBorder="1"/>
    <xf numFmtId="43" fontId="25" fillId="0" borderId="14" xfId="1" applyFont="1" applyBorder="1"/>
    <xf numFmtId="43" fontId="25" fillId="0" borderId="14" xfId="0" applyNumberFormat="1" applyFont="1" applyBorder="1"/>
    <xf numFmtId="0" fontId="25" fillId="53" borderId="15" xfId="0" applyFont="1" applyFill="1" applyBorder="1"/>
    <xf numFmtId="0" fontId="25" fillId="53" borderId="16" xfId="0" applyFont="1" applyFill="1" applyBorder="1"/>
    <xf numFmtId="0" fontId="25" fillId="53" borderId="17" xfId="0" applyFont="1" applyFill="1" applyBorder="1"/>
    <xf numFmtId="43" fontId="27" fillId="53" borderId="0" xfId="1" applyFont="1" applyFill="1" applyBorder="1"/>
    <xf numFmtId="43" fontId="25" fillId="0" borderId="16" xfId="1" applyFont="1" applyBorder="1"/>
    <xf numFmtId="0" fontId="25" fillId="0" borderId="19" xfId="0" applyFont="1" applyBorder="1"/>
    <xf numFmtId="10" fontId="25" fillId="0" borderId="17" xfId="0" applyNumberFormat="1" applyFont="1" applyBorder="1"/>
    <xf numFmtId="10" fontId="25" fillId="0" borderId="18" xfId="0" applyNumberFormat="1" applyFont="1" applyBorder="1"/>
    <xf numFmtId="0" fontId="2" fillId="42" borderId="1" xfId="110" quotePrefix="1" applyAlignment="1">
      <alignment horizontal="left" vertical="center" indent="8"/>
    </xf>
    <xf numFmtId="0" fontId="29" fillId="54" borderId="0" xfId="2" applyFont="1" applyFill="1"/>
    <xf numFmtId="164" fontId="2" fillId="0" borderId="1" xfId="113" applyNumberFormat="1">
      <alignment horizontal="right" vertical="center"/>
    </xf>
    <xf numFmtId="164" fontId="24" fillId="49" borderId="1" xfId="78" applyNumberFormat="1">
      <alignment horizontal="right" vertical="center"/>
    </xf>
    <xf numFmtId="165" fontId="2" fillId="0" borderId="1" xfId="113" applyNumberFormat="1">
      <alignment horizontal="right" vertical="center"/>
    </xf>
    <xf numFmtId="165" fontId="24" fillId="49" borderId="1" xfId="78" applyNumberFormat="1">
      <alignment horizontal="right" vertical="center"/>
    </xf>
    <xf numFmtId="0" fontId="29" fillId="54" borderId="0" xfId="116" applyFont="1" applyFill="1"/>
    <xf numFmtId="0" fontId="27" fillId="55" borderId="15" xfId="0" applyFont="1" applyFill="1" applyBorder="1"/>
    <xf numFmtId="0" fontId="25" fillId="56" borderId="15" xfId="0" applyFont="1" applyFill="1" applyBorder="1"/>
    <xf numFmtId="0" fontId="25" fillId="56" borderId="16" xfId="0" applyFont="1" applyFill="1" applyBorder="1"/>
    <xf numFmtId="43" fontId="25" fillId="56" borderId="16" xfId="0" applyNumberFormat="1" applyFont="1" applyFill="1" applyBorder="1"/>
    <xf numFmtId="43" fontId="25" fillId="56" borderId="0" xfId="0" applyNumberFormat="1" applyFont="1" applyFill="1"/>
    <xf numFmtId="0" fontId="25" fillId="56" borderId="18" xfId="0" applyFont="1" applyFill="1" applyBorder="1"/>
    <xf numFmtId="0" fontId="25" fillId="56" borderId="14" xfId="0" applyFont="1" applyFill="1" applyBorder="1"/>
    <xf numFmtId="43" fontId="25" fillId="56" borderId="14" xfId="0" applyNumberFormat="1" applyFont="1" applyFill="1" applyBorder="1"/>
    <xf numFmtId="43" fontId="27" fillId="0" borderId="16" xfId="0" applyNumberFormat="1" applyFont="1" applyBorder="1"/>
    <xf numFmtId="43" fontId="27" fillId="0" borderId="14" xfId="0" applyNumberFormat="1" applyFont="1" applyBorder="1"/>
    <xf numFmtId="166" fontId="25" fillId="0" borderId="14" xfId="0" applyNumberFormat="1" applyFont="1" applyBorder="1"/>
    <xf numFmtId="43" fontId="27" fillId="0" borderId="0" xfId="0" applyNumberFormat="1" applyFont="1"/>
    <xf numFmtId="43" fontId="27" fillId="0" borderId="20" xfId="0" applyNumberFormat="1" applyFont="1" applyBorder="1"/>
    <xf numFmtId="43" fontId="27" fillId="0" borderId="17" xfId="0" applyNumberFormat="1" applyFont="1" applyBorder="1"/>
    <xf numFmtId="43" fontId="27" fillId="0" borderId="21" xfId="0" applyNumberFormat="1" applyFont="1" applyBorder="1"/>
    <xf numFmtId="43" fontId="27" fillId="0" borderId="18" xfId="0" applyNumberFormat="1" applyFont="1" applyBorder="1"/>
    <xf numFmtId="0" fontId="27" fillId="55" borderId="16" xfId="0" applyFont="1" applyFill="1" applyBorder="1" applyAlignment="1">
      <alignment horizontal="right"/>
    </xf>
    <xf numFmtId="43" fontId="27" fillId="0" borderId="0" xfId="0" applyNumberFormat="1" applyFont="1" applyAlignment="1">
      <alignment horizontal="right"/>
    </xf>
    <xf numFmtId="43" fontId="27" fillId="0" borderId="14" xfId="0" applyNumberFormat="1" applyFont="1" applyBorder="1" applyAlignment="1">
      <alignment horizontal="right"/>
    </xf>
    <xf numFmtId="0" fontId="27" fillId="53" borderId="23" xfId="0" applyFont="1" applyFill="1" applyBorder="1"/>
    <xf numFmtId="43" fontId="25" fillId="0" borderId="23" xfId="1" applyFont="1" applyBorder="1"/>
    <xf numFmtId="0" fontId="25" fillId="0" borderId="23" xfId="0" applyFont="1" applyBorder="1"/>
    <xf numFmtId="43" fontId="27" fillId="53" borderId="23" xfId="0" applyNumberFormat="1" applyFont="1" applyFill="1" applyBorder="1"/>
    <xf numFmtId="43" fontId="25" fillId="0" borderId="23" xfId="0" applyNumberFormat="1" applyFont="1" applyBorder="1"/>
    <xf numFmtId="43" fontId="25" fillId="0" borderId="24" xfId="0" applyNumberFormat="1" applyFont="1" applyBorder="1"/>
    <xf numFmtId="0" fontId="25" fillId="53" borderId="22" xfId="0" applyFont="1" applyFill="1" applyBorder="1"/>
    <xf numFmtId="43" fontId="27" fillId="53" borderId="23" xfId="1" applyFont="1" applyFill="1" applyBorder="1"/>
    <xf numFmtId="43" fontId="25" fillId="56" borderId="22" xfId="0" applyNumberFormat="1" applyFont="1" applyFill="1" applyBorder="1"/>
    <xf numFmtId="43" fontId="25" fillId="56" borderId="24" xfId="0" applyNumberFormat="1" applyFont="1" applyFill="1" applyBorder="1"/>
    <xf numFmtId="43" fontId="25" fillId="0" borderId="22" xfId="1" applyFont="1" applyBorder="1"/>
    <xf numFmtId="43" fontId="25" fillId="0" borderId="24" xfId="1" applyFont="1" applyBorder="1"/>
    <xf numFmtId="43" fontId="25" fillId="0" borderId="22" xfId="1" quotePrefix="1" applyFont="1" applyBorder="1"/>
    <xf numFmtId="0" fontId="25" fillId="0" borderId="16" xfId="0" applyFont="1" applyBorder="1"/>
    <xf numFmtId="0" fontId="25" fillId="0" borderId="15" xfId="0" applyFont="1" applyBorder="1"/>
    <xf numFmtId="0" fontId="0" fillId="57" borderId="0" xfId="0" applyFill="1"/>
    <xf numFmtId="0" fontId="29" fillId="54" borderId="0" xfId="146" applyFont="1" applyFill="1"/>
    <xf numFmtId="43" fontId="25" fillId="53" borderId="0" xfId="1" applyFont="1" applyFill="1" applyBorder="1"/>
    <xf numFmtId="3" fontId="27" fillId="53" borderId="22" xfId="0" quotePrefix="1" applyNumberFormat="1" applyFont="1" applyFill="1" applyBorder="1" applyAlignment="1">
      <alignment horizontal="center"/>
    </xf>
    <xf numFmtId="3" fontId="27" fillId="53" borderId="16" xfId="0" quotePrefix="1" applyNumberFormat="1" applyFont="1" applyFill="1" applyBorder="1" applyAlignment="1">
      <alignment horizontal="center"/>
    </xf>
    <xf numFmtId="3" fontId="27" fillId="53" borderId="0" xfId="0" quotePrefix="1" applyNumberFormat="1" applyFont="1" applyFill="1" applyAlignment="1">
      <alignment horizontal="center"/>
    </xf>
    <xf numFmtId="164" fontId="24" fillId="58" borderId="1" xfId="78" applyNumberFormat="1" applyFill="1">
      <alignment horizontal="right" vertical="center"/>
    </xf>
    <xf numFmtId="165" fontId="2" fillId="58" borderId="1" xfId="113" applyNumberFormat="1" applyFill="1">
      <alignment horizontal="right" vertical="center"/>
    </xf>
    <xf numFmtId="164" fontId="2" fillId="58" borderId="1" xfId="113" applyNumberFormat="1" applyFill="1">
      <alignment horizontal="right" vertical="center"/>
    </xf>
    <xf numFmtId="0" fontId="2" fillId="58" borderId="1" xfId="114" quotePrefix="1" applyNumberFormat="1" applyFill="1">
      <alignment horizontal="left" vertical="center" indent="1"/>
    </xf>
    <xf numFmtId="0" fontId="2" fillId="57" borderId="1" xfId="114" quotePrefix="1" applyNumberFormat="1" applyFill="1">
      <alignment horizontal="left" vertical="center" indent="1"/>
    </xf>
    <xf numFmtId="164" fontId="2" fillId="57" borderId="1" xfId="113" applyNumberFormat="1" applyFill="1">
      <alignment horizontal="right" vertical="center"/>
    </xf>
    <xf numFmtId="165" fontId="2" fillId="57" borderId="1" xfId="113" applyNumberFormat="1" applyFill="1">
      <alignment horizontal="right" vertical="center"/>
    </xf>
    <xf numFmtId="164" fontId="24" fillId="57" borderId="1" xfId="78" applyNumberFormat="1" applyFill="1">
      <alignment horizontal="right" vertical="center"/>
    </xf>
    <xf numFmtId="4" fontId="0" fillId="57" borderId="0" xfId="0" applyNumberFormat="1" applyFill="1"/>
    <xf numFmtId="3" fontId="27" fillId="53" borderId="0" xfId="0" quotePrefix="1" applyNumberFormat="1" applyFont="1" applyFill="1" applyAlignment="1">
      <alignment horizontal="center" vertical="center"/>
    </xf>
    <xf numFmtId="3" fontId="27" fillId="53" borderId="22" xfId="0" quotePrefix="1" applyNumberFormat="1" applyFont="1" applyFill="1" applyBorder="1" applyAlignment="1">
      <alignment horizontal="center" vertical="center"/>
    </xf>
    <xf numFmtId="0" fontId="29" fillId="54" borderId="0" xfId="148" applyFont="1" applyFill="1"/>
    <xf numFmtId="0" fontId="29" fillId="54" borderId="0" xfId="149" applyFont="1" applyFill="1"/>
    <xf numFmtId="43" fontId="34" fillId="0" borderId="0" xfId="0" applyNumberFormat="1" applyFont="1"/>
    <xf numFmtId="0" fontId="34" fillId="0" borderId="0" xfId="0" applyFont="1" applyAlignment="1">
      <alignment horizontal="right"/>
    </xf>
    <xf numFmtId="0" fontId="3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3" fontId="27" fillId="0" borderId="25" xfId="0" applyNumberFormat="1" applyFont="1" applyBorder="1"/>
    <xf numFmtId="0" fontId="2" fillId="57" borderId="1" xfId="110" quotePrefix="1" applyFill="1">
      <alignment horizontal="left" vertical="center" indent="1"/>
    </xf>
    <xf numFmtId="0" fontId="2" fillId="57" borderId="1" xfId="110" quotePrefix="1" applyFill="1" applyAlignment="1">
      <alignment horizontal="left" vertical="center" indent="9"/>
    </xf>
    <xf numFmtId="0" fontId="2" fillId="42" borderId="1" xfId="110" quotePrefix="1" applyAlignment="1">
      <alignment horizontal="left" vertical="center" indent="9"/>
    </xf>
    <xf numFmtId="0" fontId="2" fillId="42" borderId="1" xfId="110" quotePrefix="1" applyAlignment="1">
      <alignment horizontal="left" vertical="center" indent="10"/>
    </xf>
    <xf numFmtId="0" fontId="2" fillId="42" borderId="1" xfId="110" quotePrefix="1" applyAlignment="1">
      <alignment horizontal="left" vertical="center" indent="11"/>
    </xf>
    <xf numFmtId="43" fontId="25" fillId="0" borderId="0" xfId="1" applyFont="1"/>
    <xf numFmtId="0" fontId="26" fillId="52" borderId="0" xfId="0" applyFont="1" applyFill="1" applyAlignment="1">
      <alignment horizontal="center"/>
    </xf>
    <xf numFmtId="164" fontId="2" fillId="0" borderId="26" xfId="113" applyNumberFormat="1" applyFill="1" applyBorder="1">
      <alignment horizontal="right" vertical="center"/>
    </xf>
    <xf numFmtId="4" fontId="0" fillId="0" borderId="0" xfId="0" applyNumberFormat="1"/>
    <xf numFmtId="0" fontId="2" fillId="57" borderId="1" xfId="110" quotePrefix="1" applyFill="1" applyAlignment="1">
      <alignment horizontal="left" vertical="center" indent="10"/>
    </xf>
    <xf numFmtId="0" fontId="2" fillId="57" borderId="1" xfId="110" quotePrefix="1" applyFill="1" applyAlignment="1">
      <alignment horizontal="left" vertical="center" indent="11"/>
    </xf>
    <xf numFmtId="0" fontId="29" fillId="54" borderId="0" xfId="149" applyFont="1" applyFill="1"/>
    <xf numFmtId="0" fontId="2" fillId="29" borderId="1" xfId="90" quotePrefix="1" applyNumberFormat="1">
      <alignment horizontal="left" vertical="center" indent="1"/>
    </xf>
    <xf numFmtId="0" fontId="2" fillId="29" borderId="1" xfId="114" quotePrefix="1" applyNumberFormat="1">
      <alignment horizontal="left" vertical="center" indent="1"/>
    </xf>
    <xf numFmtId="164" fontId="2" fillId="0" borderId="1" xfId="113" applyNumberFormat="1">
      <alignment horizontal="right" vertical="center"/>
    </xf>
    <xf numFmtId="164" fontId="24" fillId="49" borderId="1" xfId="78" applyNumberFormat="1">
      <alignment horizontal="right" vertical="center"/>
    </xf>
    <xf numFmtId="165" fontId="2" fillId="0" borderId="1" xfId="113" applyNumberFormat="1">
      <alignment horizontal="right" vertical="center"/>
    </xf>
    <xf numFmtId="165" fontId="24" fillId="49" borderId="1" xfId="78" applyNumberFormat="1">
      <alignment horizontal="right" vertical="center"/>
    </xf>
    <xf numFmtId="0" fontId="2" fillId="43" borderId="1" xfId="104" quotePrefix="1">
      <alignment horizontal="left" vertical="center" indent="1"/>
    </xf>
    <xf numFmtId="0" fontId="2" fillId="44" borderId="1" xfId="106" quotePrefix="1">
      <alignment horizontal="left" vertical="center" indent="1"/>
    </xf>
    <xf numFmtId="0" fontId="5" fillId="43" borderId="8" xfId="75" quotePrefix="1" applyNumberFormat="1">
      <alignment horizontal="left" vertical="center" indent="1"/>
    </xf>
    <xf numFmtId="0" fontId="2" fillId="43" borderId="1" xfId="104" quotePrefix="1" applyAlignment="1">
      <alignment horizontal="left" vertical="center" indent="2"/>
    </xf>
    <xf numFmtId="0" fontId="2" fillId="44" borderId="1" xfId="106" quotePrefix="1" applyAlignment="1">
      <alignment horizontal="left" vertical="center" indent="3"/>
    </xf>
    <xf numFmtId="0" fontId="5" fillId="43" borderId="8" xfId="75" quotePrefix="1" applyNumberFormat="1" applyAlignment="1">
      <alignment horizontal="left" vertical="center" indent="2"/>
    </xf>
    <xf numFmtId="0" fontId="2" fillId="45" borderId="1" xfId="108" quotePrefix="1">
      <alignment horizontal="left" vertical="center" indent="1"/>
    </xf>
    <xf numFmtId="0" fontId="2" fillId="42" borderId="1" xfId="110" quotePrefix="1">
      <alignment horizontal="left" vertical="center" indent="1"/>
    </xf>
    <xf numFmtId="0" fontId="2" fillId="45" borderId="1" xfId="108" quotePrefix="1" applyAlignment="1">
      <alignment horizontal="left" vertical="center" indent="4"/>
    </xf>
    <xf numFmtId="0" fontId="2" fillId="42" borderId="1" xfId="110" quotePrefix="1" applyAlignment="1">
      <alignment horizontal="left" vertical="center" indent="5"/>
    </xf>
    <xf numFmtId="0" fontId="2" fillId="42" borderId="1" xfId="110" quotePrefix="1" applyAlignment="1">
      <alignment horizontal="left" vertical="center" indent="6"/>
    </xf>
    <xf numFmtId="0" fontId="2" fillId="42" borderId="1" xfId="110" quotePrefix="1" applyAlignment="1">
      <alignment horizontal="left" vertical="center" indent="7"/>
    </xf>
    <xf numFmtId="0" fontId="2" fillId="42" borderId="1" xfId="110" quotePrefix="1" applyAlignment="1">
      <alignment horizontal="left" vertical="center" indent="8"/>
    </xf>
    <xf numFmtId="0" fontId="2" fillId="42" borderId="1" xfId="110" quotePrefix="1" applyAlignment="1">
      <alignment horizontal="left" vertical="center" indent="9"/>
    </xf>
    <xf numFmtId="0" fontId="2" fillId="42" borderId="1" xfId="110" quotePrefix="1" applyAlignment="1">
      <alignment horizontal="left" vertical="center" indent="10"/>
    </xf>
  </cellXfs>
  <cellStyles count="151">
    <cellStyle name="Accent1 - 20%" xfId="4" xr:uid="{2DF8CBF9-D8F8-479F-83B8-9BADFEEC7817}"/>
    <cellStyle name="Accent1 - 40%" xfId="5" xr:uid="{1C751036-B998-45A5-B684-7D8AF8A7A222}"/>
    <cellStyle name="Accent1 - 60%" xfId="6" xr:uid="{72D60B6E-1BCF-4F9D-B02E-E644B0E649AE}"/>
    <cellStyle name="Accent2 - 20%" xfId="8" xr:uid="{356A8192-2AE6-454A-9FC2-2DB03B0D0086}"/>
    <cellStyle name="Accent2 - 40%" xfId="9" xr:uid="{E9CF8B71-7AF7-48DA-BA3C-3A9B6FC99AD5}"/>
    <cellStyle name="Accent2 - 60%" xfId="10" xr:uid="{74A3FD11-9E47-4AA7-9623-B65653F908EF}"/>
    <cellStyle name="Accent3 - 20%" xfId="12" xr:uid="{52B4C43C-9C96-4433-B898-3234A65C368F}"/>
    <cellStyle name="Accent3 - 40%" xfId="13" xr:uid="{A9D72D9A-3BB8-45C5-9249-713A4476DB0E}"/>
    <cellStyle name="Accent3 - 60%" xfId="14" xr:uid="{B772C439-C941-41AB-B857-B7E3CE98DF90}"/>
    <cellStyle name="Accent4 - 20%" xfId="16" xr:uid="{D1DAD7F2-0DEC-4CC3-978C-B15AC3950347}"/>
    <cellStyle name="Accent4 - 40%" xfId="17" xr:uid="{8194E606-57E3-4B44-B5A0-7AF70E29393B}"/>
    <cellStyle name="Accent4 - 60%" xfId="18" xr:uid="{8ABA945D-6C3F-481F-A889-BB5EAB6392EA}"/>
    <cellStyle name="Accent5 - 20%" xfId="20" xr:uid="{DCF2ECBF-2E58-4FAB-A234-D8CAEFC671F8}"/>
    <cellStyle name="Accent5 - 40%" xfId="21" xr:uid="{2380F92D-AF5A-4C86-9F19-04D0844972E0}"/>
    <cellStyle name="Accent5 - 60%" xfId="22" xr:uid="{89B4AAF5-CD6A-49A9-A9F0-D6E91A0841AA}"/>
    <cellStyle name="Accent6 - 20%" xfId="24" xr:uid="{CCA573AD-77E7-4B5D-825D-C9CFF762CD9F}"/>
    <cellStyle name="Accent6 - 40%" xfId="25" xr:uid="{E4209F22-400F-45D5-B5BE-58B455CC3ACF}"/>
    <cellStyle name="Accent6 - 60%" xfId="26" xr:uid="{09667575-0E82-4790-B829-2F48F31A2691}"/>
    <cellStyle name="Bom 2" xfId="33" xr:uid="{DE7AF0AF-7DA3-4F73-A282-650E0C15DE8A}"/>
    <cellStyle name="Cálculo 2" xfId="28" xr:uid="{A94A4BC5-073E-4B61-B320-07B7707A4F2B}"/>
    <cellStyle name="Célula de Verificação 2" xfId="29" xr:uid="{B54B3357-7DE5-42EF-9075-5F788D33D798}"/>
    <cellStyle name="Célula Vinculada 2" xfId="39" xr:uid="{B6BFEAE3-C0C7-43D2-A5FD-6E0DAE03EEF3}"/>
    <cellStyle name="Emphasis 1" xfId="30" xr:uid="{D05C40F9-8228-4AE3-B9A0-9B855BDB41AC}"/>
    <cellStyle name="Emphasis 2" xfId="31" xr:uid="{21905F24-6567-4433-97FD-F67A53CCD747}"/>
    <cellStyle name="Emphasis 3" xfId="32" xr:uid="{EA787ECD-7C52-405D-AC64-5B7C2195652E}"/>
    <cellStyle name="Ênfase1 2" xfId="3" xr:uid="{2A09991E-7C13-4EC5-94D0-61D14D051C7B}"/>
    <cellStyle name="Ênfase2 2" xfId="7" xr:uid="{24EB787F-30DD-4506-B299-84BEB64EFB30}"/>
    <cellStyle name="Ênfase3 2" xfId="11" xr:uid="{DBC77C5F-44A9-43E0-B207-60B9FB1026CA}"/>
    <cellStyle name="Ênfase4 2" xfId="15" xr:uid="{3F843C7B-74AA-4A24-A477-8D3F164FFAB4}"/>
    <cellStyle name="Ênfase5 2" xfId="19" xr:uid="{C9BF9230-4D19-4F8B-BCE9-2E9AD0E611EB}"/>
    <cellStyle name="Ênfase6 2" xfId="23" xr:uid="{6AFE436E-F534-4391-88EA-25A74ACFE2BB}"/>
    <cellStyle name="Entrada 2" xfId="38" xr:uid="{B4484D29-208E-4E7D-9722-424838859954}"/>
    <cellStyle name="Neutro 2" xfId="40" xr:uid="{CDEE8677-80D4-4A80-A316-CE2911B4A331}"/>
    <cellStyle name="Normal" xfId="0" builtinId="0"/>
    <cellStyle name="Normal 2" xfId="2" xr:uid="{808710EF-ADAA-48F2-ADF9-D781629FFDA5}"/>
    <cellStyle name="Normal 3" xfId="116" xr:uid="{CFDF2DB2-25FC-4E21-8225-99E78E9EE42D}"/>
    <cellStyle name="Normal 4" xfId="146" xr:uid="{98818480-E87B-4C1D-9398-3B6ECB750E17}"/>
    <cellStyle name="Normal 5" xfId="147" xr:uid="{0A4CD8F7-C33E-42E5-AAE5-81C6492ABA1C}"/>
    <cellStyle name="Normal 6" xfId="148" xr:uid="{A2FC293A-A25A-4010-9AD5-88D61328D93F}"/>
    <cellStyle name="Normal 7" xfId="149" xr:uid="{8968943B-B570-4763-9012-D654FD4DA9AE}"/>
    <cellStyle name="Normal 8" xfId="150" xr:uid="{57F0CDC6-0964-415A-AAE6-A292D0557AD4}"/>
    <cellStyle name="Nota 2" xfId="41" xr:uid="{567EF2DA-E61B-4417-B1D2-74C0186F72E3}"/>
    <cellStyle name="Nota 3" xfId="87" xr:uid="{5991D7CD-B673-4287-BF48-03183B120BA0}"/>
    <cellStyle name="Ruim 2" xfId="27" xr:uid="{39A08BD8-FF98-4240-A545-E283C83B9832}"/>
    <cellStyle name="Saída 2" xfId="42" xr:uid="{DA5F0FD8-22BA-4017-A5F9-2D5EB7F8B2DA}"/>
    <cellStyle name="SAPBEXaggData" xfId="43" xr:uid="{98396D48-3162-4DBF-BE93-C45BC5D75342}"/>
    <cellStyle name="SAPBEXaggData 2" xfId="88" xr:uid="{39E86DFC-91B2-4F33-8D4F-471CE7CD5183}"/>
    <cellStyle name="SAPBEXaggData_Bal 032025" xfId="118" xr:uid="{2F83274B-F097-4626-8145-855633FE036F}"/>
    <cellStyle name="SAPBEXaggDataEmph" xfId="44" xr:uid="{C06A6BED-01E1-4250-82F1-66FB50629F08}"/>
    <cellStyle name="SAPBEXaggItem" xfId="45" xr:uid="{D1F1ABB1-DCAA-4723-B3C5-0C41A98FB8C2}"/>
    <cellStyle name="SAPBEXaggItem 2" xfId="89" xr:uid="{02EDA466-29D9-469B-89DD-DC985AE4D2B0}"/>
    <cellStyle name="SAPBEXaggItem_Bal 032025" xfId="119" xr:uid="{C7C8FB17-EE25-4A62-A679-D53FA85117E9}"/>
    <cellStyle name="SAPBEXaggItemX" xfId="46" xr:uid="{2FC2F7AB-5049-4D70-BE08-A4BD70ABD207}"/>
    <cellStyle name="SAPBEXchaText" xfId="47" xr:uid="{C7893E83-9EF0-4FBD-A7A6-6CF4E7B8AB68}"/>
    <cellStyle name="SAPBEXchaText 2" xfId="90" xr:uid="{3200A216-5284-46AD-80A3-8951AA5E7D80}"/>
    <cellStyle name="SAPBEXchaText_Bal 032025" xfId="120" xr:uid="{CF9F8F7E-1B72-49BF-8670-945FEADFE27F}"/>
    <cellStyle name="SAPBEXexcBad7" xfId="48" xr:uid="{8982089E-F6EC-4D97-AA3F-1214B65B37AF}"/>
    <cellStyle name="SAPBEXexcBad7 2" xfId="91" xr:uid="{4765C603-68CB-45F5-A4CE-61F8F82962ED}"/>
    <cellStyle name="SAPBEXexcBad7_Bal 032025" xfId="121" xr:uid="{683B523A-55DB-4F40-8283-F51BF888DCD0}"/>
    <cellStyle name="SAPBEXexcBad8" xfId="49" xr:uid="{C044FDEC-D1FB-4F87-ACA8-DD58FDEDB253}"/>
    <cellStyle name="SAPBEXexcBad8 2" xfId="92" xr:uid="{B7631B3C-84C2-443B-9054-20EEE0D97BB3}"/>
    <cellStyle name="SAPBEXexcBad8_Bal 032025" xfId="122" xr:uid="{9F2325EC-78D8-43F1-B6C4-9A7DA2709ED6}"/>
    <cellStyle name="SAPBEXexcBad9" xfId="50" xr:uid="{4743BF4B-E74E-4A42-B3CC-83A251B86F00}"/>
    <cellStyle name="SAPBEXexcBad9 2" xfId="93" xr:uid="{23BA4E7F-2644-4AF1-9225-472FFA53B3D2}"/>
    <cellStyle name="SAPBEXexcBad9_Bal 032025" xfId="123" xr:uid="{B84B17CC-667C-44A2-991F-19805317C9EC}"/>
    <cellStyle name="SAPBEXexcCritical4" xfId="51" xr:uid="{8E3A6323-8F4A-4742-9DFE-3D5561E144E6}"/>
    <cellStyle name="SAPBEXexcCritical4 2" xfId="94" xr:uid="{DE47FA2A-4CA9-4913-9530-28AC9092CF95}"/>
    <cellStyle name="SAPBEXexcCritical4_Bal 032025" xfId="124" xr:uid="{C0F373A9-7399-432E-A7DF-92F6F34B3AD6}"/>
    <cellStyle name="SAPBEXexcCritical5" xfId="52" xr:uid="{AA543A4A-FFC1-4873-A662-7266DA8EA68A}"/>
    <cellStyle name="SAPBEXexcCritical5 2" xfId="95" xr:uid="{5F07C443-9B5C-4A9A-AD64-74B1712AD1E7}"/>
    <cellStyle name="SAPBEXexcCritical5_Bal 032025" xfId="125" xr:uid="{1D900495-8652-4DF4-9E63-398F28752AEA}"/>
    <cellStyle name="SAPBEXexcCritical6" xfId="53" xr:uid="{48CADB77-6DA6-496C-9994-7C2D5A3D305A}"/>
    <cellStyle name="SAPBEXexcCritical6 2" xfId="96" xr:uid="{63E65291-C7A1-45E4-9882-C5EAE5BFDEE6}"/>
    <cellStyle name="SAPBEXexcCritical6_Bal 032025" xfId="126" xr:uid="{5D07BB17-40F8-4900-8A45-0C791276C5F7}"/>
    <cellStyle name="SAPBEXexcGood1" xfId="54" xr:uid="{AC2047AB-FEC7-41B3-94F9-74D80D7D868A}"/>
    <cellStyle name="SAPBEXexcGood1 2" xfId="97" xr:uid="{2551B9DD-B9D1-4371-BCD8-633993FFD228}"/>
    <cellStyle name="SAPBEXexcGood1_Bal 032025" xfId="127" xr:uid="{3DD42E8D-E9A1-4A73-8F82-57C6D6A770C0}"/>
    <cellStyle name="SAPBEXexcGood2" xfId="55" xr:uid="{1A54C18D-0323-4127-9C62-F4AEC6654333}"/>
    <cellStyle name="SAPBEXexcGood2 2" xfId="98" xr:uid="{5C454146-4FE4-4BC9-AB24-54517CAAFB48}"/>
    <cellStyle name="SAPBEXexcGood2_Bal 032025" xfId="128" xr:uid="{A9910AE9-386A-4BE1-A9BF-18690BCF7728}"/>
    <cellStyle name="SAPBEXexcGood3" xfId="56" xr:uid="{DEA87783-E08B-485A-BC13-F329A447FA48}"/>
    <cellStyle name="SAPBEXexcGood3 2" xfId="99" xr:uid="{384A7F1A-B2C9-4471-AB44-99F1A82D055E}"/>
    <cellStyle name="SAPBEXexcGood3_Bal 032025" xfId="129" xr:uid="{D3DED155-584E-423E-B2AE-539C929BF974}"/>
    <cellStyle name="SAPBEXfilterDrill" xfId="57" xr:uid="{0C005F2E-75AE-469A-A230-15E5BCDA3A14}"/>
    <cellStyle name="SAPBEXfilterDrill 2" xfId="100" xr:uid="{12849FF2-59F9-4DBF-A6CC-0300B54BA028}"/>
    <cellStyle name="SAPBEXfilterDrill_Bal 032025" xfId="130" xr:uid="{EE366CD9-5CE6-4163-AE9E-AC3A4FA8D477}"/>
    <cellStyle name="SAPBEXfilterItem" xfId="58" xr:uid="{B52B7532-2921-44D5-A130-6A15B04CAF51}"/>
    <cellStyle name="SAPBEXfilterText" xfId="59" xr:uid="{06A38C1A-5527-4DA2-9908-86BB6A33D43F}"/>
    <cellStyle name="SAPBEXformats" xfId="60" xr:uid="{C8E09A24-CFB7-413C-99CA-C856F7141D52}"/>
    <cellStyle name="SAPBEXformats 2" xfId="101" xr:uid="{6E347EDB-8271-4D76-BB34-FF6CD844787E}"/>
    <cellStyle name="SAPBEXformats_Bal 032025" xfId="131" xr:uid="{CC8289A7-BBF3-4D1C-AD5E-ED55E6B170A9}"/>
    <cellStyle name="SAPBEXheaderItem" xfId="61" xr:uid="{640A8341-4AAD-44EA-8D57-2B52B3647A91}"/>
    <cellStyle name="SAPBEXheaderItem 2" xfId="102" xr:uid="{476FD82B-6A71-4A20-A6EC-C61387EC9EB2}"/>
    <cellStyle name="SAPBEXheaderItem_Bal 032025" xfId="132" xr:uid="{0676715B-A6F4-44C1-BCE4-EC7D1B13564B}"/>
    <cellStyle name="SAPBEXheaderText" xfId="62" xr:uid="{844C29FD-E02F-44A9-AAA0-58A747827317}"/>
    <cellStyle name="SAPBEXheaderText 2" xfId="103" xr:uid="{E7201EED-09D8-4EB6-96CE-4E8BE6680546}"/>
    <cellStyle name="SAPBEXheaderText_Bal 032025" xfId="133" xr:uid="{B011FA6E-36DB-4CF5-880C-5E5ECD4A749D}"/>
    <cellStyle name="SAPBEXHLevel0" xfId="63" xr:uid="{C6313DE0-8D11-44BC-A9E2-18241C1519EE}"/>
    <cellStyle name="SAPBEXHLevel0 2" xfId="104" xr:uid="{A7D7D522-B4F9-4D0B-A698-36AA66D204AE}"/>
    <cellStyle name="SAPBEXHLevel0_Bal 032025" xfId="134" xr:uid="{9025A014-54F2-4381-95CB-AEF7370F3994}"/>
    <cellStyle name="SAPBEXHLevel0X" xfId="64" xr:uid="{ADF05F08-C784-4132-820C-78BAE0D05FEC}"/>
    <cellStyle name="SAPBEXHLevel0X 2" xfId="105" xr:uid="{0D62A7F6-A5FC-4293-B39E-00B074D7E96C}"/>
    <cellStyle name="SAPBEXHLevel0X_Bal 032025" xfId="135" xr:uid="{8DBF49E1-9AD8-4CF1-86D4-EEAE6377FE11}"/>
    <cellStyle name="SAPBEXHLevel1" xfId="65" xr:uid="{BA1C2278-3E37-4DE3-9048-97A2F776614B}"/>
    <cellStyle name="SAPBEXHLevel1 2" xfId="106" xr:uid="{7F370390-08BF-44C3-861E-338CDB80A458}"/>
    <cellStyle name="SAPBEXHLevel1_Bal 032025" xfId="136" xr:uid="{79E65D75-E019-4BBA-B0BC-62159DDE2935}"/>
    <cellStyle name="SAPBEXHLevel1X" xfId="66" xr:uid="{A289C24F-EBB8-43FC-BE63-F54F1DB9795D}"/>
    <cellStyle name="SAPBEXHLevel1X 2" xfId="107" xr:uid="{EA045DEF-257D-4885-AB33-0661BAB0C711}"/>
    <cellStyle name="SAPBEXHLevel1X_Bal 032025" xfId="137" xr:uid="{F7760F09-E3D3-4623-9B7F-D3674D7AC336}"/>
    <cellStyle name="SAPBEXHLevel2" xfId="67" xr:uid="{C61A5F2C-FB2B-4591-825E-224DB7A16408}"/>
    <cellStyle name="SAPBEXHLevel2 2" xfId="108" xr:uid="{0575622D-DB37-4A20-B977-574968200A3F}"/>
    <cellStyle name="SAPBEXHLevel2_Bal 032025" xfId="138" xr:uid="{10271EFD-12CA-4D9E-AA96-EE0370735FFE}"/>
    <cellStyle name="SAPBEXHLevel2X" xfId="68" xr:uid="{6841B4D3-777A-4DC5-B8AA-341B9E8F8790}"/>
    <cellStyle name="SAPBEXHLevel2X 2" xfId="109" xr:uid="{CCE9B9EC-6652-4CDE-92BE-4627AF58D5EB}"/>
    <cellStyle name="SAPBEXHLevel2X_Bal 032025" xfId="139" xr:uid="{7C8773B2-E75A-46D4-9D07-4B3FAD38195C}"/>
    <cellStyle name="SAPBEXHLevel3" xfId="69" xr:uid="{A5844BCB-ADBF-4F57-9B38-0F331190353E}"/>
    <cellStyle name="SAPBEXHLevel3 2" xfId="110" xr:uid="{8F80492F-3F6D-4A43-A1EE-963487AB6260}"/>
    <cellStyle name="SAPBEXHLevel3_Bal 032025" xfId="140" xr:uid="{66A442F1-BD4D-4E73-BAAE-7B5C4E931DE0}"/>
    <cellStyle name="SAPBEXHLevel3X" xfId="70" xr:uid="{8EB9E5C2-5C3D-491E-A59E-9F21BFD735CE}"/>
    <cellStyle name="SAPBEXHLevel3X 2" xfId="111" xr:uid="{E19BE87B-40DF-4F1B-99A5-4DAC41CD0AB9}"/>
    <cellStyle name="SAPBEXHLevel3X_Bal 032025" xfId="141" xr:uid="{BFEF054D-A55D-4C29-ADE0-063AD62A0B32}"/>
    <cellStyle name="SAPBEXinputData" xfId="71" xr:uid="{88685369-E914-48FE-99F5-1D2521D9F72B}"/>
    <cellStyle name="SAPBEXinputData 2" xfId="112" xr:uid="{79D4B563-DBA9-4B2A-987E-8946C2B00869}"/>
    <cellStyle name="SAPBEXinputData_Bal 032025" xfId="142" xr:uid="{6000596C-4DD9-4AD3-A17A-F4EA32563E6E}"/>
    <cellStyle name="SAPBEXItemHeader" xfId="72" xr:uid="{E91D7F51-F06B-4290-9496-71A22EE886A7}"/>
    <cellStyle name="SAPBEXresData" xfId="73" xr:uid="{8AD040EE-A2D1-4227-B7D4-985C3E165A88}"/>
    <cellStyle name="SAPBEXresDataEmph" xfId="74" xr:uid="{C2A5926C-858F-40C6-9D22-C33755D665F1}"/>
    <cellStyle name="SAPBEXresItem" xfId="75" xr:uid="{9E40E1C1-C273-4380-BBE2-281DCD882F91}"/>
    <cellStyle name="SAPBEXresItemX" xfId="76" xr:uid="{557D8F6A-F8CA-49FF-8EA2-74ADB0CEF609}"/>
    <cellStyle name="SAPBEXstdData" xfId="77" xr:uid="{872F3AF8-BF08-49F7-BE15-099D0597922E}"/>
    <cellStyle name="SAPBEXstdData 2" xfId="113" xr:uid="{9E67AB23-2568-420D-BA18-707C1DEFB99B}"/>
    <cellStyle name="SAPBEXstdData_Bal 032025" xfId="143" xr:uid="{08DC3190-3795-4B46-84F0-CFD554A4BB16}"/>
    <cellStyle name="SAPBEXstdDataEmph" xfId="78" xr:uid="{60EC755A-579C-4153-AB40-A0FA9C7AF205}"/>
    <cellStyle name="SAPBEXstdItem" xfId="79" xr:uid="{7C644933-4D24-4039-8A58-98DA0D09C857}"/>
    <cellStyle name="SAPBEXstdItem 2" xfId="114" xr:uid="{A7FCFA8C-B41E-4D40-976F-084A0AAF059D}"/>
    <cellStyle name="SAPBEXstdItem_Bal 032025" xfId="144" xr:uid="{67B1A2C7-13C4-4733-A82A-698D2E580966}"/>
    <cellStyle name="SAPBEXstdItemX" xfId="80" xr:uid="{40FF9513-EF22-47AF-8D41-049EFB1CB5A5}"/>
    <cellStyle name="SAPBEXtitle" xfId="81" xr:uid="{515B828C-C542-49C8-B00E-C0BFFF51B846}"/>
    <cellStyle name="SAPBEXunassignedItem" xfId="82" xr:uid="{BB17087C-B5A4-4341-B57B-C76A1D6E3A73}"/>
    <cellStyle name="SAPBEXunassignedItem 2" xfId="115" xr:uid="{40ECC012-2198-48AA-A035-06E89AAF7A47}"/>
    <cellStyle name="SAPBEXunassignedItem_Bal 032025" xfId="145" xr:uid="{213FEE47-3A7A-49BF-8C51-F90A5839A389}"/>
    <cellStyle name="SAPBEXundefined" xfId="83" xr:uid="{7576E25B-4A56-4673-8430-9F30CCCAB28D}"/>
    <cellStyle name="Sheet Title" xfId="84" xr:uid="{0A10AC94-B454-4632-8D76-416E9E98E161}"/>
    <cellStyle name="Texto de Aviso 2" xfId="86" xr:uid="{D1658F2E-0D52-4936-ABF3-E8BC67846BB3}"/>
    <cellStyle name="Título 1 2" xfId="34" xr:uid="{A224F4B5-32E6-4290-88EA-34AB96FC605E}"/>
    <cellStyle name="Título 2 2" xfId="35" xr:uid="{B75A4294-A018-42FE-A594-891599B52B6B}"/>
    <cellStyle name="Título 3 2" xfId="36" xr:uid="{01866BDE-63D3-4B08-92DF-21A3B3658AED}"/>
    <cellStyle name="Título 4 2" xfId="37" xr:uid="{F005A7EF-E625-49C9-9162-7F7DC2240241}"/>
    <cellStyle name="Total 2" xfId="85" xr:uid="{AD99CDAE-70E3-4EA3-A600-96E1DF503902}"/>
    <cellStyle name="Vírgula" xfId="1" builtinId="3"/>
    <cellStyle name="Vírgula 2" xfId="117" xr:uid="{E5E33125-B221-4954-A384-239E81462327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7BFB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70A86600-0B81-4825-815A-07AD7896F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FA1E276D-EFD5-4CFB-BD57-7BB003D9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772398E1-13CE-4AAC-99E8-C3CE1F20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87A878F0-A4E3-4D37-9BB0-893E1481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47622</xdr:colOff>
      <xdr:row>0</xdr:row>
      <xdr:rowOff>70035</xdr:rowOff>
    </xdr:to>
    <xdr:pic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AAA2BC1B-86D1-448E-ACC7-9F3354D9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47622</xdr:colOff>
      <xdr:row>0</xdr:row>
      <xdr:rowOff>146235</xdr:rowOff>
    </xdr:to>
    <xdr:pic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4C599705-0010-4C5F-9B56-5EE244FF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CB38D08D-FA39-4EF7-A04B-3567DF15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9C32C01C-5657-4021-810A-5100E2FCD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157658</xdr:colOff>
      <xdr:row>2</xdr:row>
      <xdr:rowOff>8433</xdr:rowOff>
    </xdr:to>
    <xdr:pic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59FB931B-CCA6-40E8-9A18-9FE11BC32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0B12E0FE-CFA6-4861-AA9B-F84B40CC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531ADCED-484A-4A8D-AA69-7CADCEE01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8CC3B14C-956B-462B-8AA5-AFEE4E714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2E548DB3-878B-4DE7-A04C-75A816332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B25600F7-A7E7-40EF-8E0D-D1FAE9F8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FFACFF4F-598C-439F-AD21-642259B0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43267</xdr:colOff>
      <xdr:row>0</xdr:row>
      <xdr:rowOff>70035</xdr:rowOff>
    </xdr:to>
    <xdr:pic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3B21018C-E381-40B0-9B22-A83BEF28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43267</xdr:colOff>
      <xdr:row>0</xdr:row>
      <xdr:rowOff>146235</xdr:rowOff>
    </xdr:to>
    <xdr:pic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FDCE3B11-B0E5-4D36-888E-15ADB796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F5EC33C2-63C2-4835-ADA4-7FAB9C75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222435</xdr:colOff>
      <xdr:row>8</xdr:row>
      <xdr:rowOff>45626</xdr:rowOff>
    </xdr:to>
    <xdr:pic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F32A254F-9147-438C-BC83-D6BA7506D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184335</xdr:colOff>
      <xdr:row>9</xdr:row>
      <xdr:rowOff>7526</xdr:rowOff>
    </xdr:to>
    <xdr:pic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FA708581-012C-4A35-BDD2-F0B2B121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184335</xdr:colOff>
      <xdr:row>9</xdr:row>
      <xdr:rowOff>122733</xdr:rowOff>
    </xdr:to>
    <xdr:pic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93CFFB83-1C90-4EFE-970D-177C306F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184335</xdr:colOff>
      <xdr:row>10</xdr:row>
      <xdr:rowOff>71215</xdr:rowOff>
    </xdr:to>
    <xdr:pic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7749E463-E61A-43C5-A475-36E86BEE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53C0262C-68B0-48B0-BBE1-F863D7985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4C1CBF78-B901-4291-8FA0-AA40BE1C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222435</xdr:colOff>
      <xdr:row>3</xdr:row>
      <xdr:rowOff>84633</xdr:rowOff>
    </xdr:to>
    <xdr:pic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060A6AEF-EBE8-4D24-8583-72D6D800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ADF59C4F-F648-43D4-AD02-AB7D74076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2E1EA314-B236-4A38-ABE7-9A601FDA3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222435</xdr:colOff>
      <xdr:row>4</xdr:row>
      <xdr:rowOff>158565</xdr:rowOff>
    </xdr:to>
    <xdr:pic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4161A31E-0B7C-4323-9688-281D5066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4D493D42-CBC1-4DD7-AD57-0290DF7DE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184335</xdr:colOff>
      <xdr:row>8</xdr:row>
      <xdr:rowOff>45626</xdr:rowOff>
    </xdr:to>
    <xdr:pic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6A8C9822-2DAC-4231-9742-2B0685CE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184335</xdr:colOff>
      <xdr:row>7</xdr:row>
      <xdr:rowOff>109315</xdr:rowOff>
    </xdr:to>
    <xdr:pic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723DB54E-A26C-450E-B28A-E5C2FD37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184335</xdr:colOff>
      <xdr:row>6</xdr:row>
      <xdr:rowOff>160833</xdr:rowOff>
    </xdr:to>
    <xdr:pic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7CD177D7-0F68-480F-8E83-5C88C5040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184335</xdr:colOff>
      <xdr:row>6</xdr:row>
      <xdr:rowOff>30574</xdr:rowOff>
    </xdr:to>
    <xdr:pic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3E29D333-1085-4D4F-8689-C9D35BDD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184335</xdr:colOff>
      <xdr:row>5</xdr:row>
      <xdr:rowOff>109315</xdr:rowOff>
    </xdr:to>
    <xdr:pic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DDF1DAD0-F2AC-4992-8113-33784A4B6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184335</xdr:colOff>
      <xdr:row>4</xdr:row>
      <xdr:rowOff>158565</xdr:rowOff>
    </xdr:to>
    <xdr:pic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69204DAC-49F9-438E-BB55-79474A73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184335</xdr:colOff>
      <xdr:row>4</xdr:row>
      <xdr:rowOff>33115</xdr:rowOff>
    </xdr:to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839AF573-07FF-4892-8867-82CE49F84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184335</xdr:colOff>
      <xdr:row>3</xdr:row>
      <xdr:rowOff>84633</xdr:rowOff>
    </xdr:to>
    <xdr:pic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40935D8C-D0C0-47CB-ACF7-38164CADC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4A777DFE-86C6-4A16-9DE7-D1BDBC2CA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8A5FB234-0183-4B84-BC2C-DE3F7A2D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154943</xdr:colOff>
      <xdr:row>79</xdr:row>
      <xdr:rowOff>46533</xdr:rowOff>
    </xdr:to>
    <xdr:pic>
      <xdr:nvPicPr>
        <xdr:cNvPr id="41" name="BExXRND8208TWULE9S50U89VKPB7" descr="ETUGZV0SKTQDQB8JOYY0DCX79" hidden="1">
          <a:extLst>
            <a:ext uri="{FF2B5EF4-FFF2-40B4-BE49-F238E27FC236}">
              <a16:creationId xmlns:a16="http://schemas.microsoft.com/office/drawing/2014/main" id="{F447A460-AA8A-4EB8-926D-3E08D51200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5675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42" name="BExMO7VFCN4EL59982UR4AJ25JNJ" descr="XX6TINEJADZGKR0CTM7ZRT0RA" hidden="1">
          <a:extLst>
            <a:ext uri="{FF2B5EF4-FFF2-40B4-BE49-F238E27FC236}">
              <a16:creationId xmlns:a16="http://schemas.microsoft.com/office/drawing/2014/main" id="{5BBB09CD-1839-4049-990E-E3D24C8B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43" name="BExU3EX5JJCXCII4YKUJBFBGIJR2" descr="OF5ZI9PI5WH36VPANJ2DYLNMI" hidden="1">
          <a:extLst>
            <a:ext uri="{FF2B5EF4-FFF2-40B4-BE49-F238E27FC236}">
              <a16:creationId xmlns:a16="http://schemas.microsoft.com/office/drawing/2014/main" id="{9BE4DC5A-E5B4-4D5C-8034-69B4C7BB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44" name="BEx1KD7H6UB1VYCJ7O61P562EIUY" descr="IQGV9140X0K0UPBL8OGU3I44J" hidden="1">
          <a:extLst>
            <a:ext uri="{FF2B5EF4-FFF2-40B4-BE49-F238E27FC236}">
              <a16:creationId xmlns:a16="http://schemas.microsoft.com/office/drawing/2014/main" id="{BF71D95B-3242-4D68-A0AB-72235C94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45" name="BEx5BJQWS6YWHH4ZMSUAMD641V6Y" descr="ZTMFMXCIQSECDX38ALEFHUB00" hidden="1">
          <a:extLst>
            <a:ext uri="{FF2B5EF4-FFF2-40B4-BE49-F238E27FC236}">
              <a16:creationId xmlns:a16="http://schemas.microsoft.com/office/drawing/2014/main" id="{B33B1A63-E46E-4179-8838-2CD47509A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47713</xdr:colOff>
      <xdr:row>0</xdr:row>
      <xdr:rowOff>70035</xdr:rowOff>
    </xdr:to>
    <xdr:pic>
      <xdr:nvPicPr>
        <xdr:cNvPr id="46" name="BExVTO5Q8G2M7BPL4B2584LQS0R0" descr="OB6Q8NA4LZFE4GM9Y3V56BPMQ" hidden="1">
          <a:extLst>
            <a:ext uri="{FF2B5EF4-FFF2-40B4-BE49-F238E27FC236}">
              <a16:creationId xmlns:a16="http://schemas.microsoft.com/office/drawing/2014/main" id="{3718C487-6E06-4CF4-9D8F-F07EEE35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47713</xdr:colOff>
      <xdr:row>0</xdr:row>
      <xdr:rowOff>146235</xdr:rowOff>
    </xdr:to>
    <xdr:pic>
      <xdr:nvPicPr>
        <xdr:cNvPr id="47" name="BExIFSCLN1G86X78PFLTSMRP0US5" descr="9JK4SPV4DG7VTCZIILWHXQU5J" hidden="1">
          <a:extLst>
            <a:ext uri="{FF2B5EF4-FFF2-40B4-BE49-F238E27FC236}">
              <a16:creationId xmlns:a16="http://schemas.microsoft.com/office/drawing/2014/main" id="{5C2BBCD1-C536-4B65-923C-3BDD7684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48" name="BEx1I152WN2D3A85O2XN0DGXCWHN" descr="KHBZFMANRA4UMJR1AB4M5NJNT" hidden="1">
          <a:extLst>
            <a:ext uri="{FF2B5EF4-FFF2-40B4-BE49-F238E27FC236}">
              <a16:creationId xmlns:a16="http://schemas.microsoft.com/office/drawing/2014/main" id="{09D1902E-98B6-4035-86DD-21B30511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49" name="BExW9676P0SKCVKK25QCGHPA3PAD" descr="9A4PWZ20RMSRF0PNECCDM75CA" hidden="1">
          <a:extLst>
            <a:ext uri="{FF2B5EF4-FFF2-40B4-BE49-F238E27FC236}">
              <a16:creationId xmlns:a16="http://schemas.microsoft.com/office/drawing/2014/main" id="{48BA1D9B-B5A3-4A51-8586-AF7A3D349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157658</xdr:colOff>
      <xdr:row>2</xdr:row>
      <xdr:rowOff>5258</xdr:rowOff>
    </xdr:to>
    <xdr:pic>
      <xdr:nvPicPr>
        <xdr:cNvPr id="50" name="BExW253QPOZK9KW8BJC3LBXGCG2N" descr="Y5HX37BEUWSN1NEFJKZJXI3SX" hidden="1">
          <a:extLst>
            <a:ext uri="{FF2B5EF4-FFF2-40B4-BE49-F238E27FC236}">
              <a16:creationId xmlns:a16="http://schemas.microsoft.com/office/drawing/2014/main" id="{F337117A-9E40-436C-ADD5-EC0D9751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51" name="BExS5CPQ8P8JOQPK7ANNKHLSGOKU" hidden="1">
          <a:extLst>
            <a:ext uri="{FF2B5EF4-FFF2-40B4-BE49-F238E27FC236}">
              <a16:creationId xmlns:a16="http://schemas.microsoft.com/office/drawing/2014/main" id="{903FBA74-43D6-464E-8F7A-0DA0BFF66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52" name="BExMM0AVUAIRNJLXB1FW8R0YB4ZZ" hidden="1">
          <a:extLst>
            <a:ext uri="{FF2B5EF4-FFF2-40B4-BE49-F238E27FC236}">
              <a16:creationId xmlns:a16="http://schemas.microsoft.com/office/drawing/2014/main" id="{3138D21D-D529-41C7-BAD8-3FD10B27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53" name="BExXZ7Y09CBS0XA7IPB3IRJ8RJM4" hidden="1">
          <a:extLst>
            <a:ext uri="{FF2B5EF4-FFF2-40B4-BE49-F238E27FC236}">
              <a16:creationId xmlns:a16="http://schemas.microsoft.com/office/drawing/2014/main" id="{B66A004F-9DBC-4143-B5BC-00989E9A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54" name="BExQ7SXS9VUG7P6CACU2J7R2SGIZ" hidden="1">
          <a:extLst>
            <a:ext uri="{FF2B5EF4-FFF2-40B4-BE49-F238E27FC236}">
              <a16:creationId xmlns:a16="http://schemas.microsoft.com/office/drawing/2014/main" id="{002C21E9-F470-4335-A714-2F32055B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55" name="BEx5AQZ4ETQ9LMY5EBWVH20Z7VXQ" hidden="1">
          <a:extLst>
            <a:ext uri="{FF2B5EF4-FFF2-40B4-BE49-F238E27FC236}">
              <a16:creationId xmlns:a16="http://schemas.microsoft.com/office/drawing/2014/main" id="{5570B91D-DB59-4C47-B7AA-C2D04386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56" name="BExUBK0YZ5VYFY8TTITJGJU9S06A" hidden="1">
          <a:extLst>
            <a:ext uri="{FF2B5EF4-FFF2-40B4-BE49-F238E27FC236}">
              <a16:creationId xmlns:a16="http://schemas.microsoft.com/office/drawing/2014/main" id="{D6EF5C81-DB90-4475-BF6C-850B2AE36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43267</xdr:colOff>
      <xdr:row>0</xdr:row>
      <xdr:rowOff>70035</xdr:rowOff>
    </xdr:to>
    <xdr:pic>
      <xdr:nvPicPr>
        <xdr:cNvPr id="57" name="BExUEZCSSJ7RN4J18I2NUIQR2FZS" hidden="1">
          <a:extLst>
            <a:ext uri="{FF2B5EF4-FFF2-40B4-BE49-F238E27FC236}">
              <a16:creationId xmlns:a16="http://schemas.microsoft.com/office/drawing/2014/main" id="{62F2F885-A3D8-4E62-B9C6-DA9F78D14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43267</xdr:colOff>
      <xdr:row>0</xdr:row>
      <xdr:rowOff>146235</xdr:rowOff>
    </xdr:to>
    <xdr:pic>
      <xdr:nvPicPr>
        <xdr:cNvPr id="58" name="BExS3JDQWF7U3F5JTEVOE16ASIYK" hidden="1">
          <a:extLst>
            <a:ext uri="{FF2B5EF4-FFF2-40B4-BE49-F238E27FC236}">
              <a16:creationId xmlns:a16="http://schemas.microsoft.com/office/drawing/2014/main" id="{AC421E15-E651-4366-B965-D341C38B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59" name="BEx973S463FCQVJ7QDFBUIU0WJ3F" descr="ZQTVYL8DCSADVT0QMRXFLU0TR" hidden="1">
          <a:extLst>
            <a:ext uri="{FF2B5EF4-FFF2-40B4-BE49-F238E27FC236}">
              <a16:creationId xmlns:a16="http://schemas.microsoft.com/office/drawing/2014/main" id="{F7AC6E72-8AD1-400F-8DBE-59C210B43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222435</xdr:colOff>
      <xdr:row>8</xdr:row>
      <xdr:rowOff>43358</xdr:rowOff>
    </xdr:to>
    <xdr:pic>
      <xdr:nvPicPr>
        <xdr:cNvPr id="60" name="BExRZO0PLWWMCLGRH7EH6UXYWGAJ" descr="9D4GQ34QB727H10MA3SSAR2R9" hidden="1">
          <a:extLst>
            <a:ext uri="{FF2B5EF4-FFF2-40B4-BE49-F238E27FC236}">
              <a16:creationId xmlns:a16="http://schemas.microsoft.com/office/drawing/2014/main" id="{3B1B6495-CB32-49B6-83BB-E9D015F48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184335</xdr:colOff>
      <xdr:row>9</xdr:row>
      <xdr:rowOff>7526</xdr:rowOff>
    </xdr:to>
    <xdr:pic>
      <xdr:nvPicPr>
        <xdr:cNvPr id="61" name="BExBDP6HNAAJUM39SE5G2C8BKNRQ" descr="1TM64TL2QIMYV7WYSV2VLGXY4" hidden="1">
          <a:extLst>
            <a:ext uri="{FF2B5EF4-FFF2-40B4-BE49-F238E27FC236}">
              <a16:creationId xmlns:a16="http://schemas.microsoft.com/office/drawing/2014/main" id="{56059506-A9A1-4EA9-9BE1-42C7B5F5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184335</xdr:colOff>
      <xdr:row>9</xdr:row>
      <xdr:rowOff>119558</xdr:rowOff>
    </xdr:to>
    <xdr:pic>
      <xdr:nvPicPr>
        <xdr:cNvPr id="62" name="BExQEGJP61DL2NZY6LMBHBZ0J5YT" descr="D6ZNRZJ7EX4GZT9RO8LE0C905" hidden="1">
          <a:extLst>
            <a:ext uri="{FF2B5EF4-FFF2-40B4-BE49-F238E27FC236}">
              <a16:creationId xmlns:a16="http://schemas.microsoft.com/office/drawing/2014/main" id="{E05F8D4F-E82E-450B-BB42-F9A3B78F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184335</xdr:colOff>
      <xdr:row>10</xdr:row>
      <xdr:rowOff>70035</xdr:rowOff>
    </xdr:to>
    <xdr:pic>
      <xdr:nvPicPr>
        <xdr:cNvPr id="63" name="BExTY1BCS6HZIF6HI5491FGHDVAE" descr="MJ6976KI2UH1IE8M227DUYXMJ" hidden="1">
          <a:extLst>
            <a:ext uri="{FF2B5EF4-FFF2-40B4-BE49-F238E27FC236}">
              <a16:creationId xmlns:a16="http://schemas.microsoft.com/office/drawing/2014/main" id="{925FAFFA-3B96-4E65-A92E-9270B2396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64" name="BEx5FXJGJOT93D0J2IRJ3985IUMI" hidden="1">
          <a:extLst>
            <a:ext uri="{FF2B5EF4-FFF2-40B4-BE49-F238E27FC236}">
              <a16:creationId xmlns:a16="http://schemas.microsoft.com/office/drawing/2014/main" id="{76C8D1C7-8BAE-4D15-AB0E-3ADC3484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70035</xdr:rowOff>
    </xdr:to>
    <xdr:pic>
      <xdr:nvPicPr>
        <xdr:cNvPr id="65" name="BEx3RTMHAR35NUAAK49TV6NU7EPA" descr="QFXLG4ZCXTRQSJYFCKJ58G9N8" hidden="1">
          <a:extLst>
            <a:ext uri="{FF2B5EF4-FFF2-40B4-BE49-F238E27FC236}">
              <a16:creationId xmlns:a16="http://schemas.microsoft.com/office/drawing/2014/main" id="{97E8070A-BD50-4BBB-927E-11A5AF10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222435</xdr:colOff>
      <xdr:row>3</xdr:row>
      <xdr:rowOff>81458</xdr:rowOff>
    </xdr:to>
    <xdr:pic>
      <xdr:nvPicPr>
        <xdr:cNvPr id="66" name="BExS8T38WLC2R738ZC7BDJQAKJAJ" descr="MRI962L5PB0E0YWXCIBN82VJH" hidden="1">
          <a:extLst>
            <a:ext uri="{FF2B5EF4-FFF2-40B4-BE49-F238E27FC236}">
              <a16:creationId xmlns:a16="http://schemas.microsoft.com/office/drawing/2014/main" id="{F23FB0C3-BF42-4FC9-8EF1-91CE1BD6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67" name="BEx5F64BJ6DCM4EJH81D5ZFNPZ0V" descr="7DJ9FILZD2YPS6X1JBP9E76TU" hidden="1">
          <a:extLst>
            <a:ext uri="{FF2B5EF4-FFF2-40B4-BE49-F238E27FC236}">
              <a16:creationId xmlns:a16="http://schemas.microsoft.com/office/drawing/2014/main" id="{097EFC9B-4809-4945-B55B-61E51C74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68" name="BExQEXXHA3EEXR44LT6RKCDWM6ZT" hidden="1">
          <a:extLst>
            <a:ext uri="{FF2B5EF4-FFF2-40B4-BE49-F238E27FC236}">
              <a16:creationId xmlns:a16="http://schemas.microsoft.com/office/drawing/2014/main" id="{EC197EF7-B4D6-49F6-BC1D-F3076405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222435</xdr:colOff>
      <xdr:row>4</xdr:row>
      <xdr:rowOff>158565</xdr:rowOff>
    </xdr:to>
    <xdr:pic>
      <xdr:nvPicPr>
        <xdr:cNvPr id="69" name="BEx1X6AMHV6ZK3UJB2BXIJTJHYJU" descr="OALR4L95ELQLZ1Y1LETHM1CS9" hidden="1">
          <a:extLst>
            <a:ext uri="{FF2B5EF4-FFF2-40B4-BE49-F238E27FC236}">
              <a16:creationId xmlns:a16="http://schemas.microsoft.com/office/drawing/2014/main" id="{FA782618-3B13-4E2D-A08A-064BCDEB1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70035</xdr:rowOff>
    </xdr:to>
    <xdr:pic>
      <xdr:nvPicPr>
        <xdr:cNvPr id="70" name="BExSDIVCE09QKG3CT52PHCS6ZJ09" descr="9F076L7EQCF2COMMGCQG6BQGU" hidden="1">
          <a:extLst>
            <a:ext uri="{FF2B5EF4-FFF2-40B4-BE49-F238E27FC236}">
              <a16:creationId xmlns:a16="http://schemas.microsoft.com/office/drawing/2014/main" id="{63F9A69A-116A-429D-B539-6940648F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184335</xdr:colOff>
      <xdr:row>8</xdr:row>
      <xdr:rowOff>43358</xdr:rowOff>
    </xdr:to>
    <xdr:pic>
      <xdr:nvPicPr>
        <xdr:cNvPr id="71" name="BEx1QZGQZBAWJ8591VXEIPUOVS7X" descr="MEW27CPIFG44B7E7HEQUUF5QF" hidden="1">
          <a:extLst>
            <a:ext uri="{FF2B5EF4-FFF2-40B4-BE49-F238E27FC236}">
              <a16:creationId xmlns:a16="http://schemas.microsoft.com/office/drawing/2014/main" id="{96BBF636-D0E0-4349-A1F5-12EE1B95A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184335</xdr:colOff>
      <xdr:row>7</xdr:row>
      <xdr:rowOff>108135</xdr:rowOff>
    </xdr:to>
    <xdr:pic>
      <xdr:nvPicPr>
        <xdr:cNvPr id="72" name="BExMF7LICJLPXSHM63A6EQ79YQKG" descr="U084VZL15IMB1OFRRAY6GVKAE" hidden="1">
          <a:extLst>
            <a:ext uri="{FF2B5EF4-FFF2-40B4-BE49-F238E27FC236}">
              <a16:creationId xmlns:a16="http://schemas.microsoft.com/office/drawing/2014/main" id="{CC2019D7-DDA2-4A2F-BDB0-FB0622FF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184335</xdr:colOff>
      <xdr:row>6</xdr:row>
      <xdr:rowOff>157658</xdr:rowOff>
    </xdr:to>
    <xdr:pic>
      <xdr:nvPicPr>
        <xdr:cNvPr id="73" name="BExS343F8GCKP6HTF9Y97L133DX8" descr="ZRF0KB1IYQSNV63CTXT25G67G" hidden="1">
          <a:extLst>
            <a:ext uri="{FF2B5EF4-FFF2-40B4-BE49-F238E27FC236}">
              <a16:creationId xmlns:a16="http://schemas.microsoft.com/office/drawing/2014/main" id="{FD956283-FF68-4CFD-BFD0-843F9D9F5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184335</xdr:colOff>
      <xdr:row>6</xdr:row>
      <xdr:rowOff>30574</xdr:rowOff>
    </xdr:to>
    <xdr:pic>
      <xdr:nvPicPr>
        <xdr:cNvPr id="74" name="BExZMRC09W87CY4B73NPZMNH21AH" descr="78CUMI0OVLYJRSDRQ3V2YX812" hidden="1">
          <a:extLst>
            <a:ext uri="{FF2B5EF4-FFF2-40B4-BE49-F238E27FC236}">
              <a16:creationId xmlns:a16="http://schemas.microsoft.com/office/drawing/2014/main" id="{BA27CD65-00E2-4299-9407-BB0200B5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184335</xdr:colOff>
      <xdr:row>5</xdr:row>
      <xdr:rowOff>108135</xdr:rowOff>
    </xdr:to>
    <xdr:pic>
      <xdr:nvPicPr>
        <xdr:cNvPr id="75" name="BExZXVFJ4DY4I24AARDT4AMP6EN1" descr="TXSMH2MTH86CYKA26740RQPUC" hidden="1">
          <a:extLst>
            <a:ext uri="{FF2B5EF4-FFF2-40B4-BE49-F238E27FC236}">
              <a16:creationId xmlns:a16="http://schemas.microsoft.com/office/drawing/2014/main" id="{251F4BD0-B313-4CD1-B92B-AEA8E4B7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184335</xdr:colOff>
      <xdr:row>4</xdr:row>
      <xdr:rowOff>158565</xdr:rowOff>
    </xdr:to>
    <xdr:pic>
      <xdr:nvPicPr>
        <xdr:cNvPr id="76" name="BExOCUIOFQWUGTBU5ESTW3EYEP5C" descr="9BNF49V0R6VVYPHEVMJ3ABDQZ" hidden="1">
          <a:extLst>
            <a:ext uri="{FF2B5EF4-FFF2-40B4-BE49-F238E27FC236}">
              <a16:creationId xmlns:a16="http://schemas.microsoft.com/office/drawing/2014/main" id="{2F300385-AF82-45D3-AE55-204EB384C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184335</xdr:colOff>
      <xdr:row>4</xdr:row>
      <xdr:rowOff>31935</xdr:rowOff>
    </xdr:to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EA58A1CA-CF9B-47B3-9B51-427E6A73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184335</xdr:colOff>
      <xdr:row>3</xdr:row>
      <xdr:rowOff>81458</xdr:rowOff>
    </xdr:to>
    <xdr:pic>
      <xdr:nvPicPr>
        <xdr:cNvPr id="78" name="BExOPRCR0UW7TKXSV5WDTL348FGL" descr="S9JM17GP1802LHN4GT14BJYIC" hidden="1">
          <a:extLst>
            <a:ext uri="{FF2B5EF4-FFF2-40B4-BE49-F238E27FC236}">
              <a16:creationId xmlns:a16="http://schemas.microsoft.com/office/drawing/2014/main" id="{91376B0B-86DB-41DB-ABA6-0A9AC8705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79" name="BEx5OESAY2W8SEGI3TSB65EHJ04B" descr="9CN2Y88X8WYV1HWZG1QILY9BK" hidden="1">
          <a:extLst>
            <a:ext uri="{FF2B5EF4-FFF2-40B4-BE49-F238E27FC236}">
              <a16:creationId xmlns:a16="http://schemas.microsoft.com/office/drawing/2014/main" id="{2562AD49-C17F-4D7C-8C77-BA0DA3BCA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80" name="BExGMWEQ2BYRY9BAO5T1X850MJN1" descr="AZ9ST0XDIOP50HSUFO5V31BR0" hidden="1">
          <a:extLst>
            <a:ext uri="{FF2B5EF4-FFF2-40B4-BE49-F238E27FC236}">
              <a16:creationId xmlns:a16="http://schemas.microsoft.com/office/drawing/2014/main" id="{DE928421-0FCF-4017-B101-33EF6BA5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150498</xdr:colOff>
      <xdr:row>79</xdr:row>
      <xdr:rowOff>46533</xdr:rowOff>
    </xdr:to>
    <xdr:pic>
      <xdr:nvPicPr>
        <xdr:cNvPr id="81" name="BExXRND8208TWULE9S50U89VKPB7" descr="ETUGZV0SKTQDQB8JOYY0DCX79" hidden="1">
          <a:extLst>
            <a:ext uri="{FF2B5EF4-FFF2-40B4-BE49-F238E27FC236}">
              <a16:creationId xmlns:a16="http://schemas.microsoft.com/office/drawing/2014/main" id="{2A99C554-D1EF-4310-AF3B-2D12B01071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2500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82" name="BExMO7VFCN4EL59982UR4AJ25JNJ" descr="XX6TINEJADZGKR0CTM7ZRT0RA" hidden="1">
          <a:extLst>
            <a:ext uri="{FF2B5EF4-FFF2-40B4-BE49-F238E27FC236}">
              <a16:creationId xmlns:a16="http://schemas.microsoft.com/office/drawing/2014/main" id="{0247F877-4760-4E65-B8ED-274E3916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83" name="BExU3EX5JJCXCII4YKUJBFBGIJR2" descr="OF5ZI9PI5WH36VPANJ2DYLNMI" hidden="1">
          <a:extLst>
            <a:ext uri="{FF2B5EF4-FFF2-40B4-BE49-F238E27FC236}">
              <a16:creationId xmlns:a16="http://schemas.microsoft.com/office/drawing/2014/main" id="{28CAE202-4B87-4A38-981F-5D2C6B43E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84" name="BEx1KD7H6UB1VYCJ7O61P562EIUY" descr="IQGV9140X0K0UPBL8OGU3I44J" hidden="1">
          <a:extLst>
            <a:ext uri="{FF2B5EF4-FFF2-40B4-BE49-F238E27FC236}">
              <a16:creationId xmlns:a16="http://schemas.microsoft.com/office/drawing/2014/main" id="{323B884F-109A-4EAD-A776-A0414334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85" name="BEx5BJQWS6YWHH4ZMSUAMD641V6Y" descr="ZTMFMXCIQSECDX38ALEFHUB00" hidden="1">
          <a:extLst>
            <a:ext uri="{FF2B5EF4-FFF2-40B4-BE49-F238E27FC236}">
              <a16:creationId xmlns:a16="http://schemas.microsoft.com/office/drawing/2014/main" id="{8D0DE25B-FB92-43CD-902D-4FE69E2A6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47713</xdr:colOff>
      <xdr:row>0</xdr:row>
      <xdr:rowOff>70035</xdr:rowOff>
    </xdr:to>
    <xdr:pic>
      <xdr:nvPicPr>
        <xdr:cNvPr id="86" name="BExVTO5Q8G2M7BPL4B2584LQS0R0" descr="OB6Q8NA4LZFE4GM9Y3V56BPMQ" hidden="1">
          <a:extLst>
            <a:ext uri="{FF2B5EF4-FFF2-40B4-BE49-F238E27FC236}">
              <a16:creationId xmlns:a16="http://schemas.microsoft.com/office/drawing/2014/main" id="{C79FDE26-888B-43D2-9A66-5640146F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47713</xdr:colOff>
      <xdr:row>0</xdr:row>
      <xdr:rowOff>146235</xdr:rowOff>
    </xdr:to>
    <xdr:pic>
      <xdr:nvPicPr>
        <xdr:cNvPr id="87" name="BExIFSCLN1G86X78PFLTSMRP0US5" descr="9JK4SPV4DG7VTCZIILWHXQU5J" hidden="1">
          <a:extLst>
            <a:ext uri="{FF2B5EF4-FFF2-40B4-BE49-F238E27FC236}">
              <a16:creationId xmlns:a16="http://schemas.microsoft.com/office/drawing/2014/main" id="{CAAF876A-2105-45B4-9A4F-D3FE0C2D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88" name="BEx1I152WN2D3A85O2XN0DGXCWHN" descr="KHBZFMANRA4UMJR1AB4M5NJNT" hidden="1">
          <a:extLst>
            <a:ext uri="{FF2B5EF4-FFF2-40B4-BE49-F238E27FC236}">
              <a16:creationId xmlns:a16="http://schemas.microsoft.com/office/drawing/2014/main" id="{E973622C-6F88-4B11-B613-597DBA976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89" name="BExW9676P0SKCVKK25QCGHPA3PAD" descr="9A4PWZ20RMSRF0PNECCDM75CA" hidden="1">
          <a:extLst>
            <a:ext uri="{FF2B5EF4-FFF2-40B4-BE49-F238E27FC236}">
              <a16:creationId xmlns:a16="http://schemas.microsoft.com/office/drawing/2014/main" id="{68C9F9D9-C057-4A3E-889A-CC15E68E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157658</xdr:colOff>
      <xdr:row>2</xdr:row>
      <xdr:rowOff>5258</xdr:rowOff>
    </xdr:to>
    <xdr:pic>
      <xdr:nvPicPr>
        <xdr:cNvPr id="90" name="BExW253QPOZK9KW8BJC3LBXGCG2N" descr="Y5HX37BEUWSN1NEFJKZJXI3SX" hidden="1">
          <a:extLst>
            <a:ext uri="{FF2B5EF4-FFF2-40B4-BE49-F238E27FC236}">
              <a16:creationId xmlns:a16="http://schemas.microsoft.com/office/drawing/2014/main" id="{22C77179-0EFA-4D32-93F3-46C3BBE5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91" name="BExS5CPQ8P8JOQPK7ANNKHLSGOKU" hidden="1">
          <a:extLst>
            <a:ext uri="{FF2B5EF4-FFF2-40B4-BE49-F238E27FC236}">
              <a16:creationId xmlns:a16="http://schemas.microsoft.com/office/drawing/2014/main" id="{82D99D4E-0B8A-4FA8-B780-F9F21564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92" name="BExMM0AVUAIRNJLXB1FW8R0YB4ZZ" hidden="1">
          <a:extLst>
            <a:ext uri="{FF2B5EF4-FFF2-40B4-BE49-F238E27FC236}">
              <a16:creationId xmlns:a16="http://schemas.microsoft.com/office/drawing/2014/main" id="{EE7ED181-2BFB-4C27-B868-8BCBE0B69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70035</xdr:colOff>
      <xdr:row>0</xdr:row>
      <xdr:rowOff>70035</xdr:rowOff>
    </xdr:to>
    <xdr:pic>
      <xdr:nvPicPr>
        <xdr:cNvPr id="93" name="BExXZ7Y09CBS0XA7IPB3IRJ8RJM4" hidden="1">
          <a:extLst>
            <a:ext uri="{FF2B5EF4-FFF2-40B4-BE49-F238E27FC236}">
              <a16:creationId xmlns:a16="http://schemas.microsoft.com/office/drawing/2014/main" id="{AE6AC8D2-DDC8-47C4-A2BD-661C6D030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70035</xdr:colOff>
      <xdr:row>0</xdr:row>
      <xdr:rowOff>146235</xdr:rowOff>
    </xdr:to>
    <xdr:pic>
      <xdr:nvPicPr>
        <xdr:cNvPr id="94" name="BExQ7SXS9VUG7P6CACU2J7R2SGIZ" hidden="1">
          <a:extLst>
            <a:ext uri="{FF2B5EF4-FFF2-40B4-BE49-F238E27FC236}">
              <a16:creationId xmlns:a16="http://schemas.microsoft.com/office/drawing/2014/main" id="{E2A71FB7-A9B7-45A0-A24D-06C31D4A6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95" name="BEx5AQZ4ETQ9LMY5EBWVH20Z7VXQ" hidden="1">
          <a:extLst>
            <a:ext uri="{FF2B5EF4-FFF2-40B4-BE49-F238E27FC236}">
              <a16:creationId xmlns:a16="http://schemas.microsoft.com/office/drawing/2014/main" id="{0CAF1B07-605A-4042-80B2-C497C8412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96" name="BExUBK0YZ5VYFY8TTITJGJU9S06A" hidden="1">
          <a:extLst>
            <a:ext uri="{FF2B5EF4-FFF2-40B4-BE49-F238E27FC236}">
              <a16:creationId xmlns:a16="http://schemas.microsoft.com/office/drawing/2014/main" id="{28C3225B-C24E-400E-9784-711C66F5D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43267</xdr:colOff>
      <xdr:row>0</xdr:row>
      <xdr:rowOff>70035</xdr:rowOff>
    </xdr:to>
    <xdr:pic>
      <xdr:nvPicPr>
        <xdr:cNvPr id="97" name="BExUEZCSSJ7RN4J18I2NUIQR2FZS" hidden="1">
          <a:extLst>
            <a:ext uri="{FF2B5EF4-FFF2-40B4-BE49-F238E27FC236}">
              <a16:creationId xmlns:a16="http://schemas.microsoft.com/office/drawing/2014/main" id="{35BB9D1F-F72C-4FE7-8AF7-1A9403EB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43267</xdr:colOff>
      <xdr:row>0</xdr:row>
      <xdr:rowOff>146235</xdr:rowOff>
    </xdr:to>
    <xdr:pic>
      <xdr:nvPicPr>
        <xdr:cNvPr id="98" name="BExS3JDQWF7U3F5JTEVOE16ASIYK" hidden="1">
          <a:extLst>
            <a:ext uri="{FF2B5EF4-FFF2-40B4-BE49-F238E27FC236}">
              <a16:creationId xmlns:a16="http://schemas.microsoft.com/office/drawing/2014/main" id="{D521E701-66B1-41D1-AF55-B5463795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99" name="BEx973S463FCQVJ7QDFBUIU0WJ3F" descr="ZQTVYL8DCSADVT0QMRXFLU0TR" hidden="1">
          <a:extLst>
            <a:ext uri="{FF2B5EF4-FFF2-40B4-BE49-F238E27FC236}">
              <a16:creationId xmlns:a16="http://schemas.microsoft.com/office/drawing/2014/main" id="{6A9479C4-7E8D-4121-B308-096424F3A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222435</xdr:colOff>
      <xdr:row>8</xdr:row>
      <xdr:rowOff>43358</xdr:rowOff>
    </xdr:to>
    <xdr:pic>
      <xdr:nvPicPr>
        <xdr:cNvPr id="100" name="BExRZO0PLWWMCLGRH7EH6UXYWGAJ" descr="9D4GQ34QB727H10MA3SSAR2R9" hidden="1">
          <a:extLst>
            <a:ext uri="{FF2B5EF4-FFF2-40B4-BE49-F238E27FC236}">
              <a16:creationId xmlns:a16="http://schemas.microsoft.com/office/drawing/2014/main" id="{09F30F67-7893-4802-BA76-4B77099F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184335</xdr:colOff>
      <xdr:row>9</xdr:row>
      <xdr:rowOff>7526</xdr:rowOff>
    </xdr:to>
    <xdr:pic>
      <xdr:nvPicPr>
        <xdr:cNvPr id="101" name="BExBDP6HNAAJUM39SE5G2C8BKNRQ" descr="1TM64TL2QIMYV7WYSV2VLGXY4" hidden="1">
          <a:extLst>
            <a:ext uri="{FF2B5EF4-FFF2-40B4-BE49-F238E27FC236}">
              <a16:creationId xmlns:a16="http://schemas.microsoft.com/office/drawing/2014/main" id="{D41721F3-AB36-4714-89F7-D5C0EBAD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184335</xdr:colOff>
      <xdr:row>9</xdr:row>
      <xdr:rowOff>119558</xdr:rowOff>
    </xdr:to>
    <xdr:pic>
      <xdr:nvPicPr>
        <xdr:cNvPr id="102" name="BExQEGJP61DL2NZY6LMBHBZ0J5YT" descr="D6ZNRZJ7EX4GZT9RO8LE0C905" hidden="1">
          <a:extLst>
            <a:ext uri="{FF2B5EF4-FFF2-40B4-BE49-F238E27FC236}">
              <a16:creationId xmlns:a16="http://schemas.microsoft.com/office/drawing/2014/main" id="{132EBEF0-8F9E-4B09-A353-FF91D888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184335</xdr:colOff>
      <xdr:row>10</xdr:row>
      <xdr:rowOff>70035</xdr:rowOff>
    </xdr:to>
    <xdr:pic>
      <xdr:nvPicPr>
        <xdr:cNvPr id="103" name="BExTY1BCS6HZIF6HI5491FGHDVAE" descr="MJ6976KI2UH1IE8M227DUYXMJ" hidden="1">
          <a:extLst>
            <a:ext uri="{FF2B5EF4-FFF2-40B4-BE49-F238E27FC236}">
              <a16:creationId xmlns:a16="http://schemas.microsoft.com/office/drawing/2014/main" id="{681A24A5-1BE6-4E74-8265-C35099AB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104" name="BEx5FXJGJOT93D0J2IRJ3985IUMI" hidden="1">
          <a:extLst>
            <a:ext uri="{FF2B5EF4-FFF2-40B4-BE49-F238E27FC236}">
              <a16:creationId xmlns:a16="http://schemas.microsoft.com/office/drawing/2014/main" id="{716F4376-C084-40CE-AF33-B00232D8A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70035</xdr:rowOff>
    </xdr:to>
    <xdr:pic>
      <xdr:nvPicPr>
        <xdr:cNvPr id="105" name="BEx3RTMHAR35NUAAK49TV6NU7EPA" descr="QFXLG4ZCXTRQSJYFCKJ58G9N8" hidden="1">
          <a:extLst>
            <a:ext uri="{FF2B5EF4-FFF2-40B4-BE49-F238E27FC236}">
              <a16:creationId xmlns:a16="http://schemas.microsoft.com/office/drawing/2014/main" id="{72F3FE3D-8C17-4C2E-8645-DAC4A8508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222435</xdr:colOff>
      <xdr:row>3</xdr:row>
      <xdr:rowOff>81458</xdr:rowOff>
    </xdr:to>
    <xdr:pic>
      <xdr:nvPicPr>
        <xdr:cNvPr id="106" name="BExS8T38WLC2R738ZC7BDJQAKJAJ" descr="MRI962L5PB0E0YWXCIBN82VJH" hidden="1">
          <a:extLst>
            <a:ext uri="{FF2B5EF4-FFF2-40B4-BE49-F238E27FC236}">
              <a16:creationId xmlns:a16="http://schemas.microsoft.com/office/drawing/2014/main" id="{E5F1270F-3B17-4A4D-B4BA-18E8F824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107" name="BEx5F64BJ6DCM4EJH81D5ZFNPZ0V" descr="7DJ9FILZD2YPS6X1JBP9E76TU" hidden="1">
          <a:extLst>
            <a:ext uri="{FF2B5EF4-FFF2-40B4-BE49-F238E27FC236}">
              <a16:creationId xmlns:a16="http://schemas.microsoft.com/office/drawing/2014/main" id="{FECB37D9-7907-4175-8D8C-106B3104B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108" name="BExQEXXHA3EEXR44LT6RKCDWM6ZT" hidden="1">
          <a:extLst>
            <a:ext uri="{FF2B5EF4-FFF2-40B4-BE49-F238E27FC236}">
              <a16:creationId xmlns:a16="http://schemas.microsoft.com/office/drawing/2014/main" id="{14771BF8-C4F4-4438-A449-4DCF076A3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222435</xdr:colOff>
      <xdr:row>4</xdr:row>
      <xdr:rowOff>158565</xdr:rowOff>
    </xdr:to>
    <xdr:pic>
      <xdr:nvPicPr>
        <xdr:cNvPr id="109" name="BEx1X6AMHV6ZK3UJB2BXIJTJHYJU" descr="OALR4L95ELQLZ1Y1LETHM1CS9" hidden="1">
          <a:extLst>
            <a:ext uri="{FF2B5EF4-FFF2-40B4-BE49-F238E27FC236}">
              <a16:creationId xmlns:a16="http://schemas.microsoft.com/office/drawing/2014/main" id="{B9C6CA3C-0935-44BA-8A38-A1AF35B5B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70035</xdr:rowOff>
    </xdr:to>
    <xdr:pic>
      <xdr:nvPicPr>
        <xdr:cNvPr id="110" name="BExSDIVCE09QKG3CT52PHCS6ZJ09" descr="9F076L7EQCF2COMMGCQG6BQGU" hidden="1">
          <a:extLst>
            <a:ext uri="{FF2B5EF4-FFF2-40B4-BE49-F238E27FC236}">
              <a16:creationId xmlns:a16="http://schemas.microsoft.com/office/drawing/2014/main" id="{C06DDD38-6102-433B-9120-709DDB7E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184335</xdr:colOff>
      <xdr:row>8</xdr:row>
      <xdr:rowOff>43358</xdr:rowOff>
    </xdr:to>
    <xdr:pic>
      <xdr:nvPicPr>
        <xdr:cNvPr id="111" name="BEx1QZGQZBAWJ8591VXEIPUOVS7X" descr="MEW27CPIFG44B7E7HEQUUF5QF" hidden="1">
          <a:extLst>
            <a:ext uri="{FF2B5EF4-FFF2-40B4-BE49-F238E27FC236}">
              <a16:creationId xmlns:a16="http://schemas.microsoft.com/office/drawing/2014/main" id="{EA33F0CE-8621-40F1-AE5E-525D9012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184335</xdr:colOff>
      <xdr:row>7</xdr:row>
      <xdr:rowOff>108135</xdr:rowOff>
    </xdr:to>
    <xdr:pic>
      <xdr:nvPicPr>
        <xdr:cNvPr id="112" name="BExMF7LICJLPXSHM63A6EQ79YQKG" descr="U084VZL15IMB1OFRRAY6GVKAE" hidden="1">
          <a:extLst>
            <a:ext uri="{FF2B5EF4-FFF2-40B4-BE49-F238E27FC236}">
              <a16:creationId xmlns:a16="http://schemas.microsoft.com/office/drawing/2014/main" id="{A23F0B23-C4F3-4451-8618-35A51E83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184335</xdr:colOff>
      <xdr:row>6</xdr:row>
      <xdr:rowOff>157658</xdr:rowOff>
    </xdr:to>
    <xdr:pic>
      <xdr:nvPicPr>
        <xdr:cNvPr id="113" name="BExS343F8GCKP6HTF9Y97L133DX8" descr="ZRF0KB1IYQSNV63CTXT25G67G" hidden="1">
          <a:extLst>
            <a:ext uri="{FF2B5EF4-FFF2-40B4-BE49-F238E27FC236}">
              <a16:creationId xmlns:a16="http://schemas.microsoft.com/office/drawing/2014/main" id="{958532A7-C9E7-4767-9C95-E8BE1B8BD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184335</xdr:colOff>
      <xdr:row>6</xdr:row>
      <xdr:rowOff>30574</xdr:rowOff>
    </xdr:to>
    <xdr:pic>
      <xdr:nvPicPr>
        <xdr:cNvPr id="114" name="BExZMRC09W87CY4B73NPZMNH21AH" descr="78CUMI0OVLYJRSDRQ3V2YX812" hidden="1">
          <a:extLst>
            <a:ext uri="{FF2B5EF4-FFF2-40B4-BE49-F238E27FC236}">
              <a16:creationId xmlns:a16="http://schemas.microsoft.com/office/drawing/2014/main" id="{011F4BA2-6236-4D3B-BD39-DAFA49B2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184335</xdr:colOff>
      <xdr:row>5</xdr:row>
      <xdr:rowOff>108135</xdr:rowOff>
    </xdr:to>
    <xdr:pic>
      <xdr:nvPicPr>
        <xdr:cNvPr id="115" name="BExZXVFJ4DY4I24AARDT4AMP6EN1" descr="TXSMH2MTH86CYKA26740RQPUC" hidden="1">
          <a:extLst>
            <a:ext uri="{FF2B5EF4-FFF2-40B4-BE49-F238E27FC236}">
              <a16:creationId xmlns:a16="http://schemas.microsoft.com/office/drawing/2014/main" id="{3CCBF447-4EE9-4EBC-8ACA-A4AF5FCC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184335</xdr:colOff>
      <xdr:row>4</xdr:row>
      <xdr:rowOff>158565</xdr:rowOff>
    </xdr:to>
    <xdr:pic>
      <xdr:nvPicPr>
        <xdr:cNvPr id="116" name="BExOCUIOFQWUGTBU5ESTW3EYEP5C" descr="9BNF49V0R6VVYPHEVMJ3ABDQZ" hidden="1">
          <a:extLst>
            <a:ext uri="{FF2B5EF4-FFF2-40B4-BE49-F238E27FC236}">
              <a16:creationId xmlns:a16="http://schemas.microsoft.com/office/drawing/2014/main" id="{7CD0702A-F6A4-4A64-BB13-022850B5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184335</xdr:colOff>
      <xdr:row>4</xdr:row>
      <xdr:rowOff>31935</xdr:rowOff>
    </xdr:to>
    <xdr:pic>
      <xdr:nvPicPr>
        <xdr:cNvPr id="117" name="BExU65O9OE4B4MQ2A3OYH13M8BZJ" descr="3INNIMMPDBB0JF37L81M6ID21" hidden="1">
          <a:extLst>
            <a:ext uri="{FF2B5EF4-FFF2-40B4-BE49-F238E27FC236}">
              <a16:creationId xmlns:a16="http://schemas.microsoft.com/office/drawing/2014/main" id="{E7412382-42AB-447F-B9D9-404295C6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184335</xdr:colOff>
      <xdr:row>3</xdr:row>
      <xdr:rowOff>81458</xdr:rowOff>
    </xdr:to>
    <xdr:pic>
      <xdr:nvPicPr>
        <xdr:cNvPr id="118" name="BExOPRCR0UW7TKXSV5WDTL348FGL" descr="S9JM17GP1802LHN4GT14BJYIC" hidden="1">
          <a:extLst>
            <a:ext uri="{FF2B5EF4-FFF2-40B4-BE49-F238E27FC236}">
              <a16:creationId xmlns:a16="http://schemas.microsoft.com/office/drawing/2014/main" id="{EEF4BC17-813D-4E12-802C-EFF05B904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119" name="BEx5OESAY2W8SEGI3TSB65EHJ04B" descr="9CN2Y88X8WYV1HWZG1QILY9BK" hidden="1">
          <a:extLst>
            <a:ext uri="{FF2B5EF4-FFF2-40B4-BE49-F238E27FC236}">
              <a16:creationId xmlns:a16="http://schemas.microsoft.com/office/drawing/2014/main" id="{77628FB1-039B-445F-932C-7752D2FB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5258</xdr:rowOff>
    </xdr:to>
    <xdr:pic>
      <xdr:nvPicPr>
        <xdr:cNvPr id="120" name="BExGMWEQ2BYRY9BAO5T1X850MJN1" descr="AZ9ST0XDIOP50HSUFO5V31BR0" hidden="1">
          <a:extLst>
            <a:ext uri="{FF2B5EF4-FFF2-40B4-BE49-F238E27FC236}">
              <a16:creationId xmlns:a16="http://schemas.microsoft.com/office/drawing/2014/main" id="{977278BF-7C15-4A39-A684-29EBCAB8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150498</xdr:colOff>
      <xdr:row>79</xdr:row>
      <xdr:rowOff>46533</xdr:rowOff>
    </xdr:to>
    <xdr:pic>
      <xdr:nvPicPr>
        <xdr:cNvPr id="121" name="BExXRND8208TWULE9S50U89VKPB7" descr="ETUGZV0SKTQDQB8JOYY0DCX79" hidden="1">
          <a:extLst>
            <a:ext uri="{FF2B5EF4-FFF2-40B4-BE49-F238E27FC236}">
              <a16:creationId xmlns:a16="http://schemas.microsoft.com/office/drawing/2014/main" id="{E1F99E4E-BF51-4A9C-B713-71E0DF7A5B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2500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276225</xdr:colOff>
      <xdr:row>2</xdr:row>
      <xdr:rowOff>133350</xdr:rowOff>
    </xdr:from>
    <xdr:to>
      <xdr:col>1</xdr:col>
      <xdr:colOff>336735</xdr:colOff>
      <xdr:row>3</xdr:row>
      <xdr:rowOff>0</xdr:rowOff>
    </xdr:to>
    <xdr:pic>
      <xdr:nvPicPr>
        <xdr:cNvPr id="122" name="BExMO7VFCN4EL59982UR4AJ25JNJ" descr="XX6TINEJADZGKR0CTM7ZRT0RA" hidden="1">
          <a:extLst>
            <a:ext uri="{FF2B5EF4-FFF2-40B4-BE49-F238E27FC236}">
              <a16:creationId xmlns:a16="http://schemas.microsoft.com/office/drawing/2014/main" id="{8DDD509D-A565-4AEE-9515-DC4A652A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05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3</xdr:row>
      <xdr:rowOff>28575</xdr:rowOff>
    </xdr:from>
    <xdr:to>
      <xdr:col>1</xdr:col>
      <xdr:colOff>336735</xdr:colOff>
      <xdr:row>3</xdr:row>
      <xdr:rowOff>82365</xdr:rowOff>
    </xdr:to>
    <xdr:pic>
      <xdr:nvPicPr>
        <xdr:cNvPr id="123" name="BExU3EX5JJCXCII4YKUJBFBGIJR2" descr="OF5ZI9PI5WH36VPANJ2DYLNMI" hidden="1">
          <a:extLst>
            <a:ext uri="{FF2B5EF4-FFF2-40B4-BE49-F238E27FC236}">
              <a16:creationId xmlns:a16="http://schemas.microsoft.com/office/drawing/2014/main" id="{67EEA364-8D54-4098-9222-EE1A32B3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05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209550</xdr:colOff>
      <xdr:row>2</xdr:row>
      <xdr:rowOff>133350</xdr:rowOff>
    </xdr:from>
    <xdr:to>
      <xdr:col>2</xdr:col>
      <xdr:colOff>260535</xdr:colOff>
      <xdr:row>3</xdr:row>
      <xdr:rowOff>0</xdr:rowOff>
    </xdr:to>
    <xdr:pic>
      <xdr:nvPicPr>
        <xdr:cNvPr id="124" name="BEx1KD7H6UB1VYCJ7O61P562EIUY" descr="IQGV9140X0K0UPBL8OGU3I44J" hidden="1">
          <a:extLst>
            <a:ext uri="{FF2B5EF4-FFF2-40B4-BE49-F238E27FC236}">
              <a16:creationId xmlns:a16="http://schemas.microsoft.com/office/drawing/2014/main" id="{30EB0930-875B-41E5-9F63-E0F501C9D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3475" y="495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209550</xdr:colOff>
      <xdr:row>3</xdr:row>
      <xdr:rowOff>28575</xdr:rowOff>
    </xdr:from>
    <xdr:to>
      <xdr:col>2</xdr:col>
      <xdr:colOff>260535</xdr:colOff>
      <xdr:row>3</xdr:row>
      <xdr:rowOff>82365</xdr:rowOff>
    </xdr:to>
    <xdr:pic>
      <xdr:nvPicPr>
        <xdr:cNvPr id="125" name="BEx5BJQWS6YWHH4ZMSUAMD641V6Y" descr="ZTMFMXCIQSECDX38ALEFHUB00" hidden="1">
          <a:extLst>
            <a:ext uri="{FF2B5EF4-FFF2-40B4-BE49-F238E27FC236}">
              <a16:creationId xmlns:a16="http://schemas.microsoft.com/office/drawing/2014/main" id="{3AEBEE40-AFE0-412A-BB89-0446610EA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33475" y="568325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3</xdr:col>
      <xdr:colOff>219075</xdr:colOff>
      <xdr:row>2</xdr:row>
      <xdr:rowOff>133350</xdr:rowOff>
    </xdr:from>
    <xdr:to>
      <xdr:col>3</xdr:col>
      <xdr:colOff>271958</xdr:colOff>
      <xdr:row>3</xdr:row>
      <xdr:rowOff>0</xdr:rowOff>
    </xdr:to>
    <xdr:pic>
      <xdr:nvPicPr>
        <xdr:cNvPr id="126" name="BExVTO5Q8G2M7BPL4B2584LQS0R0" descr="OB6Q8NA4LZFE4GM9Y3V56BPMQ" hidden="1">
          <a:extLst>
            <a:ext uri="{FF2B5EF4-FFF2-40B4-BE49-F238E27FC236}">
              <a16:creationId xmlns:a16="http://schemas.microsoft.com/office/drawing/2014/main" id="{C5A995A8-0F66-4E66-81E3-78C0CDD2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5430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219075</xdr:colOff>
      <xdr:row>3</xdr:row>
      <xdr:rowOff>28575</xdr:rowOff>
    </xdr:from>
    <xdr:to>
      <xdr:col>3</xdr:col>
      <xdr:colOff>271958</xdr:colOff>
      <xdr:row>3</xdr:row>
      <xdr:rowOff>82365</xdr:rowOff>
    </xdr:to>
    <xdr:pic>
      <xdr:nvPicPr>
        <xdr:cNvPr id="127" name="BExIFSCLN1G86X78PFLTSMRP0US5" descr="9JK4SPV4DG7VTCZIILWHXQU5J" hidden="1">
          <a:extLst>
            <a:ext uri="{FF2B5EF4-FFF2-40B4-BE49-F238E27FC236}">
              <a16:creationId xmlns:a16="http://schemas.microsoft.com/office/drawing/2014/main" id="{2410BDFE-567C-424B-9EE1-A9B0B0C8F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5430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2</xdr:row>
      <xdr:rowOff>133350</xdr:rowOff>
    </xdr:from>
    <xdr:to>
      <xdr:col>1</xdr:col>
      <xdr:colOff>336735</xdr:colOff>
      <xdr:row>3</xdr:row>
      <xdr:rowOff>0</xdr:rowOff>
    </xdr:to>
    <xdr:pic>
      <xdr:nvPicPr>
        <xdr:cNvPr id="128" name="BEx1I152WN2D3A85O2XN0DGXCWHN" descr="KHBZFMANRA4UMJR1AB4M5NJNT" hidden="1">
          <a:extLst>
            <a:ext uri="{FF2B5EF4-FFF2-40B4-BE49-F238E27FC236}">
              <a16:creationId xmlns:a16="http://schemas.microsoft.com/office/drawing/2014/main" id="{A89D2F95-BFB5-4B5B-A0E9-5C4C97D0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05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3</xdr:row>
      <xdr:rowOff>28575</xdr:rowOff>
    </xdr:from>
    <xdr:to>
      <xdr:col>1</xdr:col>
      <xdr:colOff>336735</xdr:colOff>
      <xdr:row>3</xdr:row>
      <xdr:rowOff>82365</xdr:rowOff>
    </xdr:to>
    <xdr:pic>
      <xdr:nvPicPr>
        <xdr:cNvPr id="129" name="BExW9676P0SKCVKK25QCGHPA3PAD" descr="9A4PWZ20RMSRF0PNECCDM75CA" hidden="1">
          <a:extLst>
            <a:ext uri="{FF2B5EF4-FFF2-40B4-BE49-F238E27FC236}">
              <a16:creationId xmlns:a16="http://schemas.microsoft.com/office/drawing/2014/main" id="{6C0E7884-E893-4323-B7CA-151BAC079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05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4</xdr:row>
      <xdr:rowOff>9525</xdr:rowOff>
    </xdr:from>
    <xdr:to>
      <xdr:col>1</xdr:col>
      <xdr:colOff>412935</xdr:colOff>
      <xdr:row>4</xdr:row>
      <xdr:rowOff>147142</xdr:rowOff>
    </xdr:to>
    <xdr:pic>
      <xdr:nvPicPr>
        <xdr:cNvPr id="130" name="BExW253QPOZK9KW8BJC3LBXGCG2N" descr="Y5HX37BEUWSN1NEFJKZJXI3SX" hidden="1">
          <a:extLst>
            <a:ext uri="{FF2B5EF4-FFF2-40B4-BE49-F238E27FC236}">
              <a16:creationId xmlns:a16="http://schemas.microsoft.com/office/drawing/2014/main" id="{D84C919C-D985-45D5-B6DD-B6F2B5B8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3050" y="730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276225</xdr:colOff>
      <xdr:row>2</xdr:row>
      <xdr:rowOff>133350</xdr:rowOff>
    </xdr:from>
    <xdr:to>
      <xdr:col>1</xdr:col>
      <xdr:colOff>336735</xdr:colOff>
      <xdr:row>3</xdr:row>
      <xdr:rowOff>0</xdr:rowOff>
    </xdr:to>
    <xdr:pic>
      <xdr:nvPicPr>
        <xdr:cNvPr id="131" name="BExS5CPQ8P8JOQPK7ANNKHLSGOKU" hidden="1">
          <a:extLst>
            <a:ext uri="{FF2B5EF4-FFF2-40B4-BE49-F238E27FC236}">
              <a16:creationId xmlns:a16="http://schemas.microsoft.com/office/drawing/2014/main" id="{34845593-8CFE-494D-8F2A-9E800133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05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3</xdr:row>
      <xdr:rowOff>28575</xdr:rowOff>
    </xdr:from>
    <xdr:to>
      <xdr:col>1</xdr:col>
      <xdr:colOff>336735</xdr:colOff>
      <xdr:row>3</xdr:row>
      <xdr:rowOff>82365</xdr:rowOff>
    </xdr:to>
    <xdr:pic>
      <xdr:nvPicPr>
        <xdr:cNvPr id="132" name="BExMM0AVUAIRNJLXB1FW8R0YB4ZZ" hidden="1">
          <a:extLst>
            <a:ext uri="{FF2B5EF4-FFF2-40B4-BE49-F238E27FC236}">
              <a16:creationId xmlns:a16="http://schemas.microsoft.com/office/drawing/2014/main" id="{ADD18009-277D-4E96-943C-2B952689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05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276225</xdr:colOff>
      <xdr:row>2</xdr:row>
      <xdr:rowOff>133350</xdr:rowOff>
    </xdr:from>
    <xdr:to>
      <xdr:col>1</xdr:col>
      <xdr:colOff>336735</xdr:colOff>
      <xdr:row>3</xdr:row>
      <xdr:rowOff>0</xdr:rowOff>
    </xdr:to>
    <xdr:pic>
      <xdr:nvPicPr>
        <xdr:cNvPr id="133" name="BExXZ7Y09CBS0XA7IPB3IRJ8RJM4" hidden="1">
          <a:extLst>
            <a:ext uri="{FF2B5EF4-FFF2-40B4-BE49-F238E27FC236}">
              <a16:creationId xmlns:a16="http://schemas.microsoft.com/office/drawing/2014/main" id="{B15DAC7B-5384-4045-A405-7F26A4D0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05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276225</xdr:colOff>
      <xdr:row>3</xdr:row>
      <xdr:rowOff>28575</xdr:rowOff>
    </xdr:from>
    <xdr:to>
      <xdr:col>1</xdr:col>
      <xdr:colOff>336735</xdr:colOff>
      <xdr:row>3</xdr:row>
      <xdr:rowOff>82365</xdr:rowOff>
    </xdr:to>
    <xdr:pic>
      <xdr:nvPicPr>
        <xdr:cNvPr id="134" name="BExQ7SXS9VUG7P6CACU2J7R2SGIZ" hidden="1">
          <a:extLst>
            <a:ext uri="{FF2B5EF4-FFF2-40B4-BE49-F238E27FC236}">
              <a16:creationId xmlns:a16="http://schemas.microsoft.com/office/drawing/2014/main" id="{8F1D6A54-E88C-447E-BE38-25565EDF1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05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209550</xdr:colOff>
      <xdr:row>2</xdr:row>
      <xdr:rowOff>133350</xdr:rowOff>
    </xdr:from>
    <xdr:to>
      <xdr:col>2</xdr:col>
      <xdr:colOff>260535</xdr:colOff>
      <xdr:row>3</xdr:row>
      <xdr:rowOff>0</xdr:rowOff>
    </xdr:to>
    <xdr:pic>
      <xdr:nvPicPr>
        <xdr:cNvPr id="135" name="BEx5AQZ4ETQ9LMY5EBWVH20Z7VXQ" hidden="1">
          <a:extLst>
            <a:ext uri="{FF2B5EF4-FFF2-40B4-BE49-F238E27FC236}">
              <a16:creationId xmlns:a16="http://schemas.microsoft.com/office/drawing/2014/main" id="{B3AF0DFF-34C8-4AE0-B398-1B555B687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3475" y="495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209550</xdr:colOff>
      <xdr:row>3</xdr:row>
      <xdr:rowOff>28575</xdr:rowOff>
    </xdr:from>
    <xdr:to>
      <xdr:col>2</xdr:col>
      <xdr:colOff>260535</xdr:colOff>
      <xdr:row>3</xdr:row>
      <xdr:rowOff>82365</xdr:rowOff>
    </xdr:to>
    <xdr:pic>
      <xdr:nvPicPr>
        <xdr:cNvPr id="136" name="BExUBK0YZ5VYFY8TTITJGJU9S06A" hidden="1">
          <a:extLst>
            <a:ext uri="{FF2B5EF4-FFF2-40B4-BE49-F238E27FC236}">
              <a16:creationId xmlns:a16="http://schemas.microsoft.com/office/drawing/2014/main" id="{DC3300DF-7FD7-49AF-A550-79269E23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33475" y="568325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219075</xdr:colOff>
      <xdr:row>2</xdr:row>
      <xdr:rowOff>133350</xdr:rowOff>
    </xdr:from>
    <xdr:to>
      <xdr:col>3</xdr:col>
      <xdr:colOff>271958</xdr:colOff>
      <xdr:row>3</xdr:row>
      <xdr:rowOff>0</xdr:rowOff>
    </xdr:to>
    <xdr:pic>
      <xdr:nvPicPr>
        <xdr:cNvPr id="137" name="BExUEZCSSJ7RN4J18I2NUIQR2FZS" hidden="1">
          <a:extLst>
            <a:ext uri="{FF2B5EF4-FFF2-40B4-BE49-F238E27FC236}">
              <a16:creationId xmlns:a16="http://schemas.microsoft.com/office/drawing/2014/main" id="{5B374ED7-6488-412B-93DA-4D5B9B3F0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54300" y="495300"/>
          <a:ext cx="50800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219075</xdr:colOff>
      <xdr:row>3</xdr:row>
      <xdr:rowOff>28575</xdr:rowOff>
    </xdr:from>
    <xdr:to>
      <xdr:col>3</xdr:col>
      <xdr:colOff>271958</xdr:colOff>
      <xdr:row>3</xdr:row>
      <xdr:rowOff>82365</xdr:rowOff>
    </xdr:to>
    <xdr:pic>
      <xdr:nvPicPr>
        <xdr:cNvPr id="138" name="BExS3JDQWF7U3F5JTEVOE16ASIYK" hidden="1">
          <a:extLst>
            <a:ext uri="{FF2B5EF4-FFF2-40B4-BE49-F238E27FC236}">
              <a16:creationId xmlns:a16="http://schemas.microsoft.com/office/drawing/2014/main" id="{59A52A12-B287-4AC7-B410-205736944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54300" y="568325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295275</xdr:colOff>
      <xdr:row>4</xdr:row>
      <xdr:rowOff>133350</xdr:rowOff>
    </xdr:from>
    <xdr:to>
      <xdr:col>1</xdr:col>
      <xdr:colOff>424358</xdr:colOff>
      <xdr:row>5</xdr:row>
      <xdr:rowOff>68674</xdr:rowOff>
    </xdr:to>
    <xdr:pic>
      <xdr:nvPicPr>
        <xdr:cNvPr id="139" name="BEx973S463FCQVJ7QDFBUIU0WJ3F" descr="ZQTVYL8DCSADVT0QMRXFLU0TR" hidden="1">
          <a:extLst>
            <a:ext uri="{FF2B5EF4-FFF2-40B4-BE49-F238E27FC236}">
              <a16:creationId xmlns:a16="http://schemas.microsoft.com/office/drawing/2014/main" id="{3505FC9B-B7C4-4608-855D-EB8CF9B8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92100" y="8572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333375</xdr:colOff>
      <xdr:row>10</xdr:row>
      <xdr:rowOff>19050</xdr:rowOff>
    </xdr:from>
    <xdr:to>
      <xdr:col>1</xdr:col>
      <xdr:colOff>462458</xdr:colOff>
      <xdr:row>10</xdr:row>
      <xdr:rowOff>146235</xdr:rowOff>
    </xdr:to>
    <xdr:pic>
      <xdr:nvPicPr>
        <xdr:cNvPr id="140" name="BExRZO0PLWWMCLGRH7EH6UXYWGAJ" descr="9D4GQ34QB727H10MA3SSAR2R9" hidden="1">
          <a:extLst>
            <a:ext uri="{FF2B5EF4-FFF2-40B4-BE49-F238E27FC236}">
              <a16:creationId xmlns:a16="http://schemas.microsoft.com/office/drawing/2014/main" id="{FD944F20-5B3C-433F-987C-2179BEBA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0200" y="18288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10</xdr:row>
      <xdr:rowOff>142875</xdr:rowOff>
    </xdr:from>
    <xdr:to>
      <xdr:col>1</xdr:col>
      <xdr:colOff>424358</xdr:colOff>
      <xdr:row>11</xdr:row>
      <xdr:rowOff>81458</xdr:rowOff>
    </xdr:to>
    <xdr:pic>
      <xdr:nvPicPr>
        <xdr:cNvPr id="141" name="BExBDP6HNAAJUM39SE5G2C8BKNRQ" descr="1TM64TL2QIMYV7WYSV2VLGXY4" hidden="1">
          <a:extLst>
            <a:ext uri="{FF2B5EF4-FFF2-40B4-BE49-F238E27FC236}">
              <a16:creationId xmlns:a16="http://schemas.microsoft.com/office/drawing/2014/main" id="{9CFA5C04-5C63-41D5-A53E-6493D5E5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9494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11</xdr:row>
      <xdr:rowOff>85725</xdr:rowOff>
    </xdr:from>
    <xdr:to>
      <xdr:col>1</xdr:col>
      <xdr:colOff>424358</xdr:colOff>
      <xdr:row>12</xdr:row>
      <xdr:rowOff>31935</xdr:rowOff>
    </xdr:to>
    <xdr:pic>
      <xdr:nvPicPr>
        <xdr:cNvPr id="142" name="BExQEGJP61DL2NZY6LMBHBZ0J5YT" descr="D6ZNRZJ7EX4GZT9RO8LE0C905" hidden="1">
          <a:extLst>
            <a:ext uri="{FF2B5EF4-FFF2-40B4-BE49-F238E27FC236}">
              <a16:creationId xmlns:a16="http://schemas.microsoft.com/office/drawing/2014/main" id="{055A7E06-0DAD-4225-A3B8-218E2405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20732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12</xdr:row>
      <xdr:rowOff>28575</xdr:rowOff>
    </xdr:from>
    <xdr:to>
      <xdr:col>1</xdr:col>
      <xdr:colOff>424358</xdr:colOff>
      <xdr:row>12</xdr:row>
      <xdr:rowOff>158565</xdr:rowOff>
    </xdr:to>
    <xdr:pic>
      <xdr:nvPicPr>
        <xdr:cNvPr id="143" name="BExTY1BCS6HZIF6HI5491FGHDVAE" descr="MJ6976KI2UH1IE8M227DUYXMJ" hidden="1">
          <a:extLst>
            <a:ext uri="{FF2B5EF4-FFF2-40B4-BE49-F238E27FC236}">
              <a16:creationId xmlns:a16="http://schemas.microsoft.com/office/drawing/2014/main" id="{F9681A5D-60ED-4D18-B64F-8E5F33FE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21971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4</xdr:row>
      <xdr:rowOff>9525</xdr:rowOff>
    </xdr:from>
    <xdr:to>
      <xdr:col>1</xdr:col>
      <xdr:colOff>424358</xdr:colOff>
      <xdr:row>4</xdr:row>
      <xdr:rowOff>147142</xdr:rowOff>
    </xdr:to>
    <xdr:pic>
      <xdr:nvPicPr>
        <xdr:cNvPr id="144" name="BEx5FXJGJOT93D0J2IRJ3985IUMI" hidden="1">
          <a:extLst>
            <a:ext uri="{FF2B5EF4-FFF2-40B4-BE49-F238E27FC236}">
              <a16:creationId xmlns:a16="http://schemas.microsoft.com/office/drawing/2014/main" id="{11B20476-EBF5-4B83-8F49-51DD39967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730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257175</xdr:colOff>
      <xdr:row>3</xdr:row>
      <xdr:rowOff>66675</xdr:rowOff>
    </xdr:from>
    <xdr:to>
      <xdr:col>1</xdr:col>
      <xdr:colOff>386258</xdr:colOff>
      <xdr:row>4</xdr:row>
      <xdr:rowOff>5258</xdr:rowOff>
    </xdr:to>
    <xdr:pic>
      <xdr:nvPicPr>
        <xdr:cNvPr id="145" name="BEx3RTMHAR35NUAAK49TV6NU7EPA" descr="QFXLG4ZCXTRQSJYFCKJ58G9N8" hidden="1">
          <a:extLst>
            <a:ext uri="{FF2B5EF4-FFF2-40B4-BE49-F238E27FC236}">
              <a16:creationId xmlns:a16="http://schemas.microsoft.com/office/drawing/2014/main" id="{608C885B-7815-4302-8F80-AC751D48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0" y="606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333375</xdr:colOff>
      <xdr:row>5</xdr:row>
      <xdr:rowOff>76200</xdr:rowOff>
    </xdr:from>
    <xdr:to>
      <xdr:col>1</xdr:col>
      <xdr:colOff>462458</xdr:colOff>
      <xdr:row>6</xdr:row>
      <xdr:rowOff>4985</xdr:rowOff>
    </xdr:to>
    <xdr:pic>
      <xdr:nvPicPr>
        <xdr:cNvPr id="146" name="BExS8T38WLC2R738ZC7BDJQAKJAJ" descr="MRI962L5PB0E0YWXCIBN82VJH" hidden="1">
          <a:extLst>
            <a:ext uri="{FF2B5EF4-FFF2-40B4-BE49-F238E27FC236}">
              <a16:creationId xmlns:a16="http://schemas.microsoft.com/office/drawing/2014/main" id="{F9C75953-17BC-4A52-8335-E84F6281C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0200" y="9810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4</xdr:row>
      <xdr:rowOff>9525</xdr:rowOff>
    </xdr:from>
    <xdr:to>
      <xdr:col>1</xdr:col>
      <xdr:colOff>424358</xdr:colOff>
      <xdr:row>4</xdr:row>
      <xdr:rowOff>147142</xdr:rowOff>
    </xdr:to>
    <xdr:pic>
      <xdr:nvPicPr>
        <xdr:cNvPr id="147" name="BEx5F64BJ6DCM4EJH81D5ZFNPZ0V" descr="7DJ9FILZD2YPS6X1JBP9E76TU" hidden="1">
          <a:extLst>
            <a:ext uri="{FF2B5EF4-FFF2-40B4-BE49-F238E27FC236}">
              <a16:creationId xmlns:a16="http://schemas.microsoft.com/office/drawing/2014/main" id="{86B4DC59-A7A0-4427-899C-28B9AE18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730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4</xdr:row>
      <xdr:rowOff>9525</xdr:rowOff>
    </xdr:from>
    <xdr:to>
      <xdr:col>1</xdr:col>
      <xdr:colOff>424358</xdr:colOff>
      <xdr:row>4</xdr:row>
      <xdr:rowOff>147142</xdr:rowOff>
    </xdr:to>
    <xdr:pic>
      <xdr:nvPicPr>
        <xdr:cNvPr id="148" name="BExQEXXHA3EEXR44LT6RKCDWM6ZT" hidden="1">
          <a:extLst>
            <a:ext uri="{FF2B5EF4-FFF2-40B4-BE49-F238E27FC236}">
              <a16:creationId xmlns:a16="http://schemas.microsoft.com/office/drawing/2014/main" id="{414DDDC3-4DA9-42C9-9EFF-E582C4A99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730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333375</xdr:colOff>
      <xdr:row>6</xdr:row>
      <xdr:rowOff>133350</xdr:rowOff>
    </xdr:from>
    <xdr:to>
      <xdr:col>1</xdr:col>
      <xdr:colOff>462458</xdr:colOff>
      <xdr:row>7</xdr:row>
      <xdr:rowOff>68674</xdr:rowOff>
    </xdr:to>
    <xdr:pic>
      <xdr:nvPicPr>
        <xdr:cNvPr id="149" name="BEx1X6AMHV6ZK3UJB2BXIJTJHYJU" descr="OALR4L95ELQLZ1Y1LETHM1CS9" hidden="1">
          <a:extLst>
            <a:ext uri="{FF2B5EF4-FFF2-40B4-BE49-F238E27FC236}">
              <a16:creationId xmlns:a16="http://schemas.microsoft.com/office/drawing/2014/main" id="{25F83D0F-B814-4889-A27F-6B42D4ADB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0200" y="12192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257175</xdr:colOff>
      <xdr:row>3</xdr:row>
      <xdr:rowOff>66675</xdr:rowOff>
    </xdr:from>
    <xdr:to>
      <xdr:col>1</xdr:col>
      <xdr:colOff>386258</xdr:colOff>
      <xdr:row>4</xdr:row>
      <xdr:rowOff>5258</xdr:rowOff>
    </xdr:to>
    <xdr:pic>
      <xdr:nvPicPr>
        <xdr:cNvPr id="150" name="BExSDIVCE09QKG3CT52PHCS6ZJ09" descr="9F076L7EQCF2COMMGCQG6BQGU" hidden="1">
          <a:extLst>
            <a:ext uri="{FF2B5EF4-FFF2-40B4-BE49-F238E27FC236}">
              <a16:creationId xmlns:a16="http://schemas.microsoft.com/office/drawing/2014/main" id="{F69E256A-B6FB-4B7F-949F-9BE7DD30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0" y="606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10</xdr:row>
      <xdr:rowOff>19050</xdr:rowOff>
    </xdr:from>
    <xdr:to>
      <xdr:col>1</xdr:col>
      <xdr:colOff>424358</xdr:colOff>
      <xdr:row>10</xdr:row>
      <xdr:rowOff>146235</xdr:rowOff>
    </xdr:to>
    <xdr:pic>
      <xdr:nvPicPr>
        <xdr:cNvPr id="151" name="BEx1QZGQZBAWJ8591VXEIPUOVS7X" descr="MEW27CPIFG44B7E7HEQUUF5QF" hidden="1">
          <a:extLst>
            <a:ext uri="{FF2B5EF4-FFF2-40B4-BE49-F238E27FC236}">
              <a16:creationId xmlns:a16="http://schemas.microsoft.com/office/drawing/2014/main" id="{0E68B87D-7563-4766-803D-1BED3B57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8288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9</xdr:row>
      <xdr:rowOff>76200</xdr:rowOff>
    </xdr:from>
    <xdr:to>
      <xdr:col>1</xdr:col>
      <xdr:colOff>424358</xdr:colOff>
      <xdr:row>10</xdr:row>
      <xdr:rowOff>4985</xdr:rowOff>
    </xdr:to>
    <xdr:pic>
      <xdr:nvPicPr>
        <xdr:cNvPr id="152" name="BExMF7LICJLPXSHM63A6EQ79YQKG" descr="U084VZL15IMB1OFRRAY6GVKAE" hidden="1">
          <a:extLst>
            <a:ext uri="{FF2B5EF4-FFF2-40B4-BE49-F238E27FC236}">
              <a16:creationId xmlns:a16="http://schemas.microsoft.com/office/drawing/2014/main" id="{951FC3F0-0428-4FBA-9000-0115D0EB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7049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8</xdr:row>
      <xdr:rowOff>142875</xdr:rowOff>
    </xdr:from>
    <xdr:to>
      <xdr:col>1</xdr:col>
      <xdr:colOff>424358</xdr:colOff>
      <xdr:row>9</xdr:row>
      <xdr:rowOff>81458</xdr:rowOff>
    </xdr:to>
    <xdr:pic>
      <xdr:nvPicPr>
        <xdr:cNvPr id="153" name="BExS343F8GCKP6HTF9Y97L133DX8" descr="ZRF0KB1IYQSNV63CTXT25G67G" hidden="1">
          <a:extLst>
            <a:ext uri="{FF2B5EF4-FFF2-40B4-BE49-F238E27FC236}">
              <a16:creationId xmlns:a16="http://schemas.microsoft.com/office/drawing/2014/main" id="{EDFD0052-B65A-4A79-A6F2-95116C85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5875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8</xdr:row>
      <xdr:rowOff>19050</xdr:rowOff>
    </xdr:from>
    <xdr:to>
      <xdr:col>1</xdr:col>
      <xdr:colOff>424358</xdr:colOff>
      <xdr:row>8</xdr:row>
      <xdr:rowOff>146235</xdr:rowOff>
    </xdr:to>
    <xdr:pic>
      <xdr:nvPicPr>
        <xdr:cNvPr id="154" name="BExZMRC09W87CY4B73NPZMNH21AH" descr="78CUMI0OVLYJRSDRQ3V2YX812" hidden="1">
          <a:extLst>
            <a:ext uri="{FF2B5EF4-FFF2-40B4-BE49-F238E27FC236}">
              <a16:creationId xmlns:a16="http://schemas.microsoft.com/office/drawing/2014/main" id="{7C105BD7-2766-4609-9F92-2726A837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4668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7</xdr:row>
      <xdr:rowOff>85725</xdr:rowOff>
    </xdr:from>
    <xdr:to>
      <xdr:col>1</xdr:col>
      <xdr:colOff>424358</xdr:colOff>
      <xdr:row>8</xdr:row>
      <xdr:rowOff>31935</xdr:rowOff>
    </xdr:to>
    <xdr:pic>
      <xdr:nvPicPr>
        <xdr:cNvPr id="155" name="BExZXVFJ4DY4I24AARDT4AMP6EN1" descr="TXSMH2MTH86CYKA26740RQPUC" hidden="1">
          <a:extLst>
            <a:ext uri="{FF2B5EF4-FFF2-40B4-BE49-F238E27FC236}">
              <a16:creationId xmlns:a16="http://schemas.microsoft.com/office/drawing/2014/main" id="{446E5482-EA15-478B-BC8F-44DD55462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3493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6</xdr:row>
      <xdr:rowOff>133350</xdr:rowOff>
    </xdr:from>
    <xdr:to>
      <xdr:col>1</xdr:col>
      <xdr:colOff>424358</xdr:colOff>
      <xdr:row>7</xdr:row>
      <xdr:rowOff>68674</xdr:rowOff>
    </xdr:to>
    <xdr:pic>
      <xdr:nvPicPr>
        <xdr:cNvPr id="156" name="BExOCUIOFQWUGTBU5ESTW3EYEP5C" descr="9BNF49V0R6VVYPHEVMJ3ABDQZ" hidden="1">
          <a:extLst>
            <a:ext uri="{FF2B5EF4-FFF2-40B4-BE49-F238E27FC236}">
              <a16:creationId xmlns:a16="http://schemas.microsoft.com/office/drawing/2014/main" id="{D774B473-B164-4D57-89F2-3E1126F68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2192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6</xdr:row>
      <xdr:rowOff>9525</xdr:rowOff>
    </xdr:from>
    <xdr:to>
      <xdr:col>1</xdr:col>
      <xdr:colOff>424358</xdr:colOff>
      <xdr:row>6</xdr:row>
      <xdr:rowOff>147142</xdr:rowOff>
    </xdr:to>
    <xdr:pic>
      <xdr:nvPicPr>
        <xdr:cNvPr id="157" name="BExU65O9OE4B4MQ2A3OYH13M8BZJ" descr="3INNIMMPDBB0JF37L81M6ID21" hidden="1">
          <a:extLst>
            <a:ext uri="{FF2B5EF4-FFF2-40B4-BE49-F238E27FC236}">
              <a16:creationId xmlns:a16="http://schemas.microsoft.com/office/drawing/2014/main" id="{B9223880-CA4F-451C-87BB-DA64AFC1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10922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5</xdr:row>
      <xdr:rowOff>76200</xdr:rowOff>
    </xdr:from>
    <xdr:to>
      <xdr:col>1</xdr:col>
      <xdr:colOff>424358</xdr:colOff>
      <xdr:row>6</xdr:row>
      <xdr:rowOff>4985</xdr:rowOff>
    </xdr:to>
    <xdr:pic>
      <xdr:nvPicPr>
        <xdr:cNvPr id="158" name="BExOPRCR0UW7TKXSV5WDTL348FGL" descr="S9JM17GP1802LHN4GT14BJYIC" hidden="1">
          <a:extLst>
            <a:ext uri="{FF2B5EF4-FFF2-40B4-BE49-F238E27FC236}">
              <a16:creationId xmlns:a16="http://schemas.microsoft.com/office/drawing/2014/main" id="{C1254F6F-8776-479A-862F-73876CB0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9810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4</xdr:row>
      <xdr:rowOff>133350</xdr:rowOff>
    </xdr:from>
    <xdr:to>
      <xdr:col>1</xdr:col>
      <xdr:colOff>424358</xdr:colOff>
      <xdr:row>5</xdr:row>
      <xdr:rowOff>68674</xdr:rowOff>
    </xdr:to>
    <xdr:pic>
      <xdr:nvPicPr>
        <xdr:cNvPr id="159" name="BEx5OESAY2W8SEGI3TSB65EHJ04B" descr="9CN2Y88X8WYV1HWZG1QILY9BK" hidden="1">
          <a:extLst>
            <a:ext uri="{FF2B5EF4-FFF2-40B4-BE49-F238E27FC236}">
              <a16:creationId xmlns:a16="http://schemas.microsoft.com/office/drawing/2014/main" id="{A47D7554-E2DF-4BD3-88FF-373B224F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8572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295275</xdr:colOff>
      <xdr:row>4</xdr:row>
      <xdr:rowOff>9525</xdr:rowOff>
    </xdr:from>
    <xdr:to>
      <xdr:col>1</xdr:col>
      <xdr:colOff>424358</xdr:colOff>
      <xdr:row>4</xdr:row>
      <xdr:rowOff>147142</xdr:rowOff>
    </xdr:to>
    <xdr:pic>
      <xdr:nvPicPr>
        <xdr:cNvPr id="160" name="BExGMWEQ2BYRY9BAO5T1X850MJN1" descr="AZ9ST0XDIOP50HSUFO5V31BR0" hidden="1">
          <a:extLst>
            <a:ext uri="{FF2B5EF4-FFF2-40B4-BE49-F238E27FC236}">
              <a16:creationId xmlns:a16="http://schemas.microsoft.com/office/drawing/2014/main" id="{D2510FF2-6D7E-456C-BB62-E9DAF1EC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2100" y="730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257175</xdr:colOff>
      <xdr:row>2</xdr:row>
      <xdr:rowOff>142875</xdr:rowOff>
    </xdr:from>
    <xdr:to>
      <xdr:col>7</xdr:col>
      <xdr:colOff>573137</xdr:colOff>
      <xdr:row>83</xdr:row>
      <xdr:rowOff>84633</xdr:rowOff>
    </xdr:to>
    <xdr:pic>
      <xdr:nvPicPr>
        <xdr:cNvPr id="161" name="BExXRND8208TWULE9S50U89VKPB7" descr="ETUGZV0SKTQDQB8JOYY0DCX79" hidden="1">
          <a:extLst>
            <a:ext uri="{FF2B5EF4-FFF2-40B4-BE49-F238E27FC236}">
              <a16:creationId xmlns:a16="http://schemas.microsoft.com/office/drawing/2014/main" id="{7EB8643B-2554-4F5C-B790-7EDC7DCA46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4000" y="501650"/>
          <a:ext cx="7458075" cy="1484947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62" name="BExMO7VFCN4EL59982UR4AJ25JNJ" descr="XX6TINEJADZGKR0CTM7ZRT0RA" hidden="1">
          <a:extLst>
            <a:ext uri="{FF2B5EF4-FFF2-40B4-BE49-F238E27FC236}">
              <a16:creationId xmlns:a16="http://schemas.microsoft.com/office/drawing/2014/main" id="{4697CDB7-14F9-43C5-A0C4-FCDB5FBF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63" name="BExU3EX5JJCXCII4YKUJBFBGIJR2" descr="OF5ZI9PI5WH36VPANJ2DYLNMI" hidden="1">
          <a:extLst>
            <a:ext uri="{FF2B5EF4-FFF2-40B4-BE49-F238E27FC236}">
              <a16:creationId xmlns:a16="http://schemas.microsoft.com/office/drawing/2014/main" id="{DFD4A17F-2BB2-45B5-B05F-C3ECFD10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164" name="BEx1KD7H6UB1VYCJ7O61P562EIUY" descr="IQGV9140X0K0UPBL8OGU3I44J" hidden="1">
          <a:extLst>
            <a:ext uri="{FF2B5EF4-FFF2-40B4-BE49-F238E27FC236}">
              <a16:creationId xmlns:a16="http://schemas.microsoft.com/office/drawing/2014/main" id="{5E0F4617-53A2-4836-ACA1-7FC92951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165" name="BEx5BJQWS6YWHH4ZMSUAMD641V6Y" descr="ZTMFMXCIQSECDX38ALEFHUB00" hidden="1">
          <a:extLst>
            <a:ext uri="{FF2B5EF4-FFF2-40B4-BE49-F238E27FC236}">
              <a16:creationId xmlns:a16="http://schemas.microsoft.com/office/drawing/2014/main" id="{C717C5D0-6A00-4246-ABEA-285EDEBF3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47622</xdr:colOff>
      <xdr:row>0</xdr:row>
      <xdr:rowOff>70035</xdr:rowOff>
    </xdr:to>
    <xdr:pic>
      <xdr:nvPicPr>
        <xdr:cNvPr id="166" name="BExVTO5Q8G2M7BPL4B2584LQS0R0" descr="OB6Q8NA4LZFE4GM9Y3V56BPMQ" hidden="1">
          <a:extLst>
            <a:ext uri="{FF2B5EF4-FFF2-40B4-BE49-F238E27FC236}">
              <a16:creationId xmlns:a16="http://schemas.microsoft.com/office/drawing/2014/main" id="{DD3AF75C-7DDC-4653-819E-3C0DD181D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47622</xdr:colOff>
      <xdr:row>0</xdr:row>
      <xdr:rowOff>146235</xdr:rowOff>
    </xdr:to>
    <xdr:pic>
      <xdr:nvPicPr>
        <xdr:cNvPr id="167" name="BExIFSCLN1G86X78PFLTSMRP0US5" descr="9JK4SPV4DG7VTCZIILWHXQU5J" hidden="1">
          <a:extLst>
            <a:ext uri="{FF2B5EF4-FFF2-40B4-BE49-F238E27FC236}">
              <a16:creationId xmlns:a16="http://schemas.microsoft.com/office/drawing/2014/main" id="{9DB30BCA-D52B-4F17-AD54-0BC0FDCE8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68" name="BEx1I152WN2D3A85O2XN0DGXCWHN" descr="KHBZFMANRA4UMJR1AB4M5NJNT" hidden="1">
          <a:extLst>
            <a:ext uri="{FF2B5EF4-FFF2-40B4-BE49-F238E27FC236}">
              <a16:creationId xmlns:a16="http://schemas.microsoft.com/office/drawing/2014/main" id="{E415FB4D-D62D-4F0A-863D-0489F56FB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69" name="BExW9676P0SKCVKK25QCGHPA3PAD" descr="9A4PWZ20RMSRF0PNECCDM75CA" hidden="1">
          <a:extLst>
            <a:ext uri="{FF2B5EF4-FFF2-40B4-BE49-F238E27FC236}">
              <a16:creationId xmlns:a16="http://schemas.microsoft.com/office/drawing/2014/main" id="{97857C1C-E684-4055-8A18-9EB88C9E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157658</xdr:colOff>
      <xdr:row>2</xdr:row>
      <xdr:rowOff>8433</xdr:rowOff>
    </xdr:to>
    <xdr:pic>
      <xdr:nvPicPr>
        <xdr:cNvPr id="170" name="BExW253QPOZK9KW8BJC3LBXGCG2N" descr="Y5HX37BEUWSN1NEFJKZJXI3SX" hidden="1">
          <a:extLst>
            <a:ext uri="{FF2B5EF4-FFF2-40B4-BE49-F238E27FC236}">
              <a16:creationId xmlns:a16="http://schemas.microsoft.com/office/drawing/2014/main" id="{E6BAE263-78C2-4054-BC7E-19F4B467F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71" name="BExS5CPQ8P8JOQPK7ANNKHLSGOKU" hidden="1">
          <a:extLst>
            <a:ext uri="{FF2B5EF4-FFF2-40B4-BE49-F238E27FC236}">
              <a16:creationId xmlns:a16="http://schemas.microsoft.com/office/drawing/2014/main" id="{0FB9A3FA-4708-4333-AC73-30DEAC18D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72" name="BExMM0AVUAIRNJLXB1FW8R0YB4ZZ" hidden="1">
          <a:extLst>
            <a:ext uri="{FF2B5EF4-FFF2-40B4-BE49-F238E27FC236}">
              <a16:creationId xmlns:a16="http://schemas.microsoft.com/office/drawing/2014/main" id="{C4571EC1-CE19-41A3-A5F9-370A4E71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173" name="BExXZ7Y09CBS0XA7IPB3IRJ8RJM4" hidden="1">
          <a:extLst>
            <a:ext uri="{FF2B5EF4-FFF2-40B4-BE49-F238E27FC236}">
              <a16:creationId xmlns:a16="http://schemas.microsoft.com/office/drawing/2014/main" id="{8C03A6EF-751A-4022-B2B5-8A0BB23E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174" name="BExQ7SXS9VUG7P6CACU2J7R2SGIZ" hidden="1">
          <a:extLst>
            <a:ext uri="{FF2B5EF4-FFF2-40B4-BE49-F238E27FC236}">
              <a16:creationId xmlns:a16="http://schemas.microsoft.com/office/drawing/2014/main" id="{2AC0C1DF-93D7-40B5-9F67-271CEDDE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175" name="BEx5AQZ4ETQ9LMY5EBWVH20Z7VXQ" hidden="1">
          <a:extLst>
            <a:ext uri="{FF2B5EF4-FFF2-40B4-BE49-F238E27FC236}">
              <a16:creationId xmlns:a16="http://schemas.microsoft.com/office/drawing/2014/main" id="{8E7B6E8C-E8CE-49A6-8149-2E31459AB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176" name="BExUBK0YZ5VYFY8TTITJGJU9S06A" hidden="1">
          <a:extLst>
            <a:ext uri="{FF2B5EF4-FFF2-40B4-BE49-F238E27FC236}">
              <a16:creationId xmlns:a16="http://schemas.microsoft.com/office/drawing/2014/main" id="{491446BD-C852-4B69-B821-868E11FF3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43267</xdr:colOff>
      <xdr:row>0</xdr:row>
      <xdr:rowOff>70035</xdr:rowOff>
    </xdr:to>
    <xdr:pic>
      <xdr:nvPicPr>
        <xdr:cNvPr id="177" name="BExUEZCSSJ7RN4J18I2NUIQR2FZS" hidden="1">
          <a:extLst>
            <a:ext uri="{FF2B5EF4-FFF2-40B4-BE49-F238E27FC236}">
              <a16:creationId xmlns:a16="http://schemas.microsoft.com/office/drawing/2014/main" id="{B6FEBC45-A647-44C2-A5B1-2D894130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43267</xdr:colOff>
      <xdr:row>0</xdr:row>
      <xdr:rowOff>146235</xdr:rowOff>
    </xdr:to>
    <xdr:pic>
      <xdr:nvPicPr>
        <xdr:cNvPr id="178" name="BExS3JDQWF7U3F5JTEVOE16ASIYK" hidden="1">
          <a:extLst>
            <a:ext uri="{FF2B5EF4-FFF2-40B4-BE49-F238E27FC236}">
              <a16:creationId xmlns:a16="http://schemas.microsoft.com/office/drawing/2014/main" id="{76E8D0B1-FDBC-4B41-950A-44E56F43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179" name="BEx973S463FCQVJ7QDFBUIU0WJ3F" descr="ZQTVYL8DCSADVT0QMRXFLU0TR" hidden="1">
          <a:extLst>
            <a:ext uri="{FF2B5EF4-FFF2-40B4-BE49-F238E27FC236}">
              <a16:creationId xmlns:a16="http://schemas.microsoft.com/office/drawing/2014/main" id="{1A7FB968-6D2B-48FA-891A-808ED73A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222435</xdr:colOff>
      <xdr:row>8</xdr:row>
      <xdr:rowOff>45626</xdr:rowOff>
    </xdr:to>
    <xdr:pic>
      <xdr:nvPicPr>
        <xdr:cNvPr id="180" name="BExRZO0PLWWMCLGRH7EH6UXYWGAJ" descr="9D4GQ34QB727H10MA3SSAR2R9" hidden="1">
          <a:extLst>
            <a:ext uri="{FF2B5EF4-FFF2-40B4-BE49-F238E27FC236}">
              <a16:creationId xmlns:a16="http://schemas.microsoft.com/office/drawing/2014/main" id="{4493F075-ADE2-4EB4-928F-47834726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184335</xdr:colOff>
      <xdr:row>9</xdr:row>
      <xdr:rowOff>7526</xdr:rowOff>
    </xdr:to>
    <xdr:pic>
      <xdr:nvPicPr>
        <xdr:cNvPr id="181" name="BExBDP6HNAAJUM39SE5G2C8BKNRQ" descr="1TM64TL2QIMYV7WYSV2VLGXY4" hidden="1">
          <a:extLst>
            <a:ext uri="{FF2B5EF4-FFF2-40B4-BE49-F238E27FC236}">
              <a16:creationId xmlns:a16="http://schemas.microsoft.com/office/drawing/2014/main" id="{A6F75895-241F-428B-89E1-B59940F8C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184335</xdr:colOff>
      <xdr:row>9</xdr:row>
      <xdr:rowOff>122733</xdr:rowOff>
    </xdr:to>
    <xdr:pic>
      <xdr:nvPicPr>
        <xdr:cNvPr id="182" name="BExQEGJP61DL2NZY6LMBHBZ0J5YT" descr="D6ZNRZJ7EX4GZT9RO8LE0C905" hidden="1">
          <a:extLst>
            <a:ext uri="{FF2B5EF4-FFF2-40B4-BE49-F238E27FC236}">
              <a16:creationId xmlns:a16="http://schemas.microsoft.com/office/drawing/2014/main" id="{24C06033-1907-4555-8C3A-A848E52C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184335</xdr:colOff>
      <xdr:row>10</xdr:row>
      <xdr:rowOff>71215</xdr:rowOff>
    </xdr:to>
    <xdr:pic>
      <xdr:nvPicPr>
        <xdr:cNvPr id="183" name="BExTY1BCS6HZIF6HI5491FGHDVAE" descr="MJ6976KI2UH1IE8M227DUYXMJ" hidden="1">
          <a:extLst>
            <a:ext uri="{FF2B5EF4-FFF2-40B4-BE49-F238E27FC236}">
              <a16:creationId xmlns:a16="http://schemas.microsoft.com/office/drawing/2014/main" id="{53B2CD94-307C-4011-84EC-AF771861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184" name="BEx5FXJGJOT93D0J2IRJ3985IUMI" hidden="1">
          <a:extLst>
            <a:ext uri="{FF2B5EF4-FFF2-40B4-BE49-F238E27FC236}">
              <a16:creationId xmlns:a16="http://schemas.microsoft.com/office/drawing/2014/main" id="{53833083-785E-453E-A9E5-3BA33A37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185" name="BEx3RTMHAR35NUAAK49TV6NU7EPA" descr="QFXLG4ZCXTRQSJYFCKJ58G9N8" hidden="1">
          <a:extLst>
            <a:ext uri="{FF2B5EF4-FFF2-40B4-BE49-F238E27FC236}">
              <a16:creationId xmlns:a16="http://schemas.microsoft.com/office/drawing/2014/main" id="{AB816AED-A395-48C9-A2DE-9A620BA9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222435</xdr:colOff>
      <xdr:row>3</xdr:row>
      <xdr:rowOff>84633</xdr:rowOff>
    </xdr:to>
    <xdr:pic>
      <xdr:nvPicPr>
        <xdr:cNvPr id="186" name="BExS8T38WLC2R738ZC7BDJQAKJAJ" descr="MRI962L5PB0E0YWXCIBN82VJH" hidden="1">
          <a:extLst>
            <a:ext uri="{FF2B5EF4-FFF2-40B4-BE49-F238E27FC236}">
              <a16:creationId xmlns:a16="http://schemas.microsoft.com/office/drawing/2014/main" id="{49639982-89A4-442C-95B3-08571A05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187" name="BEx5F64BJ6DCM4EJH81D5ZFNPZ0V" descr="7DJ9FILZD2YPS6X1JBP9E76TU" hidden="1">
          <a:extLst>
            <a:ext uri="{FF2B5EF4-FFF2-40B4-BE49-F238E27FC236}">
              <a16:creationId xmlns:a16="http://schemas.microsoft.com/office/drawing/2014/main" id="{93833140-797D-4575-8ECC-AC8CF776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188" name="BExQEXXHA3EEXR44LT6RKCDWM6ZT" hidden="1">
          <a:extLst>
            <a:ext uri="{FF2B5EF4-FFF2-40B4-BE49-F238E27FC236}">
              <a16:creationId xmlns:a16="http://schemas.microsoft.com/office/drawing/2014/main" id="{DA79F7F2-4DD5-4FF3-87D7-70BC8EED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222435</xdr:colOff>
      <xdr:row>4</xdr:row>
      <xdr:rowOff>158565</xdr:rowOff>
    </xdr:to>
    <xdr:pic>
      <xdr:nvPicPr>
        <xdr:cNvPr id="189" name="BEx1X6AMHV6ZK3UJB2BXIJTJHYJU" descr="OALR4L95ELQLZ1Y1LETHM1CS9" hidden="1">
          <a:extLst>
            <a:ext uri="{FF2B5EF4-FFF2-40B4-BE49-F238E27FC236}">
              <a16:creationId xmlns:a16="http://schemas.microsoft.com/office/drawing/2014/main" id="{C074FFFF-52E6-4405-9DF1-7B9B3778D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190" name="BExSDIVCE09QKG3CT52PHCS6ZJ09" descr="9F076L7EQCF2COMMGCQG6BQGU" hidden="1">
          <a:extLst>
            <a:ext uri="{FF2B5EF4-FFF2-40B4-BE49-F238E27FC236}">
              <a16:creationId xmlns:a16="http://schemas.microsoft.com/office/drawing/2014/main" id="{44463FF3-E39C-4F6B-B33D-E43ADB64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184335</xdr:colOff>
      <xdr:row>8</xdr:row>
      <xdr:rowOff>45626</xdr:rowOff>
    </xdr:to>
    <xdr:pic>
      <xdr:nvPicPr>
        <xdr:cNvPr id="191" name="BEx1QZGQZBAWJ8591VXEIPUOVS7X" descr="MEW27CPIFG44B7E7HEQUUF5QF" hidden="1">
          <a:extLst>
            <a:ext uri="{FF2B5EF4-FFF2-40B4-BE49-F238E27FC236}">
              <a16:creationId xmlns:a16="http://schemas.microsoft.com/office/drawing/2014/main" id="{2D5E6342-E91A-4E25-8A26-3BD27ECF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184335</xdr:colOff>
      <xdr:row>7</xdr:row>
      <xdr:rowOff>109315</xdr:rowOff>
    </xdr:to>
    <xdr:pic>
      <xdr:nvPicPr>
        <xdr:cNvPr id="192" name="BExMF7LICJLPXSHM63A6EQ79YQKG" descr="U084VZL15IMB1OFRRAY6GVKAE" hidden="1">
          <a:extLst>
            <a:ext uri="{FF2B5EF4-FFF2-40B4-BE49-F238E27FC236}">
              <a16:creationId xmlns:a16="http://schemas.microsoft.com/office/drawing/2014/main" id="{B226E415-9A33-4E54-A830-C402EE04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184335</xdr:colOff>
      <xdr:row>6</xdr:row>
      <xdr:rowOff>160833</xdr:rowOff>
    </xdr:to>
    <xdr:pic>
      <xdr:nvPicPr>
        <xdr:cNvPr id="193" name="BExS343F8GCKP6HTF9Y97L133DX8" descr="ZRF0KB1IYQSNV63CTXT25G67G" hidden="1">
          <a:extLst>
            <a:ext uri="{FF2B5EF4-FFF2-40B4-BE49-F238E27FC236}">
              <a16:creationId xmlns:a16="http://schemas.microsoft.com/office/drawing/2014/main" id="{FEB623EE-4577-451D-866B-1DC29B884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184335</xdr:colOff>
      <xdr:row>6</xdr:row>
      <xdr:rowOff>30574</xdr:rowOff>
    </xdr:to>
    <xdr:pic>
      <xdr:nvPicPr>
        <xdr:cNvPr id="194" name="BExZMRC09W87CY4B73NPZMNH21AH" descr="78CUMI0OVLYJRSDRQ3V2YX812" hidden="1">
          <a:extLst>
            <a:ext uri="{FF2B5EF4-FFF2-40B4-BE49-F238E27FC236}">
              <a16:creationId xmlns:a16="http://schemas.microsoft.com/office/drawing/2014/main" id="{B118D663-DDBE-415F-B508-E7AC7C1D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184335</xdr:colOff>
      <xdr:row>5</xdr:row>
      <xdr:rowOff>109315</xdr:rowOff>
    </xdr:to>
    <xdr:pic>
      <xdr:nvPicPr>
        <xdr:cNvPr id="195" name="BExZXVFJ4DY4I24AARDT4AMP6EN1" descr="TXSMH2MTH86CYKA26740RQPUC" hidden="1">
          <a:extLst>
            <a:ext uri="{FF2B5EF4-FFF2-40B4-BE49-F238E27FC236}">
              <a16:creationId xmlns:a16="http://schemas.microsoft.com/office/drawing/2014/main" id="{A465CEEC-502E-4D7A-9765-5135B6EE1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184335</xdr:colOff>
      <xdr:row>4</xdr:row>
      <xdr:rowOff>158565</xdr:rowOff>
    </xdr:to>
    <xdr:pic>
      <xdr:nvPicPr>
        <xdr:cNvPr id="196" name="BExOCUIOFQWUGTBU5ESTW3EYEP5C" descr="9BNF49V0R6VVYPHEVMJ3ABDQZ" hidden="1">
          <a:extLst>
            <a:ext uri="{FF2B5EF4-FFF2-40B4-BE49-F238E27FC236}">
              <a16:creationId xmlns:a16="http://schemas.microsoft.com/office/drawing/2014/main" id="{2D0EA0AE-7D90-4633-9C6C-C06C7246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184335</xdr:colOff>
      <xdr:row>4</xdr:row>
      <xdr:rowOff>33115</xdr:rowOff>
    </xdr:to>
    <xdr:pic>
      <xdr:nvPicPr>
        <xdr:cNvPr id="197" name="BExU65O9OE4B4MQ2A3OYH13M8BZJ" descr="3INNIMMPDBB0JF37L81M6ID21" hidden="1">
          <a:extLst>
            <a:ext uri="{FF2B5EF4-FFF2-40B4-BE49-F238E27FC236}">
              <a16:creationId xmlns:a16="http://schemas.microsoft.com/office/drawing/2014/main" id="{C5071546-956E-4452-A51F-BEF4F256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184335</xdr:colOff>
      <xdr:row>3</xdr:row>
      <xdr:rowOff>84633</xdr:rowOff>
    </xdr:to>
    <xdr:pic>
      <xdr:nvPicPr>
        <xdr:cNvPr id="198" name="BExOPRCR0UW7TKXSV5WDTL348FGL" descr="S9JM17GP1802LHN4GT14BJYIC" hidden="1">
          <a:extLst>
            <a:ext uri="{FF2B5EF4-FFF2-40B4-BE49-F238E27FC236}">
              <a16:creationId xmlns:a16="http://schemas.microsoft.com/office/drawing/2014/main" id="{F89CE9E4-8AD5-4169-8970-B96E8A38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199" name="BEx5OESAY2W8SEGI3TSB65EHJ04B" descr="9CN2Y88X8WYV1HWZG1QILY9BK" hidden="1">
          <a:extLst>
            <a:ext uri="{FF2B5EF4-FFF2-40B4-BE49-F238E27FC236}">
              <a16:creationId xmlns:a16="http://schemas.microsoft.com/office/drawing/2014/main" id="{297C1297-0F6E-4746-A619-00B2A9E15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00" name="BExGMWEQ2BYRY9BAO5T1X850MJN1" descr="AZ9ST0XDIOP50HSUFO5V31BR0" hidden="1">
          <a:extLst>
            <a:ext uri="{FF2B5EF4-FFF2-40B4-BE49-F238E27FC236}">
              <a16:creationId xmlns:a16="http://schemas.microsoft.com/office/drawing/2014/main" id="{11640DCB-AE1A-4B25-90CA-029A5E5F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307343</xdr:colOff>
      <xdr:row>80</xdr:row>
      <xdr:rowOff>119558</xdr:rowOff>
    </xdr:to>
    <xdr:pic>
      <xdr:nvPicPr>
        <xdr:cNvPr id="201" name="BExXRND8208TWULE9S50U89VKPB7" descr="ETUGZV0SKTQDQB8JOYY0DCX79" hidden="1">
          <a:extLst>
            <a:ext uri="{FF2B5EF4-FFF2-40B4-BE49-F238E27FC236}">
              <a16:creationId xmlns:a16="http://schemas.microsoft.com/office/drawing/2014/main" id="{703AAAA2-054D-43ED-8276-C9104C84E0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58075" cy="1484947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202" name="BExMO7VFCN4EL59982UR4AJ25JNJ" descr="XX6TINEJADZGKR0CTM7ZRT0RA" hidden="1">
          <a:extLst>
            <a:ext uri="{FF2B5EF4-FFF2-40B4-BE49-F238E27FC236}">
              <a16:creationId xmlns:a16="http://schemas.microsoft.com/office/drawing/2014/main" id="{0A7D2FA3-4429-4D6A-BF1E-FC3DA340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203" name="BExU3EX5JJCXCII4YKUJBFBGIJR2" descr="OF5ZI9PI5WH36VPANJ2DYLNMI" hidden="1">
          <a:extLst>
            <a:ext uri="{FF2B5EF4-FFF2-40B4-BE49-F238E27FC236}">
              <a16:creationId xmlns:a16="http://schemas.microsoft.com/office/drawing/2014/main" id="{0C9BB370-D1FC-48EF-9BAF-C9346EEE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204" name="BEx1KD7H6UB1VYCJ7O61P562EIUY" descr="IQGV9140X0K0UPBL8OGU3I44J" hidden="1">
          <a:extLst>
            <a:ext uri="{FF2B5EF4-FFF2-40B4-BE49-F238E27FC236}">
              <a16:creationId xmlns:a16="http://schemas.microsoft.com/office/drawing/2014/main" id="{3B694E2E-03AA-482C-B97A-B7360F47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205" name="BEx5BJQWS6YWHH4ZMSUAMD641V6Y" descr="ZTMFMXCIQSECDX38ALEFHUB00" hidden="1">
          <a:extLst>
            <a:ext uri="{FF2B5EF4-FFF2-40B4-BE49-F238E27FC236}">
              <a16:creationId xmlns:a16="http://schemas.microsoft.com/office/drawing/2014/main" id="{020CECE9-0452-4985-9347-9F267098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47622</xdr:colOff>
      <xdr:row>0</xdr:row>
      <xdr:rowOff>70035</xdr:rowOff>
    </xdr:to>
    <xdr:pic>
      <xdr:nvPicPr>
        <xdr:cNvPr id="206" name="BExVTO5Q8G2M7BPL4B2584LQS0R0" descr="OB6Q8NA4LZFE4GM9Y3V56BPMQ" hidden="1">
          <a:extLst>
            <a:ext uri="{FF2B5EF4-FFF2-40B4-BE49-F238E27FC236}">
              <a16:creationId xmlns:a16="http://schemas.microsoft.com/office/drawing/2014/main" id="{97770C56-E2D2-4B05-B1A8-78843A84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47622</xdr:colOff>
      <xdr:row>0</xdr:row>
      <xdr:rowOff>146235</xdr:rowOff>
    </xdr:to>
    <xdr:pic>
      <xdr:nvPicPr>
        <xdr:cNvPr id="207" name="BExIFSCLN1G86X78PFLTSMRP0US5" descr="9JK4SPV4DG7VTCZIILWHXQU5J" hidden="1">
          <a:extLst>
            <a:ext uri="{FF2B5EF4-FFF2-40B4-BE49-F238E27FC236}">
              <a16:creationId xmlns:a16="http://schemas.microsoft.com/office/drawing/2014/main" id="{0901F747-E616-4018-91B6-C81B4A90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208" name="BEx1I152WN2D3A85O2XN0DGXCWHN" descr="KHBZFMANRA4UMJR1AB4M5NJNT" hidden="1">
          <a:extLst>
            <a:ext uri="{FF2B5EF4-FFF2-40B4-BE49-F238E27FC236}">
              <a16:creationId xmlns:a16="http://schemas.microsoft.com/office/drawing/2014/main" id="{9F14F260-FF9B-4F60-BAB6-B949DA66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209" name="BExW9676P0SKCVKK25QCGHPA3PAD" descr="9A4PWZ20RMSRF0PNECCDM75CA" hidden="1">
          <a:extLst>
            <a:ext uri="{FF2B5EF4-FFF2-40B4-BE49-F238E27FC236}">
              <a16:creationId xmlns:a16="http://schemas.microsoft.com/office/drawing/2014/main" id="{81C0D02B-1872-4084-A115-D51AF139B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157658</xdr:colOff>
      <xdr:row>2</xdr:row>
      <xdr:rowOff>8433</xdr:rowOff>
    </xdr:to>
    <xdr:pic>
      <xdr:nvPicPr>
        <xdr:cNvPr id="210" name="BExW253QPOZK9KW8BJC3LBXGCG2N" descr="Y5HX37BEUWSN1NEFJKZJXI3SX" hidden="1">
          <a:extLst>
            <a:ext uri="{FF2B5EF4-FFF2-40B4-BE49-F238E27FC236}">
              <a16:creationId xmlns:a16="http://schemas.microsoft.com/office/drawing/2014/main" id="{6623DE4C-3ACF-4340-8AC8-5930F4E5B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211" name="BExS5CPQ8P8JOQPK7ANNKHLSGOKU" hidden="1">
          <a:extLst>
            <a:ext uri="{FF2B5EF4-FFF2-40B4-BE49-F238E27FC236}">
              <a16:creationId xmlns:a16="http://schemas.microsoft.com/office/drawing/2014/main" id="{304A2D0E-D59D-4579-8B96-D6DC9E0D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212" name="BExMM0AVUAIRNJLXB1FW8R0YB4ZZ" hidden="1">
          <a:extLst>
            <a:ext uri="{FF2B5EF4-FFF2-40B4-BE49-F238E27FC236}">
              <a16:creationId xmlns:a16="http://schemas.microsoft.com/office/drawing/2014/main" id="{EB295926-F6A8-47F0-97EA-D7A19945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67767</xdr:colOff>
      <xdr:row>0</xdr:row>
      <xdr:rowOff>70035</xdr:rowOff>
    </xdr:to>
    <xdr:pic>
      <xdr:nvPicPr>
        <xdr:cNvPr id="213" name="BExXZ7Y09CBS0XA7IPB3IRJ8RJM4" hidden="1">
          <a:extLst>
            <a:ext uri="{FF2B5EF4-FFF2-40B4-BE49-F238E27FC236}">
              <a16:creationId xmlns:a16="http://schemas.microsoft.com/office/drawing/2014/main" id="{E38DAB7C-9C4D-489A-9D4B-21C57A20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67767</xdr:colOff>
      <xdr:row>0</xdr:row>
      <xdr:rowOff>146235</xdr:rowOff>
    </xdr:to>
    <xdr:pic>
      <xdr:nvPicPr>
        <xdr:cNvPr id="214" name="BExQ7SXS9VUG7P6CACU2J7R2SGIZ" hidden="1">
          <a:extLst>
            <a:ext uri="{FF2B5EF4-FFF2-40B4-BE49-F238E27FC236}">
              <a16:creationId xmlns:a16="http://schemas.microsoft.com/office/drawing/2014/main" id="{AC7C9D90-D462-488F-9528-2CA662DB0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919658</xdr:colOff>
      <xdr:row>0</xdr:row>
      <xdr:rowOff>70035</xdr:rowOff>
    </xdr:to>
    <xdr:pic>
      <xdr:nvPicPr>
        <xdr:cNvPr id="215" name="BEx5AQZ4ETQ9LMY5EBWVH20Z7VXQ" hidden="1">
          <a:extLst>
            <a:ext uri="{FF2B5EF4-FFF2-40B4-BE49-F238E27FC236}">
              <a16:creationId xmlns:a16="http://schemas.microsoft.com/office/drawing/2014/main" id="{89D430E0-8685-41D5-BDC1-A27C6104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919658</xdr:colOff>
      <xdr:row>0</xdr:row>
      <xdr:rowOff>146235</xdr:rowOff>
    </xdr:to>
    <xdr:pic>
      <xdr:nvPicPr>
        <xdr:cNvPr id="216" name="BExUBK0YZ5VYFY8TTITJGJU9S06A" hidden="1">
          <a:extLst>
            <a:ext uri="{FF2B5EF4-FFF2-40B4-BE49-F238E27FC236}">
              <a16:creationId xmlns:a16="http://schemas.microsoft.com/office/drawing/2014/main" id="{11748FEB-4DB8-4CC5-B3BE-1E78BBDE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43267</xdr:colOff>
      <xdr:row>0</xdr:row>
      <xdr:rowOff>70035</xdr:rowOff>
    </xdr:to>
    <xdr:pic>
      <xdr:nvPicPr>
        <xdr:cNvPr id="217" name="BExUEZCSSJ7RN4J18I2NUIQR2FZS" hidden="1">
          <a:extLst>
            <a:ext uri="{FF2B5EF4-FFF2-40B4-BE49-F238E27FC236}">
              <a16:creationId xmlns:a16="http://schemas.microsoft.com/office/drawing/2014/main" id="{A7FB4836-D493-4E5A-BEBF-91AF342D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43267</xdr:colOff>
      <xdr:row>0</xdr:row>
      <xdr:rowOff>146235</xdr:rowOff>
    </xdr:to>
    <xdr:pic>
      <xdr:nvPicPr>
        <xdr:cNvPr id="218" name="BExS3JDQWF7U3F5JTEVOE16ASIYK" hidden="1">
          <a:extLst>
            <a:ext uri="{FF2B5EF4-FFF2-40B4-BE49-F238E27FC236}">
              <a16:creationId xmlns:a16="http://schemas.microsoft.com/office/drawing/2014/main" id="{BE0A733C-EFBB-4C52-A4D2-C058DD798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219" name="BEx973S463FCQVJ7QDFBUIU0WJ3F" descr="ZQTVYL8DCSADVT0QMRXFLU0TR" hidden="1">
          <a:extLst>
            <a:ext uri="{FF2B5EF4-FFF2-40B4-BE49-F238E27FC236}">
              <a16:creationId xmlns:a16="http://schemas.microsoft.com/office/drawing/2014/main" id="{6E84A68F-791A-4FFD-AD36-A76AB260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222435</xdr:colOff>
      <xdr:row>8</xdr:row>
      <xdr:rowOff>45626</xdr:rowOff>
    </xdr:to>
    <xdr:pic>
      <xdr:nvPicPr>
        <xdr:cNvPr id="220" name="BExRZO0PLWWMCLGRH7EH6UXYWGAJ" descr="9D4GQ34QB727H10MA3SSAR2R9" hidden="1">
          <a:extLst>
            <a:ext uri="{FF2B5EF4-FFF2-40B4-BE49-F238E27FC236}">
              <a16:creationId xmlns:a16="http://schemas.microsoft.com/office/drawing/2014/main" id="{FBBC1E5C-DEA8-4CB4-ACBC-A2C4950A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184335</xdr:colOff>
      <xdr:row>9</xdr:row>
      <xdr:rowOff>7526</xdr:rowOff>
    </xdr:to>
    <xdr:pic>
      <xdr:nvPicPr>
        <xdr:cNvPr id="221" name="BExBDP6HNAAJUM39SE5G2C8BKNRQ" descr="1TM64TL2QIMYV7WYSV2VLGXY4" hidden="1">
          <a:extLst>
            <a:ext uri="{FF2B5EF4-FFF2-40B4-BE49-F238E27FC236}">
              <a16:creationId xmlns:a16="http://schemas.microsoft.com/office/drawing/2014/main" id="{92866CE1-9B7C-4805-B98A-C8E53AA89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184335</xdr:colOff>
      <xdr:row>9</xdr:row>
      <xdr:rowOff>122733</xdr:rowOff>
    </xdr:to>
    <xdr:pic>
      <xdr:nvPicPr>
        <xdr:cNvPr id="222" name="BExQEGJP61DL2NZY6LMBHBZ0J5YT" descr="D6ZNRZJ7EX4GZT9RO8LE0C905" hidden="1">
          <a:extLst>
            <a:ext uri="{FF2B5EF4-FFF2-40B4-BE49-F238E27FC236}">
              <a16:creationId xmlns:a16="http://schemas.microsoft.com/office/drawing/2014/main" id="{DFF80E49-D007-4C78-9522-007ABFED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184335</xdr:colOff>
      <xdr:row>10</xdr:row>
      <xdr:rowOff>71215</xdr:rowOff>
    </xdr:to>
    <xdr:pic>
      <xdr:nvPicPr>
        <xdr:cNvPr id="223" name="BExTY1BCS6HZIF6HI5491FGHDVAE" descr="MJ6976KI2UH1IE8M227DUYXMJ" hidden="1">
          <a:extLst>
            <a:ext uri="{FF2B5EF4-FFF2-40B4-BE49-F238E27FC236}">
              <a16:creationId xmlns:a16="http://schemas.microsoft.com/office/drawing/2014/main" id="{9C86C17B-C0C8-4405-8B11-085738C19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24" name="BEx5FXJGJOT93D0J2IRJ3985IUMI" hidden="1">
          <a:extLst>
            <a:ext uri="{FF2B5EF4-FFF2-40B4-BE49-F238E27FC236}">
              <a16:creationId xmlns:a16="http://schemas.microsoft.com/office/drawing/2014/main" id="{45E5BE36-326E-4802-8DBA-90AD570F5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225" name="BEx3RTMHAR35NUAAK49TV6NU7EPA" descr="QFXLG4ZCXTRQSJYFCKJ58G9N8" hidden="1">
          <a:extLst>
            <a:ext uri="{FF2B5EF4-FFF2-40B4-BE49-F238E27FC236}">
              <a16:creationId xmlns:a16="http://schemas.microsoft.com/office/drawing/2014/main" id="{88D46860-7ED1-4C74-8DCF-15C3DB40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222435</xdr:colOff>
      <xdr:row>3</xdr:row>
      <xdr:rowOff>84633</xdr:rowOff>
    </xdr:to>
    <xdr:pic>
      <xdr:nvPicPr>
        <xdr:cNvPr id="226" name="BExS8T38WLC2R738ZC7BDJQAKJAJ" descr="MRI962L5PB0E0YWXCIBN82VJH" hidden="1">
          <a:extLst>
            <a:ext uri="{FF2B5EF4-FFF2-40B4-BE49-F238E27FC236}">
              <a16:creationId xmlns:a16="http://schemas.microsoft.com/office/drawing/2014/main" id="{E22EDBD8-3025-472B-9194-B4AA1BF5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27" name="BEx5F64BJ6DCM4EJH81D5ZFNPZ0V" descr="7DJ9FILZD2YPS6X1JBP9E76TU" hidden="1">
          <a:extLst>
            <a:ext uri="{FF2B5EF4-FFF2-40B4-BE49-F238E27FC236}">
              <a16:creationId xmlns:a16="http://schemas.microsoft.com/office/drawing/2014/main" id="{6C69A11D-CFE5-4C32-A1B0-D6FE3A57A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28" name="BExQEXXHA3EEXR44LT6RKCDWM6ZT" hidden="1">
          <a:extLst>
            <a:ext uri="{FF2B5EF4-FFF2-40B4-BE49-F238E27FC236}">
              <a16:creationId xmlns:a16="http://schemas.microsoft.com/office/drawing/2014/main" id="{07C59168-283B-4CC1-94C1-CB5AA195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222435</xdr:colOff>
      <xdr:row>4</xdr:row>
      <xdr:rowOff>158565</xdr:rowOff>
    </xdr:to>
    <xdr:pic>
      <xdr:nvPicPr>
        <xdr:cNvPr id="229" name="BEx1X6AMHV6ZK3UJB2BXIJTJHYJU" descr="OALR4L95ELQLZ1Y1LETHM1CS9" hidden="1">
          <a:extLst>
            <a:ext uri="{FF2B5EF4-FFF2-40B4-BE49-F238E27FC236}">
              <a16:creationId xmlns:a16="http://schemas.microsoft.com/office/drawing/2014/main" id="{262708CF-A9BC-48F0-B9E5-026E1CF8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146235</xdr:colOff>
      <xdr:row>1</xdr:row>
      <xdr:rowOff>67767</xdr:rowOff>
    </xdr:to>
    <xdr:pic>
      <xdr:nvPicPr>
        <xdr:cNvPr id="230" name="BExSDIVCE09QKG3CT52PHCS6ZJ09" descr="9F076L7EQCF2COMMGCQG6BQGU" hidden="1">
          <a:extLst>
            <a:ext uri="{FF2B5EF4-FFF2-40B4-BE49-F238E27FC236}">
              <a16:creationId xmlns:a16="http://schemas.microsoft.com/office/drawing/2014/main" id="{5A8A67BA-CEAC-4DE9-B712-6FC99B59F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184335</xdr:colOff>
      <xdr:row>8</xdr:row>
      <xdr:rowOff>45626</xdr:rowOff>
    </xdr:to>
    <xdr:pic>
      <xdr:nvPicPr>
        <xdr:cNvPr id="231" name="BEx1QZGQZBAWJ8591VXEIPUOVS7X" descr="MEW27CPIFG44B7E7HEQUUF5QF" hidden="1">
          <a:extLst>
            <a:ext uri="{FF2B5EF4-FFF2-40B4-BE49-F238E27FC236}">
              <a16:creationId xmlns:a16="http://schemas.microsoft.com/office/drawing/2014/main" id="{4EEA3C04-8D47-4C6C-83A1-6E994A790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184335</xdr:colOff>
      <xdr:row>7</xdr:row>
      <xdr:rowOff>109315</xdr:rowOff>
    </xdr:to>
    <xdr:pic>
      <xdr:nvPicPr>
        <xdr:cNvPr id="232" name="BExMF7LICJLPXSHM63A6EQ79YQKG" descr="U084VZL15IMB1OFRRAY6GVKAE" hidden="1">
          <a:extLst>
            <a:ext uri="{FF2B5EF4-FFF2-40B4-BE49-F238E27FC236}">
              <a16:creationId xmlns:a16="http://schemas.microsoft.com/office/drawing/2014/main" id="{66149159-1615-418F-90E2-1C952C8E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184335</xdr:colOff>
      <xdr:row>6</xdr:row>
      <xdr:rowOff>160833</xdr:rowOff>
    </xdr:to>
    <xdr:pic>
      <xdr:nvPicPr>
        <xdr:cNvPr id="233" name="BExS343F8GCKP6HTF9Y97L133DX8" descr="ZRF0KB1IYQSNV63CTXT25G67G" hidden="1">
          <a:extLst>
            <a:ext uri="{FF2B5EF4-FFF2-40B4-BE49-F238E27FC236}">
              <a16:creationId xmlns:a16="http://schemas.microsoft.com/office/drawing/2014/main" id="{B73DAD78-2E61-414C-A3D0-B66773DE6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184335</xdr:colOff>
      <xdr:row>6</xdr:row>
      <xdr:rowOff>30574</xdr:rowOff>
    </xdr:to>
    <xdr:pic>
      <xdr:nvPicPr>
        <xdr:cNvPr id="234" name="BExZMRC09W87CY4B73NPZMNH21AH" descr="78CUMI0OVLYJRSDRQ3V2YX812" hidden="1">
          <a:extLst>
            <a:ext uri="{FF2B5EF4-FFF2-40B4-BE49-F238E27FC236}">
              <a16:creationId xmlns:a16="http://schemas.microsoft.com/office/drawing/2014/main" id="{F4108B61-0A7E-4BDA-85B5-FB4C9B828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184335</xdr:colOff>
      <xdr:row>5</xdr:row>
      <xdr:rowOff>109315</xdr:rowOff>
    </xdr:to>
    <xdr:pic>
      <xdr:nvPicPr>
        <xdr:cNvPr id="235" name="BExZXVFJ4DY4I24AARDT4AMP6EN1" descr="TXSMH2MTH86CYKA26740RQPUC" hidden="1">
          <a:extLst>
            <a:ext uri="{FF2B5EF4-FFF2-40B4-BE49-F238E27FC236}">
              <a16:creationId xmlns:a16="http://schemas.microsoft.com/office/drawing/2014/main" id="{A8D8E5F0-9D3F-4E37-910C-13D7542E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184335</xdr:colOff>
      <xdr:row>4</xdr:row>
      <xdr:rowOff>158565</xdr:rowOff>
    </xdr:to>
    <xdr:pic>
      <xdr:nvPicPr>
        <xdr:cNvPr id="236" name="BExOCUIOFQWUGTBU5ESTW3EYEP5C" descr="9BNF49V0R6VVYPHEVMJ3ABDQZ" hidden="1">
          <a:extLst>
            <a:ext uri="{FF2B5EF4-FFF2-40B4-BE49-F238E27FC236}">
              <a16:creationId xmlns:a16="http://schemas.microsoft.com/office/drawing/2014/main" id="{FF953AB8-101E-4B27-9030-87D39055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184335</xdr:colOff>
      <xdr:row>4</xdr:row>
      <xdr:rowOff>33115</xdr:rowOff>
    </xdr:to>
    <xdr:pic>
      <xdr:nvPicPr>
        <xdr:cNvPr id="237" name="BExU65O9OE4B4MQ2A3OYH13M8BZJ" descr="3INNIMMPDBB0JF37L81M6ID21" hidden="1">
          <a:extLst>
            <a:ext uri="{FF2B5EF4-FFF2-40B4-BE49-F238E27FC236}">
              <a16:creationId xmlns:a16="http://schemas.microsoft.com/office/drawing/2014/main" id="{986DC5FE-CF91-4CAA-969E-37D3D067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184335</xdr:colOff>
      <xdr:row>3</xdr:row>
      <xdr:rowOff>84633</xdr:rowOff>
    </xdr:to>
    <xdr:pic>
      <xdr:nvPicPr>
        <xdr:cNvPr id="238" name="BExOPRCR0UW7TKXSV5WDTL348FGL" descr="S9JM17GP1802LHN4GT14BJYIC" hidden="1">
          <a:extLst>
            <a:ext uri="{FF2B5EF4-FFF2-40B4-BE49-F238E27FC236}">
              <a16:creationId xmlns:a16="http://schemas.microsoft.com/office/drawing/2014/main" id="{20B7DD17-83FA-4AC9-80C6-2EDE266F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184335</xdr:colOff>
      <xdr:row>2</xdr:row>
      <xdr:rowOff>144874</xdr:rowOff>
    </xdr:to>
    <xdr:pic>
      <xdr:nvPicPr>
        <xdr:cNvPr id="239" name="BEx5OESAY2W8SEGI3TSB65EHJ04B" descr="9CN2Y88X8WYV1HWZG1QILY9BK" hidden="1">
          <a:extLst>
            <a:ext uri="{FF2B5EF4-FFF2-40B4-BE49-F238E27FC236}">
              <a16:creationId xmlns:a16="http://schemas.microsoft.com/office/drawing/2014/main" id="{33C9BEA7-CC6F-423B-B69F-EFA830D0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184335</xdr:colOff>
      <xdr:row>2</xdr:row>
      <xdr:rowOff>8433</xdr:rowOff>
    </xdr:to>
    <xdr:pic>
      <xdr:nvPicPr>
        <xdr:cNvPr id="240" name="BExGMWEQ2BYRY9BAO5T1X850MJN1" descr="AZ9ST0XDIOP50HSUFO5V31BR0" hidden="1">
          <a:extLst>
            <a:ext uri="{FF2B5EF4-FFF2-40B4-BE49-F238E27FC236}">
              <a16:creationId xmlns:a16="http://schemas.microsoft.com/office/drawing/2014/main" id="{ABA54ACE-AE23-41E1-ADC7-B9C965F7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193043</xdr:colOff>
      <xdr:row>80</xdr:row>
      <xdr:rowOff>119558</xdr:rowOff>
    </xdr:to>
    <xdr:pic>
      <xdr:nvPicPr>
        <xdr:cNvPr id="241" name="BExXRND8208TWULE9S50U89VKPB7" descr="ETUGZV0SKTQDQB8JOYY0DCX79" hidden="1">
          <a:extLst>
            <a:ext uri="{FF2B5EF4-FFF2-40B4-BE49-F238E27FC236}">
              <a16:creationId xmlns:a16="http://schemas.microsoft.com/office/drawing/2014/main" id="{91D55EFE-425A-46D0-9316-F2898A6D18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43775" cy="1484947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1</xdr:col>
      <xdr:colOff>47712</xdr:colOff>
      <xdr:row>0</xdr:row>
      <xdr:rowOff>50799</xdr:rowOff>
    </xdr:to>
    <xdr:pic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FFBED6B9-1057-4DA6-9627-9B01E6FE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47712</xdr:colOff>
      <xdr:row>0</xdr:row>
      <xdr:rowOff>126999</xdr:rowOff>
    </xdr:to>
    <xdr:pic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766DED51-CD49-4484-A645-6D08BAE5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C49E434D-2C50-40D2-B125-BFA6BAEC3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E2A5CF58-8712-4452-A685-4F975706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69218</xdr:colOff>
      <xdr:row>0</xdr:row>
      <xdr:rowOff>50799</xdr:rowOff>
    </xdr:to>
    <xdr:pic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4F46FCCE-3985-4C4A-A6F0-4222C6F44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69218</xdr:colOff>
      <xdr:row>0</xdr:row>
      <xdr:rowOff>126999</xdr:rowOff>
    </xdr:to>
    <xdr:pic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10EBD3C6-3CEA-4244-AE6E-D490F86B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5080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47712</xdr:colOff>
      <xdr:row>0</xdr:row>
      <xdr:rowOff>50799</xdr:rowOff>
    </xdr:to>
    <xdr:pic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35D10E12-A22E-496B-A599-72C33223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47712</xdr:colOff>
      <xdr:row>0</xdr:row>
      <xdr:rowOff>126999</xdr:rowOff>
    </xdr:to>
    <xdr:pic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BB5F534D-ED3E-4BF7-AE21-20F1BDFA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127451</xdr:colOff>
      <xdr:row>2</xdr:row>
      <xdr:rowOff>9612</xdr:rowOff>
    </xdr:to>
    <xdr:pic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CC8696FF-C9E6-4E26-9FAB-8E097A58B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47712</xdr:colOff>
      <xdr:row>0</xdr:row>
      <xdr:rowOff>50799</xdr:rowOff>
    </xdr:to>
    <xdr:pic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CC983EFD-9C66-4C2C-8A5A-A62F12B86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47712</xdr:colOff>
      <xdr:row>0</xdr:row>
      <xdr:rowOff>126999</xdr:rowOff>
    </xdr:to>
    <xdr:pic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B1F13AF8-E1FD-49B3-9649-E2A35E0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47712</xdr:colOff>
      <xdr:row>0</xdr:row>
      <xdr:rowOff>50799</xdr:rowOff>
    </xdr:to>
    <xdr:pic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7F48D809-1368-4E98-A19E-45FA5E5D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47712</xdr:colOff>
      <xdr:row>0</xdr:row>
      <xdr:rowOff>126999</xdr:rowOff>
    </xdr:to>
    <xdr:pic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640B13E1-1E8E-4841-84F7-A0BCBDDE0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E5A1C4BF-068D-45F0-B813-D901D5A6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D67DAFF3-3ACF-49A3-B358-B08E588E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69218</xdr:colOff>
      <xdr:row>0</xdr:row>
      <xdr:rowOff>50799</xdr:rowOff>
    </xdr:to>
    <xdr:pic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527608EA-C574-448D-B0BE-30D45C357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69218</xdr:colOff>
      <xdr:row>0</xdr:row>
      <xdr:rowOff>126999</xdr:rowOff>
    </xdr:to>
    <xdr:pic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4403CA7C-4A9C-417D-998E-F6FEFFDF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2E7D0D5D-8E21-4C68-90AA-B1818396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50796</xdr:rowOff>
    </xdr:to>
    <xdr:pic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D71B663A-DDDF-441A-8D9F-B10523C9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8</xdr:row>
      <xdr:rowOff>47625</xdr:rowOff>
    </xdr:from>
    <xdr:to>
      <xdr:col>1</xdr:col>
      <xdr:colOff>121283</xdr:colOff>
      <xdr:row>9</xdr:row>
      <xdr:rowOff>25400</xdr:rowOff>
    </xdr:to>
    <xdr:pic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402F58A3-FFD5-45FD-8210-6D2FCA7A5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121283</xdr:colOff>
      <xdr:row>9</xdr:row>
      <xdr:rowOff>123912</xdr:rowOff>
    </xdr:to>
    <xdr:pic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DFE30773-B735-42BB-BC24-C8815A56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123825</xdr:rowOff>
    </xdr:from>
    <xdr:to>
      <xdr:col>1</xdr:col>
      <xdr:colOff>121283</xdr:colOff>
      <xdr:row>10</xdr:row>
      <xdr:rowOff>44631</xdr:rowOff>
    </xdr:to>
    <xdr:pic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67CC3EB0-B44F-433B-A62D-5306C4A0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9612</xdr:rowOff>
    </xdr:to>
    <xdr:pic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1E5B8427-3319-4198-AB90-7FEAC303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50799</xdr:rowOff>
    </xdr:to>
    <xdr:pic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D006E608-9CC3-4125-B57C-2D8A3CFB2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88896</xdr:rowOff>
    </xdr:to>
    <xdr:pic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3AF0E2A1-A056-4048-8888-4EF620E7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9612</xdr:rowOff>
    </xdr:to>
    <xdr:pic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65A2AD5A-6FCB-4D64-881B-0C4705F6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9612</xdr:rowOff>
    </xdr:to>
    <xdr:pic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CA85919C-5B10-4B34-ADF4-68BE83F0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4A9B61E4-DC56-4C8C-B8BF-2FECE33C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50799</xdr:rowOff>
    </xdr:to>
    <xdr:pic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87E8C7EA-50CF-460A-9427-6E505060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50796</xdr:rowOff>
    </xdr:to>
    <xdr:pic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4B8ECF81-07B9-40D3-BF66-3920B44A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161925</xdr:rowOff>
    </xdr:from>
    <xdr:to>
      <xdr:col>1</xdr:col>
      <xdr:colOff>121283</xdr:colOff>
      <xdr:row>7</xdr:row>
      <xdr:rowOff>82731</xdr:rowOff>
    </xdr:to>
    <xdr:pic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9F307955-5923-4CB1-A3F9-8A392B03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38100</xdr:rowOff>
    </xdr:from>
    <xdr:to>
      <xdr:col>1</xdr:col>
      <xdr:colOff>121283</xdr:colOff>
      <xdr:row>6</xdr:row>
      <xdr:rowOff>162012</xdr:rowOff>
    </xdr:to>
    <xdr:pic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41D5FCA6-211A-49AD-A8FC-16816FD7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5</xdr:row>
      <xdr:rowOff>95250</xdr:rowOff>
    </xdr:from>
    <xdr:to>
      <xdr:col>1</xdr:col>
      <xdr:colOff>121283</xdr:colOff>
      <xdr:row>6</xdr:row>
      <xdr:rowOff>10070</xdr:rowOff>
    </xdr:to>
    <xdr:pic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078EFB1C-3448-416C-B2DA-2B819A31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161925</xdr:rowOff>
    </xdr:from>
    <xdr:to>
      <xdr:col>1</xdr:col>
      <xdr:colOff>121283</xdr:colOff>
      <xdr:row>5</xdr:row>
      <xdr:rowOff>82731</xdr:rowOff>
    </xdr:to>
    <xdr:pic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B09991F6-2104-47EB-8A7A-4B2A01B9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0A6B27D3-C3DD-47C8-91BD-021A4A8F8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3</xdr:row>
      <xdr:rowOff>85725</xdr:rowOff>
    </xdr:from>
    <xdr:to>
      <xdr:col>1</xdr:col>
      <xdr:colOff>121283</xdr:colOff>
      <xdr:row>4</xdr:row>
      <xdr:rowOff>6531</xdr:rowOff>
    </xdr:to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09AC11B5-EF2F-4D06-9D77-BFC2051D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88896</xdr:rowOff>
    </xdr:to>
    <xdr:pic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AB31DC53-57EA-4E96-B653-85FBAE38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CF30C320-DFBF-4024-B5F5-391CE21F0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9612</xdr:rowOff>
    </xdr:to>
    <xdr:pic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85C8C510-E46B-4B6C-97F8-4F522843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244200</xdr:colOff>
      <xdr:row>79</xdr:row>
      <xdr:rowOff>66131</xdr:rowOff>
    </xdr:to>
    <xdr:pic>
      <xdr:nvPicPr>
        <xdr:cNvPr id="41" name="BExXRND8208TWULE9S50U89VKPB7" descr="ETUGZV0SKTQDQB8JOYY0DCX79" hidden="1">
          <a:extLst>
            <a:ext uri="{FF2B5EF4-FFF2-40B4-BE49-F238E27FC236}">
              <a16:creationId xmlns:a16="http://schemas.microsoft.com/office/drawing/2014/main" id="{0DFE508F-6CAA-441B-A909-1F3E1DC293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2500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42" name="BExMO7VFCN4EL59982UR4AJ25JNJ" descr="XX6TINEJADZGKR0CTM7ZRT0RA" hidden="1">
          <a:extLst>
            <a:ext uri="{FF2B5EF4-FFF2-40B4-BE49-F238E27FC236}">
              <a16:creationId xmlns:a16="http://schemas.microsoft.com/office/drawing/2014/main" id="{CAA28894-D184-4C2F-B6B8-B8FA20B17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43" name="BExU3EX5JJCXCII4YKUJBFBGIJR2" descr="OF5ZI9PI5WH36VPANJ2DYLNMI" hidden="1">
          <a:extLst>
            <a:ext uri="{FF2B5EF4-FFF2-40B4-BE49-F238E27FC236}">
              <a16:creationId xmlns:a16="http://schemas.microsoft.com/office/drawing/2014/main" id="{9A160CC8-3406-47D0-80FD-70F2A53C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44" name="BEx1KD7H6UB1VYCJ7O61P562EIUY" descr="IQGV9140X0K0UPBL8OGU3I44J" hidden="1">
          <a:extLst>
            <a:ext uri="{FF2B5EF4-FFF2-40B4-BE49-F238E27FC236}">
              <a16:creationId xmlns:a16="http://schemas.microsoft.com/office/drawing/2014/main" id="{C3B4211E-471E-47F7-8BE9-59F7BB72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45" name="BEx5BJQWS6YWHH4ZMSUAMD641V6Y" descr="ZTMFMXCIQSECDX38ALEFHUB00" hidden="1">
          <a:extLst>
            <a:ext uri="{FF2B5EF4-FFF2-40B4-BE49-F238E27FC236}">
              <a16:creationId xmlns:a16="http://schemas.microsoft.com/office/drawing/2014/main" id="{EDDA01C2-624D-4254-B9F7-8E1706DD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50800</xdr:colOff>
      <xdr:row>0</xdr:row>
      <xdr:rowOff>50799</xdr:rowOff>
    </xdr:to>
    <xdr:pic>
      <xdr:nvPicPr>
        <xdr:cNvPr id="46" name="BExVTO5Q8G2M7BPL4B2584LQS0R0" descr="OB6Q8NA4LZFE4GM9Y3V56BPMQ" hidden="1">
          <a:extLst>
            <a:ext uri="{FF2B5EF4-FFF2-40B4-BE49-F238E27FC236}">
              <a16:creationId xmlns:a16="http://schemas.microsoft.com/office/drawing/2014/main" id="{955D4B37-65EC-4775-9F30-A8A189B0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50800</xdr:colOff>
      <xdr:row>0</xdr:row>
      <xdr:rowOff>126999</xdr:rowOff>
    </xdr:to>
    <xdr:pic>
      <xdr:nvPicPr>
        <xdr:cNvPr id="47" name="BExIFSCLN1G86X78PFLTSMRP0US5" descr="9JK4SPV4DG7VTCZIILWHXQU5J" hidden="1">
          <a:extLst>
            <a:ext uri="{FF2B5EF4-FFF2-40B4-BE49-F238E27FC236}">
              <a16:creationId xmlns:a16="http://schemas.microsoft.com/office/drawing/2014/main" id="{DAC6F66E-E23A-491F-B05F-87106862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48" name="BEx1I152WN2D3A85O2XN0DGXCWHN" descr="KHBZFMANRA4UMJR1AB4M5NJNT" hidden="1">
          <a:extLst>
            <a:ext uri="{FF2B5EF4-FFF2-40B4-BE49-F238E27FC236}">
              <a16:creationId xmlns:a16="http://schemas.microsoft.com/office/drawing/2014/main" id="{160C1440-3652-4A86-86BE-A5D6C456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49" name="BExW9676P0SKCVKK25QCGHPA3PAD" descr="9A4PWZ20RMSRF0PNECCDM75CA" hidden="1">
          <a:extLst>
            <a:ext uri="{FF2B5EF4-FFF2-40B4-BE49-F238E27FC236}">
              <a16:creationId xmlns:a16="http://schemas.microsoft.com/office/drawing/2014/main" id="{02EDCD98-19F8-4EDA-AA18-B9F9821A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127451</xdr:colOff>
      <xdr:row>2</xdr:row>
      <xdr:rowOff>28031</xdr:rowOff>
    </xdr:to>
    <xdr:pic>
      <xdr:nvPicPr>
        <xdr:cNvPr id="50" name="BExW253QPOZK9KW8BJC3LBXGCG2N" descr="Y5HX37BEUWSN1NEFJKZJXI3SX" hidden="1">
          <a:extLst>
            <a:ext uri="{FF2B5EF4-FFF2-40B4-BE49-F238E27FC236}">
              <a16:creationId xmlns:a16="http://schemas.microsoft.com/office/drawing/2014/main" id="{2AE773D8-D619-4B6F-A026-15B41958C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51" name="BExS5CPQ8P8JOQPK7ANNKHLSGOKU" hidden="1">
          <a:extLst>
            <a:ext uri="{FF2B5EF4-FFF2-40B4-BE49-F238E27FC236}">
              <a16:creationId xmlns:a16="http://schemas.microsoft.com/office/drawing/2014/main" id="{9DD592DF-52AE-4A71-B320-812B7AFE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52" name="BExMM0AVUAIRNJLXB1FW8R0YB4ZZ" hidden="1">
          <a:extLst>
            <a:ext uri="{FF2B5EF4-FFF2-40B4-BE49-F238E27FC236}">
              <a16:creationId xmlns:a16="http://schemas.microsoft.com/office/drawing/2014/main" id="{32DE66C4-0D3F-4612-B67C-DBF3AB76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53" name="BExXZ7Y09CBS0XA7IPB3IRJ8RJM4" hidden="1">
          <a:extLst>
            <a:ext uri="{FF2B5EF4-FFF2-40B4-BE49-F238E27FC236}">
              <a16:creationId xmlns:a16="http://schemas.microsoft.com/office/drawing/2014/main" id="{F613D199-0F81-411C-B675-157C6C6F9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54" name="BExQ7SXS9VUG7P6CACU2J7R2SGIZ" hidden="1">
          <a:extLst>
            <a:ext uri="{FF2B5EF4-FFF2-40B4-BE49-F238E27FC236}">
              <a16:creationId xmlns:a16="http://schemas.microsoft.com/office/drawing/2014/main" id="{CB923912-DA49-438A-8DC0-3FEDD477A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55" name="BEx5AQZ4ETQ9LMY5EBWVH20Z7VXQ" hidden="1">
          <a:extLst>
            <a:ext uri="{FF2B5EF4-FFF2-40B4-BE49-F238E27FC236}">
              <a16:creationId xmlns:a16="http://schemas.microsoft.com/office/drawing/2014/main" id="{947F99E0-B9D9-43A5-939A-C3DA398BC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56" name="BExUBK0YZ5VYFY8TTITJGJU9S06A" hidden="1">
          <a:extLst>
            <a:ext uri="{FF2B5EF4-FFF2-40B4-BE49-F238E27FC236}">
              <a16:creationId xmlns:a16="http://schemas.microsoft.com/office/drawing/2014/main" id="{0608AFBC-839A-4080-AC4A-7CE8CD64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69218</xdr:colOff>
      <xdr:row>0</xdr:row>
      <xdr:rowOff>50799</xdr:rowOff>
    </xdr:to>
    <xdr:pic>
      <xdr:nvPicPr>
        <xdr:cNvPr id="57" name="BExUEZCSSJ7RN4J18I2NUIQR2FZS" hidden="1">
          <a:extLst>
            <a:ext uri="{FF2B5EF4-FFF2-40B4-BE49-F238E27FC236}">
              <a16:creationId xmlns:a16="http://schemas.microsoft.com/office/drawing/2014/main" id="{478A3600-26E9-41FD-9CCB-46866235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69218</xdr:colOff>
      <xdr:row>0</xdr:row>
      <xdr:rowOff>126999</xdr:rowOff>
    </xdr:to>
    <xdr:pic>
      <xdr:nvPicPr>
        <xdr:cNvPr id="58" name="BExS3JDQWF7U3F5JTEVOE16ASIYK" hidden="1">
          <a:extLst>
            <a:ext uri="{FF2B5EF4-FFF2-40B4-BE49-F238E27FC236}">
              <a16:creationId xmlns:a16="http://schemas.microsoft.com/office/drawing/2014/main" id="{FCFB8836-4B95-4F11-8D35-25FDCBDB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59" name="BEx973S463FCQVJ7QDFBUIU0WJ3F" descr="ZQTVYL8DCSADVT0QMRXFLU0TR" hidden="1">
          <a:extLst>
            <a:ext uri="{FF2B5EF4-FFF2-40B4-BE49-F238E27FC236}">
              <a16:creationId xmlns:a16="http://schemas.microsoft.com/office/drawing/2014/main" id="{407C2A96-002C-426F-B414-1B8A9A1A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66130</xdr:rowOff>
    </xdr:to>
    <xdr:pic>
      <xdr:nvPicPr>
        <xdr:cNvPr id="60" name="BExRZO0PLWWMCLGRH7EH6UXYWGAJ" descr="9D4GQ34QB727H10MA3SSAR2R9" hidden="1">
          <a:extLst>
            <a:ext uri="{FF2B5EF4-FFF2-40B4-BE49-F238E27FC236}">
              <a16:creationId xmlns:a16="http://schemas.microsoft.com/office/drawing/2014/main" id="{988A0801-09C7-47E0-B7DB-4CBA4364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8</xdr:row>
      <xdr:rowOff>47625</xdr:rowOff>
    </xdr:from>
    <xdr:to>
      <xdr:col>1</xdr:col>
      <xdr:colOff>121283</xdr:colOff>
      <xdr:row>9</xdr:row>
      <xdr:rowOff>25400</xdr:rowOff>
    </xdr:to>
    <xdr:pic>
      <xdr:nvPicPr>
        <xdr:cNvPr id="61" name="BExBDP6HNAAJUM39SE5G2C8BKNRQ" descr="1TM64TL2QIMYV7WYSV2VLGXY4" hidden="1">
          <a:extLst>
            <a:ext uri="{FF2B5EF4-FFF2-40B4-BE49-F238E27FC236}">
              <a16:creationId xmlns:a16="http://schemas.microsoft.com/office/drawing/2014/main" id="{EE69A005-5266-4DC7-9CD8-19A499B3E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121283</xdr:colOff>
      <xdr:row>9</xdr:row>
      <xdr:rowOff>142331</xdr:rowOff>
    </xdr:to>
    <xdr:pic>
      <xdr:nvPicPr>
        <xdr:cNvPr id="62" name="BExQEGJP61DL2NZY6LMBHBZ0J5YT" descr="D6ZNRZJ7EX4GZT9RO8LE0C905" hidden="1">
          <a:extLst>
            <a:ext uri="{FF2B5EF4-FFF2-40B4-BE49-F238E27FC236}">
              <a16:creationId xmlns:a16="http://schemas.microsoft.com/office/drawing/2014/main" id="{DECC7AE9-3D2F-4908-AD6F-7470FB8A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123825</xdr:rowOff>
    </xdr:from>
    <xdr:to>
      <xdr:col>1</xdr:col>
      <xdr:colOff>121283</xdr:colOff>
      <xdr:row>10</xdr:row>
      <xdr:rowOff>45084</xdr:rowOff>
    </xdr:to>
    <xdr:pic>
      <xdr:nvPicPr>
        <xdr:cNvPr id="63" name="BExTY1BCS6HZIF6HI5491FGHDVAE" descr="MJ6976KI2UH1IE8M227DUYXMJ" hidden="1">
          <a:extLst>
            <a:ext uri="{FF2B5EF4-FFF2-40B4-BE49-F238E27FC236}">
              <a16:creationId xmlns:a16="http://schemas.microsoft.com/office/drawing/2014/main" id="{674782EF-6F59-44F3-8F0C-A85E96D0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64" name="BEx5FXJGJOT93D0J2IRJ3985IUMI" hidden="1">
          <a:extLst>
            <a:ext uri="{FF2B5EF4-FFF2-40B4-BE49-F238E27FC236}">
              <a16:creationId xmlns:a16="http://schemas.microsoft.com/office/drawing/2014/main" id="{0BE84C2F-9211-4795-BADC-E7B0943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48169</xdr:rowOff>
    </xdr:to>
    <xdr:pic>
      <xdr:nvPicPr>
        <xdr:cNvPr id="65" name="BEx3RTMHAR35NUAAK49TV6NU7EPA" descr="QFXLG4ZCXTRQSJYFCKJ58G9N8" hidden="1">
          <a:extLst>
            <a:ext uri="{FF2B5EF4-FFF2-40B4-BE49-F238E27FC236}">
              <a16:creationId xmlns:a16="http://schemas.microsoft.com/office/drawing/2014/main" id="{8727DCC6-7D85-4AA4-843A-9BFE0F7C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104231</xdr:rowOff>
    </xdr:to>
    <xdr:pic>
      <xdr:nvPicPr>
        <xdr:cNvPr id="66" name="BExS8T38WLC2R738ZC7BDJQAKJAJ" descr="MRI962L5PB0E0YWXCIBN82VJH" hidden="1">
          <a:extLst>
            <a:ext uri="{FF2B5EF4-FFF2-40B4-BE49-F238E27FC236}">
              <a16:creationId xmlns:a16="http://schemas.microsoft.com/office/drawing/2014/main" id="{0BE54759-71C8-4A61-ACD3-E06DA6E2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67" name="BEx5F64BJ6DCM4EJH81D5ZFNPZ0V" descr="7DJ9FILZD2YPS6X1JBP9E76TU" hidden="1">
          <a:extLst>
            <a:ext uri="{FF2B5EF4-FFF2-40B4-BE49-F238E27FC236}">
              <a16:creationId xmlns:a16="http://schemas.microsoft.com/office/drawing/2014/main" id="{DFF95AF8-A117-4C6E-9978-5B26796D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68" name="BExQEXXHA3EEXR44LT6RKCDWM6ZT" hidden="1">
          <a:extLst>
            <a:ext uri="{FF2B5EF4-FFF2-40B4-BE49-F238E27FC236}">
              <a16:creationId xmlns:a16="http://schemas.microsoft.com/office/drawing/2014/main" id="{4C051C4B-55A5-48AD-AD13-48A6ED434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69" name="BEx1X6AMHV6ZK3UJB2BXIJTJHYJU" descr="OALR4L95ELQLZ1Y1LETHM1CS9" hidden="1">
          <a:extLst>
            <a:ext uri="{FF2B5EF4-FFF2-40B4-BE49-F238E27FC236}">
              <a16:creationId xmlns:a16="http://schemas.microsoft.com/office/drawing/2014/main" id="{9A1C2FF9-F143-4841-BBFC-4666667C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48169</xdr:rowOff>
    </xdr:to>
    <xdr:pic>
      <xdr:nvPicPr>
        <xdr:cNvPr id="70" name="BExSDIVCE09QKG3CT52PHCS6ZJ09" descr="9F076L7EQCF2COMMGCQG6BQGU" hidden="1">
          <a:extLst>
            <a:ext uri="{FF2B5EF4-FFF2-40B4-BE49-F238E27FC236}">
              <a16:creationId xmlns:a16="http://schemas.microsoft.com/office/drawing/2014/main" id="{A14726E3-5A36-4B21-9CDA-2CFB55527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66130</xdr:rowOff>
    </xdr:to>
    <xdr:pic>
      <xdr:nvPicPr>
        <xdr:cNvPr id="71" name="BEx1QZGQZBAWJ8591VXEIPUOVS7X" descr="MEW27CPIFG44B7E7HEQUUF5QF" hidden="1">
          <a:extLst>
            <a:ext uri="{FF2B5EF4-FFF2-40B4-BE49-F238E27FC236}">
              <a16:creationId xmlns:a16="http://schemas.microsoft.com/office/drawing/2014/main" id="{7A86822B-E7C9-4E74-821E-7FD9C00F4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161925</xdr:rowOff>
    </xdr:from>
    <xdr:to>
      <xdr:col>1</xdr:col>
      <xdr:colOff>121283</xdr:colOff>
      <xdr:row>7</xdr:row>
      <xdr:rowOff>83184</xdr:rowOff>
    </xdr:to>
    <xdr:pic>
      <xdr:nvPicPr>
        <xdr:cNvPr id="72" name="BExMF7LICJLPXSHM63A6EQ79YQKG" descr="U084VZL15IMB1OFRRAY6GVKAE" hidden="1">
          <a:extLst>
            <a:ext uri="{FF2B5EF4-FFF2-40B4-BE49-F238E27FC236}">
              <a16:creationId xmlns:a16="http://schemas.microsoft.com/office/drawing/2014/main" id="{36639D0A-44BA-4AAD-BB4C-B49154543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38100</xdr:rowOff>
    </xdr:from>
    <xdr:to>
      <xdr:col>1</xdr:col>
      <xdr:colOff>121283</xdr:colOff>
      <xdr:row>6</xdr:row>
      <xdr:rowOff>180431</xdr:rowOff>
    </xdr:to>
    <xdr:pic>
      <xdr:nvPicPr>
        <xdr:cNvPr id="73" name="BExS343F8GCKP6HTF9Y97L133DX8" descr="ZRF0KB1IYQSNV63CTXT25G67G" hidden="1">
          <a:extLst>
            <a:ext uri="{FF2B5EF4-FFF2-40B4-BE49-F238E27FC236}">
              <a16:creationId xmlns:a16="http://schemas.microsoft.com/office/drawing/2014/main" id="{AE1C84AE-4F7A-4DAD-AEA9-4CEA5A18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5</xdr:row>
      <xdr:rowOff>95250</xdr:rowOff>
    </xdr:from>
    <xdr:to>
      <xdr:col>1</xdr:col>
      <xdr:colOff>121283</xdr:colOff>
      <xdr:row>6</xdr:row>
      <xdr:rowOff>10070</xdr:rowOff>
    </xdr:to>
    <xdr:pic>
      <xdr:nvPicPr>
        <xdr:cNvPr id="74" name="BExZMRC09W87CY4B73NPZMNH21AH" descr="78CUMI0OVLYJRSDRQ3V2YX812" hidden="1">
          <a:extLst>
            <a:ext uri="{FF2B5EF4-FFF2-40B4-BE49-F238E27FC236}">
              <a16:creationId xmlns:a16="http://schemas.microsoft.com/office/drawing/2014/main" id="{17CDD82B-F722-4012-B15B-DDFC84D3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161925</xdr:rowOff>
    </xdr:from>
    <xdr:to>
      <xdr:col>1</xdr:col>
      <xdr:colOff>121283</xdr:colOff>
      <xdr:row>5</xdr:row>
      <xdr:rowOff>83184</xdr:rowOff>
    </xdr:to>
    <xdr:pic>
      <xdr:nvPicPr>
        <xdr:cNvPr id="75" name="BExZXVFJ4DY4I24AARDT4AMP6EN1" descr="TXSMH2MTH86CYKA26740RQPUC" hidden="1">
          <a:extLst>
            <a:ext uri="{FF2B5EF4-FFF2-40B4-BE49-F238E27FC236}">
              <a16:creationId xmlns:a16="http://schemas.microsoft.com/office/drawing/2014/main" id="{9E5CF6A4-BDEB-4738-847B-836CE72C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76" name="BExOCUIOFQWUGTBU5ESTW3EYEP5C" descr="9BNF49V0R6VVYPHEVMJ3ABDQZ" hidden="1">
          <a:extLst>
            <a:ext uri="{FF2B5EF4-FFF2-40B4-BE49-F238E27FC236}">
              <a16:creationId xmlns:a16="http://schemas.microsoft.com/office/drawing/2014/main" id="{BAE64B34-AF3D-4CC4-A979-E7AF9B58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3</xdr:row>
      <xdr:rowOff>85725</xdr:rowOff>
    </xdr:from>
    <xdr:to>
      <xdr:col>1</xdr:col>
      <xdr:colOff>121283</xdr:colOff>
      <xdr:row>4</xdr:row>
      <xdr:rowOff>6984</xdr:rowOff>
    </xdr:to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75EEF314-9733-4AAA-9195-0A1FAE9A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104231</xdr:rowOff>
    </xdr:to>
    <xdr:pic>
      <xdr:nvPicPr>
        <xdr:cNvPr id="78" name="BExOPRCR0UW7TKXSV5WDTL348FGL" descr="S9JM17GP1802LHN4GT14BJYIC" hidden="1">
          <a:extLst>
            <a:ext uri="{FF2B5EF4-FFF2-40B4-BE49-F238E27FC236}">
              <a16:creationId xmlns:a16="http://schemas.microsoft.com/office/drawing/2014/main" id="{7919C234-D6AB-41D8-ACD4-A45C96CE9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79" name="BEx5OESAY2W8SEGI3TSB65EHJ04B" descr="9CN2Y88X8WYV1HWZG1QILY9BK" hidden="1">
          <a:extLst>
            <a:ext uri="{FF2B5EF4-FFF2-40B4-BE49-F238E27FC236}">
              <a16:creationId xmlns:a16="http://schemas.microsoft.com/office/drawing/2014/main" id="{0000B200-CD3C-4926-B521-022FAC7C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80" name="BExGMWEQ2BYRY9BAO5T1X850MJN1" descr="AZ9ST0XDIOP50HSUFO5V31BR0" hidden="1">
          <a:extLst>
            <a:ext uri="{FF2B5EF4-FFF2-40B4-BE49-F238E27FC236}">
              <a16:creationId xmlns:a16="http://schemas.microsoft.com/office/drawing/2014/main" id="{68491EFF-BC1B-44A9-AC4B-4696C515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237037</xdr:colOff>
      <xdr:row>79</xdr:row>
      <xdr:rowOff>66131</xdr:rowOff>
    </xdr:to>
    <xdr:pic>
      <xdr:nvPicPr>
        <xdr:cNvPr id="81" name="BExXRND8208TWULE9S50U89VKPB7" descr="ETUGZV0SKTQDQB8JOYY0DCX79" hidden="1">
          <a:extLst>
            <a:ext uri="{FF2B5EF4-FFF2-40B4-BE49-F238E27FC236}">
              <a16:creationId xmlns:a16="http://schemas.microsoft.com/office/drawing/2014/main" id="{21759CE6-831A-4730-A862-74EED990B7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5675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82" name="BExMO7VFCN4EL59982UR4AJ25JNJ" descr="XX6TINEJADZGKR0CTM7ZRT0RA" hidden="1">
          <a:extLst>
            <a:ext uri="{FF2B5EF4-FFF2-40B4-BE49-F238E27FC236}">
              <a16:creationId xmlns:a16="http://schemas.microsoft.com/office/drawing/2014/main" id="{02CD0ED2-DD71-4292-B250-67286189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83" name="BExU3EX5JJCXCII4YKUJBFBGIJR2" descr="OF5ZI9PI5WH36VPANJ2DYLNMI" hidden="1">
          <a:extLst>
            <a:ext uri="{FF2B5EF4-FFF2-40B4-BE49-F238E27FC236}">
              <a16:creationId xmlns:a16="http://schemas.microsoft.com/office/drawing/2014/main" id="{DC783F1B-8A38-41EC-97CB-3F7455018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84" name="BEx1KD7H6UB1VYCJ7O61P562EIUY" descr="IQGV9140X0K0UPBL8OGU3I44J" hidden="1">
          <a:extLst>
            <a:ext uri="{FF2B5EF4-FFF2-40B4-BE49-F238E27FC236}">
              <a16:creationId xmlns:a16="http://schemas.microsoft.com/office/drawing/2014/main" id="{E66F6E3B-7365-4D91-BECB-251072CA5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85" name="BEx5BJQWS6YWHH4ZMSUAMD641V6Y" descr="ZTMFMXCIQSECDX38ALEFHUB00" hidden="1">
          <a:extLst>
            <a:ext uri="{FF2B5EF4-FFF2-40B4-BE49-F238E27FC236}">
              <a16:creationId xmlns:a16="http://schemas.microsoft.com/office/drawing/2014/main" id="{8A039C75-AABA-45C0-816C-4B6AD92C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50800</xdr:colOff>
      <xdr:row>0</xdr:row>
      <xdr:rowOff>50799</xdr:rowOff>
    </xdr:to>
    <xdr:pic>
      <xdr:nvPicPr>
        <xdr:cNvPr id="86" name="BExVTO5Q8G2M7BPL4B2584LQS0R0" descr="OB6Q8NA4LZFE4GM9Y3V56BPMQ" hidden="1">
          <a:extLst>
            <a:ext uri="{FF2B5EF4-FFF2-40B4-BE49-F238E27FC236}">
              <a16:creationId xmlns:a16="http://schemas.microsoft.com/office/drawing/2014/main" id="{760ACC69-D9E6-415A-A1F4-9C290824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71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50800</xdr:colOff>
      <xdr:row>0</xdr:row>
      <xdr:rowOff>126999</xdr:rowOff>
    </xdr:to>
    <xdr:pic>
      <xdr:nvPicPr>
        <xdr:cNvPr id="87" name="BExIFSCLN1G86X78PFLTSMRP0US5" descr="9JK4SPV4DG7VTCZIILWHXQU5J" hidden="1">
          <a:extLst>
            <a:ext uri="{FF2B5EF4-FFF2-40B4-BE49-F238E27FC236}">
              <a16:creationId xmlns:a16="http://schemas.microsoft.com/office/drawing/2014/main" id="{15921093-CE7C-420A-9D17-33E3EF4AA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971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88" name="BEx1I152WN2D3A85O2XN0DGXCWHN" descr="KHBZFMANRA4UMJR1AB4M5NJNT" hidden="1">
          <a:extLst>
            <a:ext uri="{FF2B5EF4-FFF2-40B4-BE49-F238E27FC236}">
              <a16:creationId xmlns:a16="http://schemas.microsoft.com/office/drawing/2014/main" id="{3201C658-66BD-4A38-8AFA-BA0672C22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89" name="BExW9676P0SKCVKK25QCGHPA3PAD" descr="9A4PWZ20RMSRF0PNECCDM75CA" hidden="1">
          <a:extLst>
            <a:ext uri="{FF2B5EF4-FFF2-40B4-BE49-F238E27FC236}">
              <a16:creationId xmlns:a16="http://schemas.microsoft.com/office/drawing/2014/main" id="{382A649E-5201-49C6-AFE8-3F2C6335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127451</xdr:colOff>
      <xdr:row>2</xdr:row>
      <xdr:rowOff>28031</xdr:rowOff>
    </xdr:to>
    <xdr:pic>
      <xdr:nvPicPr>
        <xdr:cNvPr id="90" name="BExW253QPOZK9KW8BJC3LBXGCG2N" descr="Y5HX37BEUWSN1NEFJKZJXI3SX" hidden="1">
          <a:extLst>
            <a:ext uri="{FF2B5EF4-FFF2-40B4-BE49-F238E27FC236}">
              <a16:creationId xmlns:a16="http://schemas.microsoft.com/office/drawing/2014/main" id="{244ECF04-115B-447D-9015-962F2278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91" name="BExS5CPQ8P8JOQPK7ANNKHLSGOKU" hidden="1">
          <a:extLst>
            <a:ext uri="{FF2B5EF4-FFF2-40B4-BE49-F238E27FC236}">
              <a16:creationId xmlns:a16="http://schemas.microsoft.com/office/drawing/2014/main" id="{53C82295-47F5-42D2-9965-8FD3BB23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92" name="BExMM0AVUAIRNJLXB1FW8R0YB4ZZ" hidden="1">
          <a:extLst>
            <a:ext uri="{FF2B5EF4-FFF2-40B4-BE49-F238E27FC236}">
              <a16:creationId xmlns:a16="http://schemas.microsoft.com/office/drawing/2014/main" id="{F2559B30-9BD9-4705-B977-0C4F4102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1</xdr:col>
      <xdr:colOff>63047</xdr:colOff>
      <xdr:row>0</xdr:row>
      <xdr:rowOff>50799</xdr:rowOff>
    </xdr:to>
    <xdr:pic>
      <xdr:nvPicPr>
        <xdr:cNvPr id="93" name="BExXZ7Y09CBS0XA7IPB3IRJ8RJM4" hidden="1">
          <a:extLst>
            <a:ext uri="{FF2B5EF4-FFF2-40B4-BE49-F238E27FC236}">
              <a16:creationId xmlns:a16="http://schemas.microsoft.com/office/drawing/2014/main" id="{37724EA5-CC9F-4E07-9610-91D32DB45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3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63047</xdr:colOff>
      <xdr:row>0</xdr:row>
      <xdr:rowOff>126999</xdr:rowOff>
    </xdr:to>
    <xdr:pic>
      <xdr:nvPicPr>
        <xdr:cNvPr id="94" name="BExQ7SXS9VUG7P6CACU2J7R2SGIZ" hidden="1">
          <a:extLst>
            <a:ext uri="{FF2B5EF4-FFF2-40B4-BE49-F238E27FC236}">
              <a16:creationId xmlns:a16="http://schemas.microsoft.com/office/drawing/2014/main" id="{903CD77E-464D-4F93-A88A-FB8A92FE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2550"/>
          <a:ext cx="44450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51251</xdr:colOff>
      <xdr:row>0</xdr:row>
      <xdr:rowOff>50799</xdr:rowOff>
    </xdr:to>
    <xdr:pic>
      <xdr:nvPicPr>
        <xdr:cNvPr id="95" name="BEx5AQZ4ETQ9LMY5EBWVH20Z7VXQ" hidden="1">
          <a:extLst>
            <a:ext uri="{FF2B5EF4-FFF2-40B4-BE49-F238E27FC236}">
              <a16:creationId xmlns:a16="http://schemas.microsoft.com/office/drawing/2014/main" id="{2DF23395-6F8C-4468-97E5-19A12E64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51251</xdr:colOff>
      <xdr:row>0</xdr:row>
      <xdr:rowOff>126999</xdr:rowOff>
    </xdr:to>
    <xdr:pic>
      <xdr:nvPicPr>
        <xdr:cNvPr id="96" name="BExUBK0YZ5VYFY8TTITJGJU9S06A" hidden="1">
          <a:extLst>
            <a:ext uri="{FF2B5EF4-FFF2-40B4-BE49-F238E27FC236}">
              <a16:creationId xmlns:a16="http://schemas.microsoft.com/office/drawing/2014/main" id="{2A6790A3-B5A5-4172-A2DD-4EE17047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9525</xdr:rowOff>
    </xdr:from>
    <xdr:to>
      <xdr:col>1</xdr:col>
      <xdr:colOff>69218</xdr:colOff>
      <xdr:row>0</xdr:row>
      <xdr:rowOff>50799</xdr:rowOff>
    </xdr:to>
    <xdr:pic>
      <xdr:nvPicPr>
        <xdr:cNvPr id="97" name="BExUEZCSSJ7RN4J18I2NUIQR2FZS" hidden="1">
          <a:extLst>
            <a:ext uri="{FF2B5EF4-FFF2-40B4-BE49-F238E27FC236}">
              <a16:creationId xmlns:a16="http://schemas.microsoft.com/office/drawing/2014/main" id="{5DD9D9A4-A326-4080-BA3A-49AEEE35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9825" y="63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0</xdr:row>
      <xdr:rowOff>85725</xdr:rowOff>
    </xdr:from>
    <xdr:to>
      <xdr:col>1</xdr:col>
      <xdr:colOff>69218</xdr:colOff>
      <xdr:row>0</xdr:row>
      <xdr:rowOff>126999</xdr:rowOff>
    </xdr:to>
    <xdr:pic>
      <xdr:nvPicPr>
        <xdr:cNvPr id="98" name="BExS3JDQWF7U3F5JTEVOE16ASIYK" hidden="1">
          <a:extLst>
            <a:ext uri="{FF2B5EF4-FFF2-40B4-BE49-F238E27FC236}">
              <a16:creationId xmlns:a16="http://schemas.microsoft.com/office/drawing/2014/main" id="{6A49F166-E6C2-4B26-8265-B98BF375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82550"/>
          <a:ext cx="47625" cy="508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99" name="BEx973S463FCQVJ7QDFBUIU0WJ3F" descr="ZQTVYL8DCSADVT0QMRXFLU0TR" hidden="1">
          <a:extLst>
            <a:ext uri="{FF2B5EF4-FFF2-40B4-BE49-F238E27FC236}">
              <a16:creationId xmlns:a16="http://schemas.microsoft.com/office/drawing/2014/main" id="{290C1DE8-7BF9-42DF-9FBC-529D944B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66130</xdr:rowOff>
    </xdr:to>
    <xdr:pic>
      <xdr:nvPicPr>
        <xdr:cNvPr id="100" name="BExRZO0PLWWMCLGRH7EH6UXYWGAJ" descr="9D4GQ34QB727H10MA3SSAR2R9" hidden="1">
          <a:extLst>
            <a:ext uri="{FF2B5EF4-FFF2-40B4-BE49-F238E27FC236}">
              <a16:creationId xmlns:a16="http://schemas.microsoft.com/office/drawing/2014/main" id="{3AA5D7F7-7AEF-4DD1-A484-65A09FE9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8</xdr:row>
      <xdr:rowOff>47625</xdr:rowOff>
    </xdr:from>
    <xdr:to>
      <xdr:col>1</xdr:col>
      <xdr:colOff>121283</xdr:colOff>
      <xdr:row>9</xdr:row>
      <xdr:rowOff>25400</xdr:rowOff>
    </xdr:to>
    <xdr:pic>
      <xdr:nvPicPr>
        <xdr:cNvPr id="101" name="BExBDP6HNAAJUM39SE5G2C8BKNRQ" descr="1TM64TL2QIMYV7WYSV2VLGXY4" hidden="1">
          <a:extLst>
            <a:ext uri="{FF2B5EF4-FFF2-40B4-BE49-F238E27FC236}">
              <a16:creationId xmlns:a16="http://schemas.microsoft.com/office/drawing/2014/main" id="{69C0E6E2-2900-4B26-BFE4-F469E129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9225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121283</xdr:colOff>
      <xdr:row>9</xdr:row>
      <xdr:rowOff>142331</xdr:rowOff>
    </xdr:to>
    <xdr:pic>
      <xdr:nvPicPr>
        <xdr:cNvPr id="102" name="BExQEGJP61DL2NZY6LMBHBZ0J5YT" descr="D6ZNRZJ7EX4GZT9RO8LE0C905" hidden="1">
          <a:extLst>
            <a:ext uri="{FF2B5EF4-FFF2-40B4-BE49-F238E27FC236}">
              <a16:creationId xmlns:a16="http://schemas.microsoft.com/office/drawing/2014/main" id="{E9A4CE69-CF50-41EE-BB0B-09B36B56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9</xdr:row>
      <xdr:rowOff>123825</xdr:rowOff>
    </xdr:from>
    <xdr:to>
      <xdr:col>1</xdr:col>
      <xdr:colOff>121283</xdr:colOff>
      <xdr:row>10</xdr:row>
      <xdr:rowOff>45084</xdr:rowOff>
    </xdr:to>
    <xdr:pic>
      <xdr:nvPicPr>
        <xdr:cNvPr id="103" name="BExTY1BCS6HZIF6HI5491FGHDVAE" descr="MJ6976KI2UH1IE8M227DUYXMJ" hidden="1">
          <a:extLst>
            <a:ext uri="{FF2B5EF4-FFF2-40B4-BE49-F238E27FC236}">
              <a16:creationId xmlns:a16="http://schemas.microsoft.com/office/drawing/2014/main" id="{0A806E23-9F85-4AB0-B243-52051245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749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104" name="BEx5FXJGJOT93D0J2IRJ3985IUMI" hidden="1">
          <a:extLst>
            <a:ext uri="{FF2B5EF4-FFF2-40B4-BE49-F238E27FC236}">
              <a16:creationId xmlns:a16="http://schemas.microsoft.com/office/drawing/2014/main" id="{B9E5FDAD-4935-4808-AF8B-917A718B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48169</xdr:rowOff>
    </xdr:to>
    <xdr:pic>
      <xdr:nvPicPr>
        <xdr:cNvPr id="105" name="BEx3RTMHAR35NUAAK49TV6NU7EPA" descr="QFXLG4ZCXTRQSJYFCKJ58G9N8" hidden="1">
          <a:extLst>
            <a:ext uri="{FF2B5EF4-FFF2-40B4-BE49-F238E27FC236}">
              <a16:creationId xmlns:a16="http://schemas.microsoft.com/office/drawing/2014/main" id="{AE9A588E-4FEC-4BDC-8AC4-B07E0A40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104231</xdr:rowOff>
    </xdr:to>
    <xdr:pic>
      <xdr:nvPicPr>
        <xdr:cNvPr id="106" name="BExS8T38WLC2R738ZC7BDJQAKJAJ" descr="MRI962L5PB0E0YWXCIBN82VJH" hidden="1">
          <a:extLst>
            <a:ext uri="{FF2B5EF4-FFF2-40B4-BE49-F238E27FC236}">
              <a16:creationId xmlns:a16="http://schemas.microsoft.com/office/drawing/2014/main" id="{7E96DCB0-13C5-4E63-86A8-C411D60B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107" name="BEx5F64BJ6DCM4EJH81D5ZFNPZ0V" descr="7DJ9FILZD2YPS6X1JBP9E76TU" hidden="1">
          <a:extLst>
            <a:ext uri="{FF2B5EF4-FFF2-40B4-BE49-F238E27FC236}">
              <a16:creationId xmlns:a16="http://schemas.microsoft.com/office/drawing/2014/main" id="{1702E06C-0B06-48E1-A6C8-44EA54E81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108" name="BExQEXXHA3EEXR44LT6RKCDWM6ZT" hidden="1">
          <a:extLst>
            <a:ext uri="{FF2B5EF4-FFF2-40B4-BE49-F238E27FC236}">
              <a16:creationId xmlns:a16="http://schemas.microsoft.com/office/drawing/2014/main" id="{25BA6D8D-4285-4C85-9CAA-E0E05C8A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109" name="BEx1X6AMHV6ZK3UJB2BXIJTJHYJU" descr="OALR4L95ELQLZ1Y1LETHM1CS9" hidden="1">
          <a:extLst>
            <a:ext uri="{FF2B5EF4-FFF2-40B4-BE49-F238E27FC236}">
              <a16:creationId xmlns:a16="http://schemas.microsoft.com/office/drawing/2014/main" id="{D0597179-4039-4298-A42B-D1F23FAA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123825</xdr:rowOff>
    </xdr:from>
    <xdr:to>
      <xdr:col>1</xdr:col>
      <xdr:colOff>121283</xdr:colOff>
      <xdr:row>1</xdr:row>
      <xdr:rowOff>48169</xdr:rowOff>
    </xdr:to>
    <xdr:pic>
      <xdr:nvPicPr>
        <xdr:cNvPr id="110" name="BExSDIVCE09QKG3CT52PHCS6ZJ09" descr="9F076L7EQCF2COMMGCQG6BQGU" hidden="1">
          <a:extLst>
            <a:ext uri="{FF2B5EF4-FFF2-40B4-BE49-F238E27FC236}">
              <a16:creationId xmlns:a16="http://schemas.microsoft.com/office/drawing/2014/main" id="{634B8529-8135-4EEE-BB83-C6E6FA11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120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1</xdr:col>
      <xdr:colOff>121283</xdr:colOff>
      <xdr:row>8</xdr:row>
      <xdr:rowOff>66130</xdr:rowOff>
    </xdr:to>
    <xdr:pic>
      <xdr:nvPicPr>
        <xdr:cNvPr id="111" name="BEx1QZGQZBAWJ8591VXEIPUOVS7X" descr="MEW27CPIFG44B7E7HEQUUF5QF" hidden="1">
          <a:extLst>
            <a:ext uri="{FF2B5EF4-FFF2-40B4-BE49-F238E27FC236}">
              <a16:creationId xmlns:a16="http://schemas.microsoft.com/office/drawing/2014/main" id="{BB22C3C7-A85E-41E9-8101-A6F855933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3684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161925</xdr:rowOff>
    </xdr:from>
    <xdr:to>
      <xdr:col>1</xdr:col>
      <xdr:colOff>121283</xdr:colOff>
      <xdr:row>7</xdr:row>
      <xdr:rowOff>83184</xdr:rowOff>
    </xdr:to>
    <xdr:pic>
      <xdr:nvPicPr>
        <xdr:cNvPr id="112" name="BExMF7LICJLPXSHM63A6EQ79YQKG" descr="U084VZL15IMB1OFRRAY6GVKAE" hidden="1">
          <a:extLst>
            <a:ext uri="{FF2B5EF4-FFF2-40B4-BE49-F238E27FC236}">
              <a16:creationId xmlns:a16="http://schemas.microsoft.com/office/drawing/2014/main" id="{723BF8F8-F928-447A-AD3B-59D1271C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4460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6</xdr:row>
      <xdr:rowOff>38100</xdr:rowOff>
    </xdr:from>
    <xdr:to>
      <xdr:col>1</xdr:col>
      <xdr:colOff>121283</xdr:colOff>
      <xdr:row>6</xdr:row>
      <xdr:rowOff>180431</xdr:rowOff>
    </xdr:to>
    <xdr:pic>
      <xdr:nvPicPr>
        <xdr:cNvPr id="113" name="BExS343F8GCKP6HTF9Y97L133DX8" descr="ZRF0KB1IYQSNV63CTXT25G67G" hidden="1">
          <a:extLst>
            <a:ext uri="{FF2B5EF4-FFF2-40B4-BE49-F238E27FC236}">
              <a16:creationId xmlns:a16="http://schemas.microsoft.com/office/drawing/2014/main" id="{9213D3FC-34C3-41F6-9CEE-1D5FF85A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123950"/>
          <a:ext cx="127000" cy="1206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5</xdr:row>
      <xdr:rowOff>95250</xdr:rowOff>
    </xdr:from>
    <xdr:to>
      <xdr:col>1</xdr:col>
      <xdr:colOff>121283</xdr:colOff>
      <xdr:row>6</xdr:row>
      <xdr:rowOff>10070</xdr:rowOff>
    </xdr:to>
    <xdr:pic>
      <xdr:nvPicPr>
        <xdr:cNvPr id="114" name="BExZMRC09W87CY4B73NPZMNH21AH" descr="78CUMI0OVLYJRSDRQ3V2YX812" hidden="1">
          <a:extLst>
            <a:ext uri="{FF2B5EF4-FFF2-40B4-BE49-F238E27FC236}">
              <a16:creationId xmlns:a16="http://schemas.microsoft.com/office/drawing/2014/main" id="{E29FB6BE-41D7-46E5-9012-E24F47C6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0012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161925</xdr:rowOff>
    </xdr:from>
    <xdr:to>
      <xdr:col>1</xdr:col>
      <xdr:colOff>121283</xdr:colOff>
      <xdr:row>5</xdr:row>
      <xdr:rowOff>83184</xdr:rowOff>
    </xdr:to>
    <xdr:pic>
      <xdr:nvPicPr>
        <xdr:cNvPr id="115" name="BExZXVFJ4DY4I24AARDT4AMP6EN1" descr="TXSMH2MTH86CYKA26740RQPUC" hidden="1">
          <a:extLst>
            <a:ext uri="{FF2B5EF4-FFF2-40B4-BE49-F238E27FC236}">
              <a16:creationId xmlns:a16="http://schemas.microsoft.com/office/drawing/2014/main" id="{499C60F6-A3B4-4F89-B9DE-785411A5B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882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4</xdr:row>
      <xdr:rowOff>28575</xdr:rowOff>
    </xdr:from>
    <xdr:to>
      <xdr:col>1</xdr:col>
      <xdr:colOff>121283</xdr:colOff>
      <xdr:row>4</xdr:row>
      <xdr:rowOff>180432</xdr:rowOff>
    </xdr:to>
    <xdr:pic>
      <xdr:nvPicPr>
        <xdr:cNvPr id="116" name="BExOCUIOFQWUGTBU5ESTW3EYEP5C" descr="9BNF49V0R6VVYPHEVMJ3ABDQZ" hidden="1">
          <a:extLst>
            <a:ext uri="{FF2B5EF4-FFF2-40B4-BE49-F238E27FC236}">
              <a16:creationId xmlns:a16="http://schemas.microsoft.com/office/drawing/2014/main" id="{A6B12C32-CC54-464E-95B8-81454145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49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3</xdr:row>
      <xdr:rowOff>85725</xdr:rowOff>
    </xdr:from>
    <xdr:to>
      <xdr:col>1</xdr:col>
      <xdr:colOff>121283</xdr:colOff>
      <xdr:row>4</xdr:row>
      <xdr:rowOff>6984</xdr:rowOff>
    </xdr:to>
    <xdr:pic>
      <xdr:nvPicPr>
        <xdr:cNvPr id="117" name="BExU65O9OE4B4MQ2A3OYH13M8BZJ" descr="3INNIMMPDBB0JF37L81M6ID21" hidden="1">
          <a:extLst>
            <a:ext uri="{FF2B5EF4-FFF2-40B4-BE49-F238E27FC236}">
              <a16:creationId xmlns:a16="http://schemas.microsoft.com/office/drawing/2014/main" id="{9F69B548-8233-4B71-9BB6-88C44EF79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625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142875</xdr:rowOff>
    </xdr:from>
    <xdr:to>
      <xdr:col>1</xdr:col>
      <xdr:colOff>121283</xdr:colOff>
      <xdr:row>3</xdr:row>
      <xdr:rowOff>104231</xdr:rowOff>
    </xdr:to>
    <xdr:pic>
      <xdr:nvPicPr>
        <xdr:cNvPr id="118" name="BExOPRCR0UW7TKXSV5WDTL348FGL" descr="S9JM17GP1802LHN4GT14BJYIC" hidden="1">
          <a:extLst>
            <a:ext uri="{FF2B5EF4-FFF2-40B4-BE49-F238E27FC236}">
              <a16:creationId xmlns:a16="http://schemas.microsoft.com/office/drawing/2014/main" id="{E227C8DB-3803-49E6-9EB3-743B34689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01650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2</xdr:row>
      <xdr:rowOff>9525</xdr:rowOff>
    </xdr:from>
    <xdr:to>
      <xdr:col>1</xdr:col>
      <xdr:colOff>121283</xdr:colOff>
      <xdr:row>2</xdr:row>
      <xdr:rowOff>121285</xdr:rowOff>
    </xdr:to>
    <xdr:pic>
      <xdr:nvPicPr>
        <xdr:cNvPr id="119" name="BEx5OESAY2W8SEGI3TSB65EHJ04B" descr="9CN2Y88X8WYV1HWZG1QILY9BK" hidden="1">
          <a:extLst>
            <a:ext uri="{FF2B5EF4-FFF2-40B4-BE49-F238E27FC236}">
              <a16:creationId xmlns:a16="http://schemas.microsoft.com/office/drawing/2014/main" id="{724951D9-BA81-454A-9236-162A20FA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368300"/>
          <a:ext cx="127000" cy="1270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1</xdr:row>
      <xdr:rowOff>66675</xdr:rowOff>
    </xdr:from>
    <xdr:to>
      <xdr:col>1</xdr:col>
      <xdr:colOff>121283</xdr:colOff>
      <xdr:row>2</xdr:row>
      <xdr:rowOff>28031</xdr:rowOff>
    </xdr:to>
    <xdr:pic>
      <xdr:nvPicPr>
        <xdr:cNvPr id="120" name="BExGMWEQ2BYRY9BAO5T1X850MJN1" descr="AZ9ST0XDIOP50HSUFO5V31BR0" hidden="1">
          <a:extLst>
            <a:ext uri="{FF2B5EF4-FFF2-40B4-BE49-F238E27FC236}">
              <a16:creationId xmlns:a16="http://schemas.microsoft.com/office/drawing/2014/main" id="{DCC7EA25-F246-4BFC-9577-108D1ED33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44475"/>
          <a:ext cx="127000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237037</xdr:colOff>
      <xdr:row>79</xdr:row>
      <xdr:rowOff>66131</xdr:rowOff>
    </xdr:to>
    <xdr:pic>
      <xdr:nvPicPr>
        <xdr:cNvPr id="121" name="BExXRND8208TWULE9S50U89VKPB7" descr="ETUGZV0SKTQDQB8JOYY0DCX79" hidden="1">
          <a:extLst>
            <a:ext uri="{FF2B5EF4-FFF2-40B4-BE49-F238E27FC236}">
              <a16:creationId xmlns:a16="http://schemas.microsoft.com/office/drawing/2014/main" id="{6B57C504-154F-4CC6-8857-832EDA1598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05675" cy="145923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22" name="BExMO7VFCN4EL59982UR4AJ25JNJ" descr="XX6TINEJADZGKR0CTM7ZRT0RA" hidden="1">
          <a:extLst>
            <a:ext uri="{FF2B5EF4-FFF2-40B4-BE49-F238E27FC236}">
              <a16:creationId xmlns:a16="http://schemas.microsoft.com/office/drawing/2014/main" id="{D1EB6600-F836-4100-B577-6A3C0467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23" name="BExU3EX5JJCXCII4YKUJBFBGIJR2" descr="OF5ZI9PI5WH36VPANJ2DYLNMI" hidden="1">
          <a:extLst>
            <a:ext uri="{FF2B5EF4-FFF2-40B4-BE49-F238E27FC236}">
              <a16:creationId xmlns:a16="http://schemas.microsoft.com/office/drawing/2014/main" id="{FDBA70DD-56D9-411C-AA4C-3C8408C0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24" name="BEx1KD7H6UB1VYCJ7O61P562EIUY" descr="IQGV9140X0K0UPBL8OGU3I44J" hidden="1">
          <a:extLst>
            <a:ext uri="{FF2B5EF4-FFF2-40B4-BE49-F238E27FC236}">
              <a16:creationId xmlns:a16="http://schemas.microsoft.com/office/drawing/2014/main" id="{0A2A11DD-D01A-4592-826A-289A76053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25" name="BEx5BJQWS6YWHH4ZMSUAMD641V6Y" descr="ZTMFMXCIQSECDX38ALEFHUB00" hidden="1">
          <a:extLst>
            <a:ext uri="{FF2B5EF4-FFF2-40B4-BE49-F238E27FC236}">
              <a16:creationId xmlns:a16="http://schemas.microsoft.com/office/drawing/2014/main" id="{E8C8E0E3-FFCC-4E89-8785-26E253B4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5257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26" name="BExVTO5Q8G2M7BPL4B2584LQS0R0" descr="OB6Q8NA4LZFE4GM9Y3V56BPMQ" hidden="1">
          <a:extLst>
            <a:ext uri="{FF2B5EF4-FFF2-40B4-BE49-F238E27FC236}">
              <a16:creationId xmlns:a16="http://schemas.microsoft.com/office/drawing/2014/main" id="{93DC30B1-495D-4573-93F6-1159DABD1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89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27" name="BExIFSCLN1G86X78PFLTSMRP0US5" descr="9JK4SPV4DG7VTCZIILWHXQU5J" hidden="1">
          <a:extLst>
            <a:ext uri="{FF2B5EF4-FFF2-40B4-BE49-F238E27FC236}">
              <a16:creationId xmlns:a16="http://schemas.microsoft.com/office/drawing/2014/main" id="{F3A7A900-C9F2-4871-8EB7-7F41F07BD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89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28" name="BEx1I152WN2D3A85O2XN0DGXCWHN" descr="KHBZFMANRA4UMJR1AB4M5NJNT" hidden="1">
          <a:extLst>
            <a:ext uri="{FF2B5EF4-FFF2-40B4-BE49-F238E27FC236}">
              <a16:creationId xmlns:a16="http://schemas.microsoft.com/office/drawing/2014/main" id="{E2EB943E-CCBA-4E08-A553-01D20892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29" name="BExW9676P0SKCVKK25QCGHPA3PAD" descr="9A4PWZ20RMSRF0PNECCDM75CA" hidden="1">
          <a:extLst>
            <a:ext uri="{FF2B5EF4-FFF2-40B4-BE49-F238E27FC236}">
              <a16:creationId xmlns:a16="http://schemas.microsoft.com/office/drawing/2014/main" id="{811B7057-1D83-410E-93E7-F36AA494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30" name="BExW253QPOZK9KW8BJC3LBXGCG2N" descr="Y5HX37BEUWSN1NEFJKZJXI3SX" hidden="1">
          <a:extLst>
            <a:ext uri="{FF2B5EF4-FFF2-40B4-BE49-F238E27FC236}">
              <a16:creationId xmlns:a16="http://schemas.microsoft.com/office/drawing/2014/main" id="{CAB8A111-4841-4122-86E8-2D58ACFC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31" name="BExS5CPQ8P8JOQPK7ANNKHLSGOKU" hidden="1">
          <a:extLst>
            <a:ext uri="{FF2B5EF4-FFF2-40B4-BE49-F238E27FC236}">
              <a16:creationId xmlns:a16="http://schemas.microsoft.com/office/drawing/2014/main" id="{BD043CEC-7A32-4D90-9B71-2DA863C1C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32" name="BExMM0AVUAIRNJLXB1FW8R0YB4ZZ" hidden="1">
          <a:extLst>
            <a:ext uri="{FF2B5EF4-FFF2-40B4-BE49-F238E27FC236}">
              <a16:creationId xmlns:a16="http://schemas.microsoft.com/office/drawing/2014/main" id="{DA64517F-01DA-4BBB-8663-EEF66E86E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33" name="BExXZ7Y09CBS0XA7IPB3IRJ8RJM4" hidden="1">
          <a:extLst>
            <a:ext uri="{FF2B5EF4-FFF2-40B4-BE49-F238E27FC236}">
              <a16:creationId xmlns:a16="http://schemas.microsoft.com/office/drawing/2014/main" id="{64B4F0FD-D965-420A-A616-193B9C19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34" name="BExQ7SXS9VUG7P6CACU2J7R2SGIZ" hidden="1">
          <a:extLst>
            <a:ext uri="{FF2B5EF4-FFF2-40B4-BE49-F238E27FC236}">
              <a16:creationId xmlns:a16="http://schemas.microsoft.com/office/drawing/2014/main" id="{F2C4DA90-EAD8-466D-87D2-6662314A7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35" name="BEx5AQZ4ETQ9LMY5EBWVH20Z7VXQ" hidden="1">
          <a:extLst>
            <a:ext uri="{FF2B5EF4-FFF2-40B4-BE49-F238E27FC236}">
              <a16:creationId xmlns:a16="http://schemas.microsoft.com/office/drawing/2014/main" id="{414F04E3-A7CA-4E94-BFF6-DA9D4AF3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36" name="BExUBK0YZ5VYFY8TTITJGJU9S06A" hidden="1">
          <a:extLst>
            <a:ext uri="{FF2B5EF4-FFF2-40B4-BE49-F238E27FC236}">
              <a16:creationId xmlns:a16="http://schemas.microsoft.com/office/drawing/2014/main" id="{9C8FF739-5D3A-45C5-A805-BC6BE48A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5257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37" name="BExUEZCSSJ7RN4J18I2NUIQR2FZS" hidden="1">
          <a:extLst>
            <a:ext uri="{FF2B5EF4-FFF2-40B4-BE49-F238E27FC236}">
              <a16:creationId xmlns:a16="http://schemas.microsoft.com/office/drawing/2014/main" id="{DB8BE0E1-C69F-49CB-B341-9D5472E20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3530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38" name="BExS3JDQWF7U3F5JTEVOE16ASIYK" hidden="1">
          <a:extLst>
            <a:ext uri="{FF2B5EF4-FFF2-40B4-BE49-F238E27FC236}">
              <a16:creationId xmlns:a16="http://schemas.microsoft.com/office/drawing/2014/main" id="{E75E8692-AD0D-43CA-880F-A7161EA52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3530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139" name="BEx973S463FCQVJ7QDFBUIU0WJ3F" descr="ZQTVYL8DCSADVT0QMRXFLU0TR" hidden="1">
          <a:extLst>
            <a:ext uri="{FF2B5EF4-FFF2-40B4-BE49-F238E27FC236}">
              <a16:creationId xmlns:a16="http://schemas.microsoft.com/office/drawing/2014/main" id="{5B0B2950-FF90-492B-A8A0-BE93D966A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140" name="BExRZO0PLWWMCLGRH7EH6UXYWGAJ" descr="9D4GQ34QB727H10MA3SSAR2R9" hidden="1">
          <a:extLst>
            <a:ext uri="{FF2B5EF4-FFF2-40B4-BE49-F238E27FC236}">
              <a16:creationId xmlns:a16="http://schemas.microsoft.com/office/drawing/2014/main" id="{07CB9681-CF46-4222-9C08-05540B2D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141" name="BExBDP6HNAAJUM39SE5G2C8BKNRQ" descr="1TM64TL2QIMYV7WYSV2VLGXY4" hidden="1">
          <a:extLst>
            <a:ext uri="{FF2B5EF4-FFF2-40B4-BE49-F238E27FC236}">
              <a16:creationId xmlns:a16="http://schemas.microsoft.com/office/drawing/2014/main" id="{34F1C306-0A2E-464E-BC62-E4B7786E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352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142" name="BExQEGJP61DL2NZY6LMBHBZ0J5YT" descr="D6ZNRZJ7EX4GZT9RO8LE0C905" hidden="1">
          <a:extLst>
            <a:ext uri="{FF2B5EF4-FFF2-40B4-BE49-F238E27FC236}">
              <a16:creationId xmlns:a16="http://schemas.microsoft.com/office/drawing/2014/main" id="{780267D5-2E6E-4A08-9A3A-E5B70E573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533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143" name="BExTY1BCS6HZIF6HI5491FGHDVAE" descr="MJ6976KI2UH1IE8M227DUYXMJ" hidden="1">
          <a:extLst>
            <a:ext uri="{FF2B5EF4-FFF2-40B4-BE49-F238E27FC236}">
              <a16:creationId xmlns:a16="http://schemas.microsoft.com/office/drawing/2014/main" id="{41B42C86-0421-47B9-95CA-79B90F7D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44" name="BEx5FXJGJOT93D0J2IRJ3985IUMI" hidden="1">
          <a:extLst>
            <a:ext uri="{FF2B5EF4-FFF2-40B4-BE49-F238E27FC236}">
              <a16:creationId xmlns:a16="http://schemas.microsoft.com/office/drawing/2014/main" id="{2B333195-44C7-4D3D-A627-A94C6F5F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145" name="BEx3RTMHAR35NUAAK49TV6NU7EPA" descr="QFXLG4ZCXTRQSJYFCKJ58G9N8" hidden="1">
          <a:extLst>
            <a:ext uri="{FF2B5EF4-FFF2-40B4-BE49-F238E27FC236}">
              <a16:creationId xmlns:a16="http://schemas.microsoft.com/office/drawing/2014/main" id="{D81F2D2A-B9EE-4C70-9DB0-B5407E20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146" name="BExS8T38WLC2R738ZC7BDJQAKJAJ" descr="MRI962L5PB0E0YWXCIBN82VJH" hidden="1">
          <a:extLst>
            <a:ext uri="{FF2B5EF4-FFF2-40B4-BE49-F238E27FC236}">
              <a16:creationId xmlns:a16="http://schemas.microsoft.com/office/drawing/2014/main" id="{D863A8C8-0167-4D53-BC03-12FDB422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47" name="BEx5F64BJ6DCM4EJH81D5ZFNPZ0V" descr="7DJ9FILZD2YPS6X1JBP9E76TU" hidden="1">
          <a:extLst>
            <a:ext uri="{FF2B5EF4-FFF2-40B4-BE49-F238E27FC236}">
              <a16:creationId xmlns:a16="http://schemas.microsoft.com/office/drawing/2014/main" id="{019A4926-295E-4247-AC1B-A23243E84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48" name="BExQEXXHA3EEXR44LT6RKCDWM6ZT" hidden="1">
          <a:extLst>
            <a:ext uri="{FF2B5EF4-FFF2-40B4-BE49-F238E27FC236}">
              <a16:creationId xmlns:a16="http://schemas.microsoft.com/office/drawing/2014/main" id="{F21AB419-5018-48A7-BFC0-614E184F6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149" name="BEx1X6AMHV6ZK3UJB2BXIJTJHYJU" descr="OALR4L95ELQLZ1Y1LETHM1CS9" hidden="1">
          <a:extLst>
            <a:ext uri="{FF2B5EF4-FFF2-40B4-BE49-F238E27FC236}">
              <a16:creationId xmlns:a16="http://schemas.microsoft.com/office/drawing/2014/main" id="{4097F308-0984-4D40-BC8D-2AE73929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150" name="BExSDIVCE09QKG3CT52PHCS6ZJ09" descr="9F076L7EQCF2COMMGCQG6BQGU" hidden="1">
          <a:extLst>
            <a:ext uri="{FF2B5EF4-FFF2-40B4-BE49-F238E27FC236}">
              <a16:creationId xmlns:a16="http://schemas.microsoft.com/office/drawing/2014/main" id="{EE370C4C-8DDF-40B4-BE8A-A00AB6D9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151" name="BEx1QZGQZBAWJ8591VXEIPUOVS7X" descr="MEW27CPIFG44B7E7HEQUUF5QF" hidden="1">
          <a:extLst>
            <a:ext uri="{FF2B5EF4-FFF2-40B4-BE49-F238E27FC236}">
              <a16:creationId xmlns:a16="http://schemas.microsoft.com/office/drawing/2014/main" id="{982BCE80-67E0-4937-9E72-9AD2313DE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152" name="BExMF7LICJLPXSHM63A6EQ79YQKG" descr="U084VZL15IMB1OFRRAY6GVKAE" hidden="1">
          <a:extLst>
            <a:ext uri="{FF2B5EF4-FFF2-40B4-BE49-F238E27FC236}">
              <a16:creationId xmlns:a16="http://schemas.microsoft.com/office/drawing/2014/main" id="{0E1C3AF3-BF59-4E00-903A-DB18C76EA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990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153" name="BExS343F8GCKP6HTF9Y97L133DX8" descr="ZRF0KB1IYQSNV63CTXT25G67G" hidden="1">
          <a:extLst>
            <a:ext uri="{FF2B5EF4-FFF2-40B4-BE49-F238E27FC236}">
              <a16:creationId xmlns:a16="http://schemas.microsoft.com/office/drawing/2014/main" id="{DF123B06-4A93-4E2E-93FF-E360A52E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8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154" name="BExZMRC09W87CY4B73NPZMNH21AH" descr="78CUMI0OVLYJRSDRQ3V2YX812" hidden="1">
          <a:extLst>
            <a:ext uri="{FF2B5EF4-FFF2-40B4-BE49-F238E27FC236}">
              <a16:creationId xmlns:a16="http://schemas.microsoft.com/office/drawing/2014/main" id="{72246871-7CA1-4BF9-8699-8AA13F14A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155" name="BExZXVFJ4DY4I24AARDT4AMP6EN1" descr="TXSMH2MTH86CYKA26740RQPUC" hidden="1">
          <a:extLst>
            <a:ext uri="{FF2B5EF4-FFF2-40B4-BE49-F238E27FC236}">
              <a16:creationId xmlns:a16="http://schemas.microsoft.com/office/drawing/2014/main" id="{E3441ABE-BE2D-4349-8CE3-4BD4C500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541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156" name="BExOCUIOFQWUGTBU5ESTW3EYEP5C" descr="9BNF49V0R6VVYPHEVMJ3ABDQZ" hidden="1">
          <a:extLst>
            <a:ext uri="{FF2B5EF4-FFF2-40B4-BE49-F238E27FC236}">
              <a16:creationId xmlns:a16="http://schemas.microsoft.com/office/drawing/2014/main" id="{02FAC7C9-8EC5-4060-97E6-441803E6F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157" name="BExU65O9OE4B4MQ2A3OYH13M8BZJ" descr="3INNIMMPDBB0JF37L81M6ID21" hidden="1">
          <a:extLst>
            <a:ext uri="{FF2B5EF4-FFF2-40B4-BE49-F238E27FC236}">
              <a16:creationId xmlns:a16="http://schemas.microsoft.com/office/drawing/2014/main" id="{72A660B0-2CDC-4A08-A5D1-38948C6BB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85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158" name="BExOPRCR0UW7TKXSV5WDTL348FGL" descr="S9JM17GP1802LHN4GT14BJYIC" hidden="1">
          <a:extLst>
            <a:ext uri="{FF2B5EF4-FFF2-40B4-BE49-F238E27FC236}">
              <a16:creationId xmlns:a16="http://schemas.microsoft.com/office/drawing/2014/main" id="{4E434216-FD61-40D9-A97F-DC72D910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159" name="BEx5OESAY2W8SEGI3TSB65EHJ04B" descr="9CN2Y88X8WYV1HWZG1QILY9BK" hidden="1">
          <a:extLst>
            <a:ext uri="{FF2B5EF4-FFF2-40B4-BE49-F238E27FC236}">
              <a16:creationId xmlns:a16="http://schemas.microsoft.com/office/drawing/2014/main" id="{445509F5-63E6-4209-A451-E3033356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60" name="BExGMWEQ2BYRY9BAO5T1X850MJN1" descr="AZ9ST0XDIOP50HSUFO5V31BR0" hidden="1">
          <a:extLst>
            <a:ext uri="{FF2B5EF4-FFF2-40B4-BE49-F238E27FC236}">
              <a16:creationId xmlns:a16="http://schemas.microsoft.com/office/drawing/2014/main" id="{AC1E90AE-2790-4692-8003-51DE61C1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61" name="BExMO7VFCN4EL59982UR4AJ25JNJ" descr="XX6TINEJADZGKR0CTM7ZRT0RA" hidden="1">
          <a:extLst>
            <a:ext uri="{FF2B5EF4-FFF2-40B4-BE49-F238E27FC236}">
              <a16:creationId xmlns:a16="http://schemas.microsoft.com/office/drawing/2014/main" id="{E31720AB-1222-4ADF-B31E-E8EB4455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62" name="BExU3EX5JJCXCII4YKUJBFBGIJR2" descr="OF5ZI9PI5WH36VPANJ2DYLNMI" hidden="1">
          <a:extLst>
            <a:ext uri="{FF2B5EF4-FFF2-40B4-BE49-F238E27FC236}">
              <a16:creationId xmlns:a16="http://schemas.microsoft.com/office/drawing/2014/main" id="{ABA231B6-70CE-472F-BAB6-CA9499C5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63" name="BEx1KD7H6UB1VYCJ7O61P562EIUY" descr="IQGV9140X0K0UPBL8OGU3I44J" hidden="1">
          <a:extLst>
            <a:ext uri="{FF2B5EF4-FFF2-40B4-BE49-F238E27FC236}">
              <a16:creationId xmlns:a16="http://schemas.microsoft.com/office/drawing/2014/main" id="{5B1A7031-44EA-4AE8-A2F5-1D2EABE1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64" name="BEx5BJQWS6YWHH4ZMSUAMD641V6Y" descr="ZTMFMXCIQSECDX38ALEFHUB00" hidden="1">
          <a:extLst>
            <a:ext uri="{FF2B5EF4-FFF2-40B4-BE49-F238E27FC236}">
              <a16:creationId xmlns:a16="http://schemas.microsoft.com/office/drawing/2014/main" id="{3B8BE00F-8E02-45BA-9963-14308629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65" name="BExVTO5Q8G2M7BPL4B2584LQS0R0" descr="OB6Q8NA4LZFE4GM9Y3V56BPMQ" hidden="1">
          <a:extLst>
            <a:ext uri="{FF2B5EF4-FFF2-40B4-BE49-F238E27FC236}">
              <a16:creationId xmlns:a16="http://schemas.microsoft.com/office/drawing/2014/main" id="{AEC360BB-CF06-405A-907B-551A5D1C4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162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66" name="BExIFSCLN1G86X78PFLTSMRP0US5" descr="9JK4SPV4DG7VTCZIILWHXQU5J" hidden="1">
          <a:extLst>
            <a:ext uri="{FF2B5EF4-FFF2-40B4-BE49-F238E27FC236}">
              <a16:creationId xmlns:a16="http://schemas.microsoft.com/office/drawing/2014/main" id="{3E49B09A-8A30-46B6-B846-8F8085BD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162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67" name="BEx1I152WN2D3A85O2XN0DGXCWHN" descr="KHBZFMANRA4UMJR1AB4M5NJNT" hidden="1">
          <a:extLst>
            <a:ext uri="{FF2B5EF4-FFF2-40B4-BE49-F238E27FC236}">
              <a16:creationId xmlns:a16="http://schemas.microsoft.com/office/drawing/2014/main" id="{054AC79D-FE94-4762-83DA-D232AACC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68" name="BExW9676P0SKCVKK25QCGHPA3PAD" descr="9A4PWZ20RMSRF0PNECCDM75CA" hidden="1">
          <a:extLst>
            <a:ext uri="{FF2B5EF4-FFF2-40B4-BE49-F238E27FC236}">
              <a16:creationId xmlns:a16="http://schemas.microsoft.com/office/drawing/2014/main" id="{29FA4F2F-9D19-49C2-A8CB-86B8F702A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69" name="BExW253QPOZK9KW8BJC3LBXGCG2N" descr="Y5HX37BEUWSN1NEFJKZJXI3SX" hidden="1">
          <a:extLst>
            <a:ext uri="{FF2B5EF4-FFF2-40B4-BE49-F238E27FC236}">
              <a16:creationId xmlns:a16="http://schemas.microsoft.com/office/drawing/2014/main" id="{FEA9F2BB-7132-4BE9-8234-9B176F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70" name="BExS5CPQ8P8JOQPK7ANNKHLSGOKU" hidden="1">
          <a:extLst>
            <a:ext uri="{FF2B5EF4-FFF2-40B4-BE49-F238E27FC236}">
              <a16:creationId xmlns:a16="http://schemas.microsoft.com/office/drawing/2014/main" id="{D5083C17-6670-4823-B31F-8EAAE61B8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71" name="BExMM0AVUAIRNJLXB1FW8R0YB4ZZ" hidden="1">
          <a:extLst>
            <a:ext uri="{FF2B5EF4-FFF2-40B4-BE49-F238E27FC236}">
              <a16:creationId xmlns:a16="http://schemas.microsoft.com/office/drawing/2014/main" id="{66B1AB1F-3A98-4512-B2C8-BE20911F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72" name="BExXZ7Y09CBS0XA7IPB3IRJ8RJM4" hidden="1">
          <a:extLst>
            <a:ext uri="{FF2B5EF4-FFF2-40B4-BE49-F238E27FC236}">
              <a16:creationId xmlns:a16="http://schemas.microsoft.com/office/drawing/2014/main" id="{D6AB4023-8DA5-4812-B0F2-1A5D2E362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73" name="BExQ7SXS9VUG7P6CACU2J7R2SGIZ" hidden="1">
          <a:extLst>
            <a:ext uri="{FF2B5EF4-FFF2-40B4-BE49-F238E27FC236}">
              <a16:creationId xmlns:a16="http://schemas.microsoft.com/office/drawing/2014/main" id="{32DC57D7-11E2-4946-9110-C20571EC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74" name="BEx5AQZ4ETQ9LMY5EBWVH20Z7VXQ" hidden="1">
          <a:extLst>
            <a:ext uri="{FF2B5EF4-FFF2-40B4-BE49-F238E27FC236}">
              <a16:creationId xmlns:a16="http://schemas.microsoft.com/office/drawing/2014/main" id="{53CC5D0F-DB10-4E7F-9697-63F223FA8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75" name="BExUBK0YZ5VYFY8TTITJGJU9S06A" hidden="1">
          <a:extLst>
            <a:ext uri="{FF2B5EF4-FFF2-40B4-BE49-F238E27FC236}">
              <a16:creationId xmlns:a16="http://schemas.microsoft.com/office/drawing/2014/main" id="{6AEFAB60-2C6E-4D1A-9BF0-EA3FE7C01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176" name="BExUEZCSSJ7RN4J18I2NUIQR2FZS" hidden="1">
          <a:extLst>
            <a:ext uri="{FF2B5EF4-FFF2-40B4-BE49-F238E27FC236}">
              <a16:creationId xmlns:a16="http://schemas.microsoft.com/office/drawing/2014/main" id="{C96C08F3-022A-491B-8754-01C26FFF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5775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177" name="BExS3JDQWF7U3F5JTEVOE16ASIYK" hidden="1">
          <a:extLst>
            <a:ext uri="{FF2B5EF4-FFF2-40B4-BE49-F238E27FC236}">
              <a16:creationId xmlns:a16="http://schemas.microsoft.com/office/drawing/2014/main" id="{9263C1D6-41C8-413A-B5D1-45C773C88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5775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178" name="BEx973S463FCQVJ7QDFBUIU0WJ3F" descr="ZQTVYL8DCSADVT0QMRXFLU0TR" hidden="1">
          <a:extLst>
            <a:ext uri="{FF2B5EF4-FFF2-40B4-BE49-F238E27FC236}">
              <a16:creationId xmlns:a16="http://schemas.microsoft.com/office/drawing/2014/main" id="{B78A4F73-98D8-41A4-B468-CBA77BF8A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179" name="BExRZO0PLWWMCLGRH7EH6UXYWGAJ" descr="9D4GQ34QB727H10MA3SSAR2R9" hidden="1">
          <a:extLst>
            <a:ext uri="{FF2B5EF4-FFF2-40B4-BE49-F238E27FC236}">
              <a16:creationId xmlns:a16="http://schemas.microsoft.com/office/drawing/2014/main" id="{EBB751EA-857E-49FA-87C7-15F56A55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180" name="BExBDP6HNAAJUM39SE5G2C8BKNRQ" descr="1TM64TL2QIMYV7WYSV2VLGXY4" hidden="1">
          <a:extLst>
            <a:ext uri="{FF2B5EF4-FFF2-40B4-BE49-F238E27FC236}">
              <a16:creationId xmlns:a16="http://schemas.microsoft.com/office/drawing/2014/main" id="{9AF1E1C7-C9F8-402A-92A3-9352A9787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181" name="BExQEGJP61DL2NZY6LMBHBZ0J5YT" descr="D6ZNRZJ7EX4GZT9RO8LE0C905" hidden="1">
          <a:extLst>
            <a:ext uri="{FF2B5EF4-FFF2-40B4-BE49-F238E27FC236}">
              <a16:creationId xmlns:a16="http://schemas.microsoft.com/office/drawing/2014/main" id="{51700C34-F100-4668-BE34-3395649E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182" name="BExTY1BCS6HZIF6HI5491FGHDVAE" descr="MJ6976KI2UH1IE8M227DUYXMJ" hidden="1">
          <a:extLst>
            <a:ext uri="{FF2B5EF4-FFF2-40B4-BE49-F238E27FC236}">
              <a16:creationId xmlns:a16="http://schemas.microsoft.com/office/drawing/2014/main" id="{A9282F3A-4868-446E-85F1-B8C7D700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83" name="BEx5FXJGJOT93D0J2IRJ3985IUMI" hidden="1">
          <a:extLst>
            <a:ext uri="{FF2B5EF4-FFF2-40B4-BE49-F238E27FC236}">
              <a16:creationId xmlns:a16="http://schemas.microsoft.com/office/drawing/2014/main" id="{C98D2B54-5DC9-4D75-8DDD-AD750AC4A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184" name="BEx3RTMHAR35NUAAK49TV6NU7EPA" descr="QFXLG4ZCXTRQSJYFCKJ58G9N8" hidden="1">
          <a:extLst>
            <a:ext uri="{FF2B5EF4-FFF2-40B4-BE49-F238E27FC236}">
              <a16:creationId xmlns:a16="http://schemas.microsoft.com/office/drawing/2014/main" id="{4892A04D-3165-457B-9E8A-9111EB3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185" name="BExS8T38WLC2R738ZC7BDJQAKJAJ" descr="MRI962L5PB0E0YWXCIBN82VJH" hidden="1">
          <a:extLst>
            <a:ext uri="{FF2B5EF4-FFF2-40B4-BE49-F238E27FC236}">
              <a16:creationId xmlns:a16="http://schemas.microsoft.com/office/drawing/2014/main" id="{CD5BEE5A-4F7C-44EA-9BB1-4712277F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86" name="BEx5F64BJ6DCM4EJH81D5ZFNPZ0V" descr="7DJ9FILZD2YPS6X1JBP9E76TU" hidden="1">
          <a:extLst>
            <a:ext uri="{FF2B5EF4-FFF2-40B4-BE49-F238E27FC236}">
              <a16:creationId xmlns:a16="http://schemas.microsoft.com/office/drawing/2014/main" id="{6F222AA7-E39B-4750-B33B-383481DC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87" name="BExQEXXHA3EEXR44LT6RKCDWM6ZT" hidden="1">
          <a:extLst>
            <a:ext uri="{FF2B5EF4-FFF2-40B4-BE49-F238E27FC236}">
              <a16:creationId xmlns:a16="http://schemas.microsoft.com/office/drawing/2014/main" id="{D3E8DFC9-E5FD-40D9-A977-662C98ECA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188" name="BEx1X6AMHV6ZK3UJB2BXIJTJHYJU" descr="OALR4L95ELQLZ1Y1LETHM1CS9" hidden="1">
          <a:extLst>
            <a:ext uri="{FF2B5EF4-FFF2-40B4-BE49-F238E27FC236}">
              <a16:creationId xmlns:a16="http://schemas.microsoft.com/office/drawing/2014/main" id="{E4FADC3B-0E5E-4DF7-A5F2-ECFDCD4A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189" name="BExSDIVCE09QKG3CT52PHCS6ZJ09" descr="9F076L7EQCF2COMMGCQG6BQGU" hidden="1">
          <a:extLst>
            <a:ext uri="{FF2B5EF4-FFF2-40B4-BE49-F238E27FC236}">
              <a16:creationId xmlns:a16="http://schemas.microsoft.com/office/drawing/2014/main" id="{EE50A0D4-04B6-43C4-A8FB-0BE1BC9A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190" name="BEx1QZGQZBAWJ8591VXEIPUOVS7X" descr="MEW27CPIFG44B7E7HEQUUF5QF" hidden="1">
          <a:extLst>
            <a:ext uri="{FF2B5EF4-FFF2-40B4-BE49-F238E27FC236}">
              <a16:creationId xmlns:a16="http://schemas.microsoft.com/office/drawing/2014/main" id="{7F765A2C-E9E0-4755-9FBB-B495E685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191" name="BExMF7LICJLPXSHM63A6EQ79YQKG" descr="U084VZL15IMB1OFRRAY6GVKAE" hidden="1">
          <a:extLst>
            <a:ext uri="{FF2B5EF4-FFF2-40B4-BE49-F238E27FC236}">
              <a16:creationId xmlns:a16="http://schemas.microsoft.com/office/drawing/2014/main" id="{0CE5C00E-AD83-4FF6-99A8-EFE65CBC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192" name="BExS343F8GCKP6HTF9Y97L133DX8" descr="ZRF0KB1IYQSNV63CTXT25G67G" hidden="1">
          <a:extLst>
            <a:ext uri="{FF2B5EF4-FFF2-40B4-BE49-F238E27FC236}">
              <a16:creationId xmlns:a16="http://schemas.microsoft.com/office/drawing/2014/main" id="{1BB9647A-9262-424E-A824-3C16F575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193" name="BExZMRC09W87CY4B73NPZMNH21AH" descr="78CUMI0OVLYJRSDRQ3V2YX812" hidden="1">
          <a:extLst>
            <a:ext uri="{FF2B5EF4-FFF2-40B4-BE49-F238E27FC236}">
              <a16:creationId xmlns:a16="http://schemas.microsoft.com/office/drawing/2014/main" id="{2DED0DCE-AFB1-488B-BF8B-B29F08A0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194" name="BExZXVFJ4DY4I24AARDT4AMP6EN1" descr="TXSMH2MTH86CYKA26740RQPUC" hidden="1">
          <a:extLst>
            <a:ext uri="{FF2B5EF4-FFF2-40B4-BE49-F238E27FC236}">
              <a16:creationId xmlns:a16="http://schemas.microsoft.com/office/drawing/2014/main" id="{DD795611-7C47-42D4-8277-0E53F44AF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2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195" name="BExOCUIOFQWUGTBU5ESTW3EYEP5C" descr="9BNF49V0R6VVYPHEVMJ3ABDQZ" hidden="1">
          <a:extLst>
            <a:ext uri="{FF2B5EF4-FFF2-40B4-BE49-F238E27FC236}">
              <a16:creationId xmlns:a16="http://schemas.microsoft.com/office/drawing/2014/main" id="{28E4CC5E-DFA4-46AB-8418-963DC3A6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196" name="BExU65O9OE4B4MQ2A3OYH13M8BZJ" descr="3INNIMMPDBB0JF37L81M6ID21" hidden="1">
          <a:extLst>
            <a:ext uri="{FF2B5EF4-FFF2-40B4-BE49-F238E27FC236}">
              <a16:creationId xmlns:a16="http://schemas.microsoft.com/office/drawing/2014/main" id="{7F2DF59F-EF57-4025-B93B-644DB3D4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197" name="BExOPRCR0UW7TKXSV5WDTL348FGL" descr="S9JM17GP1802LHN4GT14BJYIC" hidden="1">
          <a:extLst>
            <a:ext uri="{FF2B5EF4-FFF2-40B4-BE49-F238E27FC236}">
              <a16:creationId xmlns:a16="http://schemas.microsoft.com/office/drawing/2014/main" id="{103B9905-2D21-4FE9-B078-021C5372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198" name="BEx5OESAY2W8SEGI3TSB65EHJ04B" descr="9CN2Y88X8WYV1HWZG1QILY9BK" hidden="1">
          <a:extLst>
            <a:ext uri="{FF2B5EF4-FFF2-40B4-BE49-F238E27FC236}">
              <a16:creationId xmlns:a16="http://schemas.microsoft.com/office/drawing/2014/main" id="{498C8B49-7F4E-4693-9537-BD3325F5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199" name="BExGMWEQ2BYRY9BAO5T1X850MJN1" descr="AZ9ST0XDIOP50HSUFO5V31BR0" hidden="1">
          <a:extLst>
            <a:ext uri="{FF2B5EF4-FFF2-40B4-BE49-F238E27FC236}">
              <a16:creationId xmlns:a16="http://schemas.microsoft.com/office/drawing/2014/main" id="{F722C325-9ADA-4FFB-A9AC-98CEC27F4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00" name="BExMO7VFCN4EL59982UR4AJ25JNJ" descr="XX6TINEJADZGKR0CTM7ZRT0RA" hidden="1">
          <a:extLst>
            <a:ext uri="{FF2B5EF4-FFF2-40B4-BE49-F238E27FC236}">
              <a16:creationId xmlns:a16="http://schemas.microsoft.com/office/drawing/2014/main" id="{CC56BB3C-DEFF-4B36-BD14-8C49CB2DD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01" name="BExU3EX5JJCXCII4YKUJBFBGIJR2" descr="OF5ZI9PI5WH36VPANJ2DYLNMI" hidden="1">
          <a:extLst>
            <a:ext uri="{FF2B5EF4-FFF2-40B4-BE49-F238E27FC236}">
              <a16:creationId xmlns:a16="http://schemas.microsoft.com/office/drawing/2014/main" id="{54AF0F3A-0D82-417D-8C0A-4C90F461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02" name="BEx1KD7H6UB1VYCJ7O61P562EIUY" descr="IQGV9140X0K0UPBL8OGU3I44J" hidden="1">
          <a:extLst>
            <a:ext uri="{FF2B5EF4-FFF2-40B4-BE49-F238E27FC236}">
              <a16:creationId xmlns:a16="http://schemas.microsoft.com/office/drawing/2014/main" id="{4E2DCBAD-AA3A-40F4-96AD-2F04B6EC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03" name="BEx5BJQWS6YWHH4ZMSUAMD641V6Y" descr="ZTMFMXCIQSECDX38ALEFHUB00" hidden="1">
          <a:extLst>
            <a:ext uri="{FF2B5EF4-FFF2-40B4-BE49-F238E27FC236}">
              <a16:creationId xmlns:a16="http://schemas.microsoft.com/office/drawing/2014/main" id="{77032245-FD84-4D52-9FE5-6062C254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352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04" name="BExVTO5Q8G2M7BPL4B2584LQS0R0" descr="OB6Q8NA4LZFE4GM9Y3V56BPMQ" hidden="1">
          <a:extLst>
            <a:ext uri="{FF2B5EF4-FFF2-40B4-BE49-F238E27FC236}">
              <a16:creationId xmlns:a16="http://schemas.microsoft.com/office/drawing/2014/main" id="{E5CB391A-AB4A-40B9-99C1-5B46FD0E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0990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05" name="BExIFSCLN1G86X78PFLTSMRP0US5" descr="9JK4SPV4DG7VTCZIILWHXQU5J" hidden="1">
          <a:extLst>
            <a:ext uri="{FF2B5EF4-FFF2-40B4-BE49-F238E27FC236}">
              <a16:creationId xmlns:a16="http://schemas.microsoft.com/office/drawing/2014/main" id="{BBE1916D-E8E7-45FE-A41F-F21FC3741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0990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06" name="BEx1I152WN2D3A85O2XN0DGXCWHN" descr="KHBZFMANRA4UMJR1AB4M5NJNT" hidden="1">
          <a:extLst>
            <a:ext uri="{FF2B5EF4-FFF2-40B4-BE49-F238E27FC236}">
              <a16:creationId xmlns:a16="http://schemas.microsoft.com/office/drawing/2014/main" id="{B2E0BB90-4B04-4F49-8BC2-83B04DB36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07" name="BExW9676P0SKCVKK25QCGHPA3PAD" descr="9A4PWZ20RMSRF0PNECCDM75CA" hidden="1">
          <a:extLst>
            <a:ext uri="{FF2B5EF4-FFF2-40B4-BE49-F238E27FC236}">
              <a16:creationId xmlns:a16="http://schemas.microsoft.com/office/drawing/2014/main" id="{34D30D1C-CFF5-4806-B078-51F9F25D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208" name="BExW253QPOZK9KW8BJC3LBXGCG2N" descr="Y5HX37BEUWSN1NEFJKZJXI3SX" hidden="1">
          <a:extLst>
            <a:ext uri="{FF2B5EF4-FFF2-40B4-BE49-F238E27FC236}">
              <a16:creationId xmlns:a16="http://schemas.microsoft.com/office/drawing/2014/main" id="{DEB644AD-D1D2-41F5-9311-D83124D1D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09" name="BExS5CPQ8P8JOQPK7ANNKHLSGOKU" hidden="1">
          <a:extLst>
            <a:ext uri="{FF2B5EF4-FFF2-40B4-BE49-F238E27FC236}">
              <a16:creationId xmlns:a16="http://schemas.microsoft.com/office/drawing/2014/main" id="{B0260A22-B3AF-4D34-97A3-9AFE88161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10" name="BExMM0AVUAIRNJLXB1FW8R0YB4ZZ" hidden="1">
          <a:extLst>
            <a:ext uri="{FF2B5EF4-FFF2-40B4-BE49-F238E27FC236}">
              <a16:creationId xmlns:a16="http://schemas.microsoft.com/office/drawing/2014/main" id="{2BA5C797-EA66-4A1E-8770-3AF4BCE3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11" name="BExXZ7Y09CBS0XA7IPB3IRJ8RJM4" hidden="1">
          <a:extLst>
            <a:ext uri="{FF2B5EF4-FFF2-40B4-BE49-F238E27FC236}">
              <a16:creationId xmlns:a16="http://schemas.microsoft.com/office/drawing/2014/main" id="{BCA0FD03-33C4-4BED-9921-F7AF30C7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12" name="BExQ7SXS9VUG7P6CACU2J7R2SGIZ" hidden="1">
          <a:extLst>
            <a:ext uri="{FF2B5EF4-FFF2-40B4-BE49-F238E27FC236}">
              <a16:creationId xmlns:a16="http://schemas.microsoft.com/office/drawing/2014/main" id="{C13D867E-76D3-4053-B61B-E8477AF9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13" name="BEx5AQZ4ETQ9LMY5EBWVH20Z7VXQ" hidden="1">
          <a:extLst>
            <a:ext uri="{FF2B5EF4-FFF2-40B4-BE49-F238E27FC236}">
              <a16:creationId xmlns:a16="http://schemas.microsoft.com/office/drawing/2014/main" id="{FF61FE0B-3B67-49CF-BD3C-83EB483E2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14" name="BExUBK0YZ5VYFY8TTITJGJU9S06A" hidden="1">
          <a:extLst>
            <a:ext uri="{FF2B5EF4-FFF2-40B4-BE49-F238E27FC236}">
              <a16:creationId xmlns:a16="http://schemas.microsoft.com/office/drawing/2014/main" id="{219FCDB7-3C27-4C89-A0F8-1282EB3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352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15" name="BExUEZCSSJ7RN4J18I2NUIQR2FZS" hidden="1">
          <a:extLst>
            <a:ext uri="{FF2B5EF4-FFF2-40B4-BE49-F238E27FC236}">
              <a16:creationId xmlns:a16="http://schemas.microsoft.com/office/drawing/2014/main" id="{5466C123-A784-4003-B145-38EA3573E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162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16" name="BExS3JDQWF7U3F5JTEVOE16ASIYK" hidden="1">
          <a:extLst>
            <a:ext uri="{FF2B5EF4-FFF2-40B4-BE49-F238E27FC236}">
              <a16:creationId xmlns:a16="http://schemas.microsoft.com/office/drawing/2014/main" id="{BE8F091F-E169-40EC-85A2-08C06749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162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217" name="BEx973S463FCQVJ7QDFBUIU0WJ3F" descr="ZQTVYL8DCSADVT0QMRXFLU0TR" hidden="1">
          <a:extLst>
            <a:ext uri="{FF2B5EF4-FFF2-40B4-BE49-F238E27FC236}">
              <a16:creationId xmlns:a16="http://schemas.microsoft.com/office/drawing/2014/main" id="{C160276A-7B22-4303-B92C-AF0B699C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218" name="BExRZO0PLWWMCLGRH7EH6UXYWGAJ" descr="9D4GQ34QB727H10MA3SSAR2R9" hidden="1">
          <a:extLst>
            <a:ext uri="{FF2B5EF4-FFF2-40B4-BE49-F238E27FC236}">
              <a16:creationId xmlns:a16="http://schemas.microsoft.com/office/drawing/2014/main" id="{ABF25F9D-336D-48C3-A14C-DA97E934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219" name="BExBDP6HNAAJUM39SE5G2C8BKNRQ" descr="1TM64TL2QIMYV7WYSV2VLGXY4" hidden="1">
          <a:extLst>
            <a:ext uri="{FF2B5EF4-FFF2-40B4-BE49-F238E27FC236}">
              <a16:creationId xmlns:a16="http://schemas.microsoft.com/office/drawing/2014/main" id="{9BE85983-E5C1-40F9-AB37-0AA3D3AB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352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220" name="BExQEGJP61DL2NZY6LMBHBZ0J5YT" descr="D6ZNRZJ7EX4GZT9RO8LE0C905" hidden="1">
          <a:extLst>
            <a:ext uri="{FF2B5EF4-FFF2-40B4-BE49-F238E27FC236}">
              <a16:creationId xmlns:a16="http://schemas.microsoft.com/office/drawing/2014/main" id="{B3989D3D-8155-4A9B-B078-691C9002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533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221" name="BExTY1BCS6HZIF6HI5491FGHDVAE" descr="MJ6976KI2UH1IE8M227DUYXMJ" hidden="1">
          <a:extLst>
            <a:ext uri="{FF2B5EF4-FFF2-40B4-BE49-F238E27FC236}">
              <a16:creationId xmlns:a16="http://schemas.microsoft.com/office/drawing/2014/main" id="{C6B5C31F-C186-4847-B588-77200917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222" name="BEx5FXJGJOT93D0J2IRJ3985IUMI" hidden="1">
          <a:extLst>
            <a:ext uri="{FF2B5EF4-FFF2-40B4-BE49-F238E27FC236}">
              <a16:creationId xmlns:a16="http://schemas.microsoft.com/office/drawing/2014/main" id="{87D6D6BB-0AF0-48EB-A194-01CD9F40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223" name="BEx3RTMHAR35NUAAK49TV6NU7EPA" descr="QFXLG4ZCXTRQSJYFCKJ58G9N8" hidden="1">
          <a:extLst>
            <a:ext uri="{FF2B5EF4-FFF2-40B4-BE49-F238E27FC236}">
              <a16:creationId xmlns:a16="http://schemas.microsoft.com/office/drawing/2014/main" id="{2A1972E7-4D3E-451E-A4DA-340933CF0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224" name="BExS8T38WLC2R738ZC7BDJQAKJAJ" descr="MRI962L5PB0E0YWXCIBN82VJH" hidden="1">
          <a:extLst>
            <a:ext uri="{FF2B5EF4-FFF2-40B4-BE49-F238E27FC236}">
              <a16:creationId xmlns:a16="http://schemas.microsoft.com/office/drawing/2014/main" id="{6F6BFDAD-F140-49A8-A9B7-413B912B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225" name="BEx5F64BJ6DCM4EJH81D5ZFNPZ0V" descr="7DJ9FILZD2YPS6X1JBP9E76TU" hidden="1">
          <a:extLst>
            <a:ext uri="{FF2B5EF4-FFF2-40B4-BE49-F238E27FC236}">
              <a16:creationId xmlns:a16="http://schemas.microsoft.com/office/drawing/2014/main" id="{20B8B5FB-1930-4C25-B8DA-DEE837A9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226" name="BExQEXXHA3EEXR44LT6RKCDWM6ZT" hidden="1">
          <a:extLst>
            <a:ext uri="{FF2B5EF4-FFF2-40B4-BE49-F238E27FC236}">
              <a16:creationId xmlns:a16="http://schemas.microsoft.com/office/drawing/2014/main" id="{48360A13-63D6-42C1-B90A-4CA26695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227" name="BEx1X6AMHV6ZK3UJB2BXIJTJHYJU" descr="OALR4L95ELQLZ1Y1LETHM1CS9" hidden="1">
          <a:extLst>
            <a:ext uri="{FF2B5EF4-FFF2-40B4-BE49-F238E27FC236}">
              <a16:creationId xmlns:a16="http://schemas.microsoft.com/office/drawing/2014/main" id="{890DE4DA-1F26-4BFF-A6FF-35C7E271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228" name="BExSDIVCE09QKG3CT52PHCS6ZJ09" descr="9F076L7EQCF2COMMGCQG6BQGU" hidden="1">
          <a:extLst>
            <a:ext uri="{FF2B5EF4-FFF2-40B4-BE49-F238E27FC236}">
              <a16:creationId xmlns:a16="http://schemas.microsoft.com/office/drawing/2014/main" id="{027AD875-FCC1-420C-B8CC-A1CD4F4B3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229" name="BEx1QZGQZBAWJ8591VXEIPUOVS7X" descr="MEW27CPIFG44B7E7HEQUUF5QF" hidden="1">
          <a:extLst>
            <a:ext uri="{FF2B5EF4-FFF2-40B4-BE49-F238E27FC236}">
              <a16:creationId xmlns:a16="http://schemas.microsoft.com/office/drawing/2014/main" id="{C91D3C37-51E5-4167-AFEC-8EE13EC01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230" name="BExMF7LICJLPXSHM63A6EQ79YQKG" descr="U084VZL15IMB1OFRRAY6GVKAE" hidden="1">
          <a:extLst>
            <a:ext uri="{FF2B5EF4-FFF2-40B4-BE49-F238E27FC236}">
              <a16:creationId xmlns:a16="http://schemas.microsoft.com/office/drawing/2014/main" id="{537C446E-1CDA-4B1A-9FA4-2208887CB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990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231" name="BExS343F8GCKP6HTF9Y97L133DX8" descr="ZRF0KB1IYQSNV63CTXT25G67G" hidden="1">
          <a:extLst>
            <a:ext uri="{FF2B5EF4-FFF2-40B4-BE49-F238E27FC236}">
              <a16:creationId xmlns:a16="http://schemas.microsoft.com/office/drawing/2014/main" id="{530E0338-2C03-461C-BAF4-C59CCAF8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8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232" name="BExZMRC09W87CY4B73NPZMNH21AH" descr="78CUMI0OVLYJRSDRQ3V2YX812" hidden="1">
          <a:extLst>
            <a:ext uri="{FF2B5EF4-FFF2-40B4-BE49-F238E27FC236}">
              <a16:creationId xmlns:a16="http://schemas.microsoft.com/office/drawing/2014/main" id="{151BC822-B682-45F3-84D7-907796D5C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233" name="BExZXVFJ4DY4I24AARDT4AMP6EN1" descr="TXSMH2MTH86CYKA26740RQPUC" hidden="1">
          <a:extLst>
            <a:ext uri="{FF2B5EF4-FFF2-40B4-BE49-F238E27FC236}">
              <a16:creationId xmlns:a16="http://schemas.microsoft.com/office/drawing/2014/main" id="{21809017-92E4-4B66-91A7-92184308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541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234" name="BExOCUIOFQWUGTBU5ESTW3EYEP5C" descr="9BNF49V0R6VVYPHEVMJ3ABDQZ" hidden="1">
          <a:extLst>
            <a:ext uri="{FF2B5EF4-FFF2-40B4-BE49-F238E27FC236}">
              <a16:creationId xmlns:a16="http://schemas.microsoft.com/office/drawing/2014/main" id="{E5056821-4BDD-48DB-A60B-D4CAD8DA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235" name="BExU65O9OE4B4MQ2A3OYH13M8BZJ" descr="3INNIMMPDBB0JF37L81M6ID21" hidden="1">
          <a:extLst>
            <a:ext uri="{FF2B5EF4-FFF2-40B4-BE49-F238E27FC236}">
              <a16:creationId xmlns:a16="http://schemas.microsoft.com/office/drawing/2014/main" id="{1F746848-A144-432F-8502-8DE13F4A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85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236" name="BExOPRCR0UW7TKXSV5WDTL348FGL" descr="S9JM17GP1802LHN4GT14BJYIC" hidden="1">
          <a:extLst>
            <a:ext uri="{FF2B5EF4-FFF2-40B4-BE49-F238E27FC236}">
              <a16:creationId xmlns:a16="http://schemas.microsoft.com/office/drawing/2014/main" id="{E65705D6-2582-4980-B81B-5398F2805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237" name="BEx5OESAY2W8SEGI3TSB65EHJ04B" descr="9CN2Y88X8WYV1HWZG1QILY9BK" hidden="1">
          <a:extLst>
            <a:ext uri="{FF2B5EF4-FFF2-40B4-BE49-F238E27FC236}">
              <a16:creationId xmlns:a16="http://schemas.microsoft.com/office/drawing/2014/main" id="{D1A0B1F8-30BE-4FA0-A700-04C54E72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238" name="BExGMWEQ2BYRY9BAO5T1X850MJN1" descr="AZ9ST0XDIOP50HSUFO5V31BR0" hidden="1">
          <a:extLst>
            <a:ext uri="{FF2B5EF4-FFF2-40B4-BE49-F238E27FC236}">
              <a16:creationId xmlns:a16="http://schemas.microsoft.com/office/drawing/2014/main" id="{6055C0B9-A4E8-4FB5-B69A-16DE1E79F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39" name="BExMO7VFCN4EL59982UR4AJ25JNJ" descr="XX6TINEJADZGKR0CTM7ZRT0RA" hidden="1">
          <a:extLst>
            <a:ext uri="{FF2B5EF4-FFF2-40B4-BE49-F238E27FC236}">
              <a16:creationId xmlns:a16="http://schemas.microsoft.com/office/drawing/2014/main" id="{F8966EC8-A319-44B3-BFC3-EC955D77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40" name="BExU3EX5JJCXCII4YKUJBFBGIJR2" descr="OF5ZI9PI5WH36VPANJ2DYLNMI" hidden="1">
          <a:extLst>
            <a:ext uri="{FF2B5EF4-FFF2-40B4-BE49-F238E27FC236}">
              <a16:creationId xmlns:a16="http://schemas.microsoft.com/office/drawing/2014/main" id="{AE818FFD-5080-400B-AEA4-F0905C948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41" name="BEx1KD7H6UB1VYCJ7O61P562EIUY" descr="IQGV9140X0K0UPBL8OGU3I44J" hidden="1">
          <a:extLst>
            <a:ext uri="{FF2B5EF4-FFF2-40B4-BE49-F238E27FC236}">
              <a16:creationId xmlns:a16="http://schemas.microsoft.com/office/drawing/2014/main" id="{39F033BB-64CE-41F0-89C4-01F1C52C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242" name="BEx5BJQWS6YWHH4ZMSUAMD641V6Y" descr="ZTMFMXCIQSECDX38ALEFHUB00" hidden="1">
          <a:extLst>
            <a:ext uri="{FF2B5EF4-FFF2-40B4-BE49-F238E27FC236}">
              <a16:creationId xmlns:a16="http://schemas.microsoft.com/office/drawing/2014/main" id="{5E1BE511-21BA-4FCD-A494-FEF1CE89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243" name="BExVTO5Q8G2M7BPL4B2584LQS0R0" descr="OB6Q8NA4LZFE4GM9Y3V56BPMQ" hidden="1">
          <a:extLst>
            <a:ext uri="{FF2B5EF4-FFF2-40B4-BE49-F238E27FC236}">
              <a16:creationId xmlns:a16="http://schemas.microsoft.com/office/drawing/2014/main" id="{80C3467F-9A55-4BA4-AABE-76E571B5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162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32" name="BExIFSCLN1G86X78PFLTSMRP0US5" descr="9JK4SPV4DG7VTCZIILWHXQU5J" hidden="1">
          <a:extLst>
            <a:ext uri="{FF2B5EF4-FFF2-40B4-BE49-F238E27FC236}">
              <a16:creationId xmlns:a16="http://schemas.microsoft.com/office/drawing/2014/main" id="{54748D1B-1A00-433C-860E-40DC5996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162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333" name="BEx1I152WN2D3A85O2XN0DGXCWHN" descr="KHBZFMANRA4UMJR1AB4M5NJNT" hidden="1">
          <a:extLst>
            <a:ext uri="{FF2B5EF4-FFF2-40B4-BE49-F238E27FC236}">
              <a16:creationId xmlns:a16="http://schemas.microsoft.com/office/drawing/2014/main" id="{6FFF75A0-977D-43BD-85DE-A17D8272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34" name="BExW9676P0SKCVKK25QCGHPA3PAD" descr="9A4PWZ20RMSRF0PNECCDM75CA" hidden="1">
          <a:extLst>
            <a:ext uri="{FF2B5EF4-FFF2-40B4-BE49-F238E27FC236}">
              <a16:creationId xmlns:a16="http://schemas.microsoft.com/office/drawing/2014/main" id="{24BDED90-A277-4BC3-972F-8899F2DD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335" name="BExW253QPOZK9KW8BJC3LBXGCG2N" descr="Y5HX37BEUWSN1NEFJKZJXI3SX" hidden="1">
          <a:extLst>
            <a:ext uri="{FF2B5EF4-FFF2-40B4-BE49-F238E27FC236}">
              <a16:creationId xmlns:a16="http://schemas.microsoft.com/office/drawing/2014/main" id="{1E6C0743-0A3A-4DF6-9BDF-0EED8916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336" name="BExS5CPQ8P8JOQPK7ANNKHLSGOKU" hidden="1">
          <a:extLst>
            <a:ext uri="{FF2B5EF4-FFF2-40B4-BE49-F238E27FC236}">
              <a16:creationId xmlns:a16="http://schemas.microsoft.com/office/drawing/2014/main" id="{FF713C96-E30A-4FE3-93A8-3ECF692B9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37" name="BExMM0AVUAIRNJLXB1FW8R0YB4ZZ" hidden="1">
          <a:extLst>
            <a:ext uri="{FF2B5EF4-FFF2-40B4-BE49-F238E27FC236}">
              <a16:creationId xmlns:a16="http://schemas.microsoft.com/office/drawing/2014/main" id="{4887EAE7-35DF-40A1-A539-45544E24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338" name="BExXZ7Y09CBS0XA7IPB3IRJ8RJM4" hidden="1">
          <a:extLst>
            <a:ext uri="{FF2B5EF4-FFF2-40B4-BE49-F238E27FC236}">
              <a16:creationId xmlns:a16="http://schemas.microsoft.com/office/drawing/2014/main" id="{A9F0ED8F-5097-420A-88EB-813F49D0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39" name="BExQ7SXS9VUG7P6CACU2J7R2SGIZ" hidden="1">
          <a:extLst>
            <a:ext uri="{FF2B5EF4-FFF2-40B4-BE49-F238E27FC236}">
              <a16:creationId xmlns:a16="http://schemas.microsoft.com/office/drawing/2014/main" id="{CB66CAA6-39C3-4D1A-AFE7-871A477E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340" name="BEx5AQZ4ETQ9LMY5EBWVH20Z7VXQ" hidden="1">
          <a:extLst>
            <a:ext uri="{FF2B5EF4-FFF2-40B4-BE49-F238E27FC236}">
              <a16:creationId xmlns:a16="http://schemas.microsoft.com/office/drawing/2014/main" id="{13E58972-9987-4754-8978-3E926EDA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41" name="BExUBK0YZ5VYFY8TTITJGJU9S06A" hidden="1">
          <a:extLst>
            <a:ext uri="{FF2B5EF4-FFF2-40B4-BE49-F238E27FC236}">
              <a16:creationId xmlns:a16="http://schemas.microsoft.com/office/drawing/2014/main" id="{2E08071B-2831-414F-A712-2038D22F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342" name="BExUEZCSSJ7RN4J18I2NUIQR2FZS" hidden="1">
          <a:extLst>
            <a:ext uri="{FF2B5EF4-FFF2-40B4-BE49-F238E27FC236}">
              <a16:creationId xmlns:a16="http://schemas.microsoft.com/office/drawing/2014/main" id="{1EF9E6C2-9A13-46FC-B72E-A23E2936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5775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343" name="BExS3JDQWF7U3F5JTEVOE16ASIYK" hidden="1">
          <a:extLst>
            <a:ext uri="{FF2B5EF4-FFF2-40B4-BE49-F238E27FC236}">
              <a16:creationId xmlns:a16="http://schemas.microsoft.com/office/drawing/2014/main" id="{41A4690D-9B16-407C-B9A1-62E2C3C6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5775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344" name="BEx973S463FCQVJ7QDFBUIU0WJ3F" descr="ZQTVYL8DCSADVT0QMRXFLU0TR" hidden="1">
          <a:extLst>
            <a:ext uri="{FF2B5EF4-FFF2-40B4-BE49-F238E27FC236}">
              <a16:creationId xmlns:a16="http://schemas.microsoft.com/office/drawing/2014/main" id="{1F793FF9-471B-4B18-A30D-DB9C0FF4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345" name="BExRZO0PLWWMCLGRH7EH6UXYWGAJ" descr="9D4GQ34QB727H10MA3SSAR2R9" hidden="1">
          <a:extLst>
            <a:ext uri="{FF2B5EF4-FFF2-40B4-BE49-F238E27FC236}">
              <a16:creationId xmlns:a16="http://schemas.microsoft.com/office/drawing/2014/main" id="{DA8C882F-4A2C-4E51-9E50-9E944384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346" name="BExBDP6HNAAJUM39SE5G2C8BKNRQ" descr="1TM64TL2QIMYV7WYSV2VLGXY4" hidden="1">
          <a:extLst>
            <a:ext uri="{FF2B5EF4-FFF2-40B4-BE49-F238E27FC236}">
              <a16:creationId xmlns:a16="http://schemas.microsoft.com/office/drawing/2014/main" id="{2B78DC0D-065F-4E13-A28D-26D6D64C7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347" name="BExQEGJP61DL2NZY6LMBHBZ0J5YT" descr="D6ZNRZJ7EX4GZT9RO8LE0C905" hidden="1">
          <a:extLst>
            <a:ext uri="{FF2B5EF4-FFF2-40B4-BE49-F238E27FC236}">
              <a16:creationId xmlns:a16="http://schemas.microsoft.com/office/drawing/2014/main" id="{BA9117E7-E164-4561-B2DE-954801F3B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348" name="BExTY1BCS6HZIF6HI5491FGHDVAE" descr="MJ6976KI2UH1IE8M227DUYXMJ" hidden="1">
          <a:extLst>
            <a:ext uri="{FF2B5EF4-FFF2-40B4-BE49-F238E27FC236}">
              <a16:creationId xmlns:a16="http://schemas.microsoft.com/office/drawing/2014/main" id="{D0D59DBB-2DC9-4DD9-875B-2827198D7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349" name="BEx5FXJGJOT93D0J2IRJ3985IUMI" hidden="1">
          <a:extLst>
            <a:ext uri="{FF2B5EF4-FFF2-40B4-BE49-F238E27FC236}">
              <a16:creationId xmlns:a16="http://schemas.microsoft.com/office/drawing/2014/main" id="{B33B44E8-F1E3-4B26-B8DA-ACC0FF16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350" name="BEx3RTMHAR35NUAAK49TV6NU7EPA" descr="QFXLG4ZCXTRQSJYFCKJ58G9N8" hidden="1">
          <a:extLst>
            <a:ext uri="{FF2B5EF4-FFF2-40B4-BE49-F238E27FC236}">
              <a16:creationId xmlns:a16="http://schemas.microsoft.com/office/drawing/2014/main" id="{38683546-13BE-4A85-8914-A9ADE155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351" name="BExS8T38WLC2R738ZC7BDJQAKJAJ" descr="MRI962L5PB0E0YWXCIBN82VJH" hidden="1">
          <a:extLst>
            <a:ext uri="{FF2B5EF4-FFF2-40B4-BE49-F238E27FC236}">
              <a16:creationId xmlns:a16="http://schemas.microsoft.com/office/drawing/2014/main" id="{35221A5B-4B22-48C4-B25E-03F0D81E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352" name="BEx5F64BJ6DCM4EJH81D5ZFNPZ0V" descr="7DJ9FILZD2YPS6X1JBP9E76TU" hidden="1">
          <a:extLst>
            <a:ext uri="{FF2B5EF4-FFF2-40B4-BE49-F238E27FC236}">
              <a16:creationId xmlns:a16="http://schemas.microsoft.com/office/drawing/2014/main" id="{9C59807F-0EE6-4012-ABD1-DA56F73F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353" name="BExQEXXHA3EEXR44LT6RKCDWM6ZT" hidden="1">
          <a:extLst>
            <a:ext uri="{FF2B5EF4-FFF2-40B4-BE49-F238E27FC236}">
              <a16:creationId xmlns:a16="http://schemas.microsoft.com/office/drawing/2014/main" id="{AC659228-4CAA-4B13-B532-9301EAA04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354" name="BEx1X6AMHV6ZK3UJB2BXIJTJHYJU" descr="OALR4L95ELQLZ1Y1LETHM1CS9" hidden="1">
          <a:extLst>
            <a:ext uri="{FF2B5EF4-FFF2-40B4-BE49-F238E27FC236}">
              <a16:creationId xmlns:a16="http://schemas.microsoft.com/office/drawing/2014/main" id="{9E044D5A-4035-458F-B51C-2864F0803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355" name="BExSDIVCE09QKG3CT52PHCS6ZJ09" descr="9F076L7EQCF2COMMGCQG6BQGU" hidden="1">
          <a:extLst>
            <a:ext uri="{FF2B5EF4-FFF2-40B4-BE49-F238E27FC236}">
              <a16:creationId xmlns:a16="http://schemas.microsoft.com/office/drawing/2014/main" id="{034760D5-16AD-484C-BE87-E5B4D2546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356" name="BEx1QZGQZBAWJ8591VXEIPUOVS7X" descr="MEW27CPIFG44B7E7HEQUUF5QF" hidden="1">
          <a:extLst>
            <a:ext uri="{FF2B5EF4-FFF2-40B4-BE49-F238E27FC236}">
              <a16:creationId xmlns:a16="http://schemas.microsoft.com/office/drawing/2014/main" id="{59E35ACF-D6D5-4995-B177-32227EA1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357" name="BExMF7LICJLPXSHM63A6EQ79YQKG" descr="U084VZL15IMB1OFRRAY6GVKAE" hidden="1">
          <a:extLst>
            <a:ext uri="{FF2B5EF4-FFF2-40B4-BE49-F238E27FC236}">
              <a16:creationId xmlns:a16="http://schemas.microsoft.com/office/drawing/2014/main" id="{8B9965EA-BE27-4730-8BFE-5DA2ED71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358" name="BExS343F8GCKP6HTF9Y97L133DX8" descr="ZRF0KB1IYQSNV63CTXT25G67G" hidden="1">
          <a:extLst>
            <a:ext uri="{FF2B5EF4-FFF2-40B4-BE49-F238E27FC236}">
              <a16:creationId xmlns:a16="http://schemas.microsoft.com/office/drawing/2014/main" id="{EFA22EDF-CAF9-4285-9C75-0B17A66A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359" name="BExZMRC09W87CY4B73NPZMNH21AH" descr="78CUMI0OVLYJRSDRQ3V2YX812" hidden="1">
          <a:extLst>
            <a:ext uri="{FF2B5EF4-FFF2-40B4-BE49-F238E27FC236}">
              <a16:creationId xmlns:a16="http://schemas.microsoft.com/office/drawing/2014/main" id="{CAA08768-C0DA-4A46-87A4-AA257593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360" name="BExZXVFJ4DY4I24AARDT4AMP6EN1" descr="TXSMH2MTH86CYKA26740RQPUC" hidden="1">
          <a:extLst>
            <a:ext uri="{FF2B5EF4-FFF2-40B4-BE49-F238E27FC236}">
              <a16:creationId xmlns:a16="http://schemas.microsoft.com/office/drawing/2014/main" id="{2EBE0F7B-C011-4F19-B33E-494D0149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2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361" name="BExOCUIOFQWUGTBU5ESTW3EYEP5C" descr="9BNF49V0R6VVYPHEVMJ3ABDQZ" hidden="1">
          <a:extLst>
            <a:ext uri="{FF2B5EF4-FFF2-40B4-BE49-F238E27FC236}">
              <a16:creationId xmlns:a16="http://schemas.microsoft.com/office/drawing/2014/main" id="{2404ACD0-8BB7-4CB9-91C7-5271D508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362" name="BExU65O9OE4B4MQ2A3OYH13M8BZJ" descr="3INNIMMPDBB0JF37L81M6ID21" hidden="1">
          <a:extLst>
            <a:ext uri="{FF2B5EF4-FFF2-40B4-BE49-F238E27FC236}">
              <a16:creationId xmlns:a16="http://schemas.microsoft.com/office/drawing/2014/main" id="{BAF700CB-9536-44EF-B131-9C243D7F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363" name="BExOPRCR0UW7TKXSV5WDTL348FGL" descr="S9JM17GP1802LHN4GT14BJYIC" hidden="1">
          <a:extLst>
            <a:ext uri="{FF2B5EF4-FFF2-40B4-BE49-F238E27FC236}">
              <a16:creationId xmlns:a16="http://schemas.microsoft.com/office/drawing/2014/main" id="{F1B0749E-EAA2-4227-80D0-E911C48D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364" name="BEx5OESAY2W8SEGI3TSB65EHJ04B" descr="9CN2Y88X8WYV1HWZG1QILY9BK" hidden="1">
          <a:extLst>
            <a:ext uri="{FF2B5EF4-FFF2-40B4-BE49-F238E27FC236}">
              <a16:creationId xmlns:a16="http://schemas.microsoft.com/office/drawing/2014/main" id="{C714A301-8E9A-452F-8202-7F99AA1B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365" name="BExGMWEQ2BYRY9BAO5T1X850MJN1" descr="AZ9ST0XDIOP50HSUFO5V31BR0" hidden="1">
          <a:extLst>
            <a:ext uri="{FF2B5EF4-FFF2-40B4-BE49-F238E27FC236}">
              <a16:creationId xmlns:a16="http://schemas.microsoft.com/office/drawing/2014/main" id="{F368BA8D-5A2C-4316-A65A-6F7479559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59" name="BExMO7VFCN4EL59982UR4AJ25JNJ" descr="XX6TINEJADZGKR0CTM7ZRT0RA" hidden="1">
          <a:extLst>
            <a:ext uri="{FF2B5EF4-FFF2-40B4-BE49-F238E27FC236}">
              <a16:creationId xmlns:a16="http://schemas.microsoft.com/office/drawing/2014/main" id="{6DEDF362-AD92-490F-9837-3F3B9294C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60" name="BExU3EX5JJCXCII4YKUJBFBGIJR2" descr="OF5ZI9PI5WH36VPANJ2DYLNMI" hidden="1">
          <a:extLst>
            <a:ext uri="{FF2B5EF4-FFF2-40B4-BE49-F238E27FC236}">
              <a16:creationId xmlns:a16="http://schemas.microsoft.com/office/drawing/2014/main" id="{B5BC6FF5-098C-496D-BF4F-6C0E55F8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61" name="BEx1KD7H6UB1VYCJ7O61P562EIUY" descr="IQGV9140X0K0UPBL8OGU3I44J" hidden="1">
          <a:extLst>
            <a:ext uri="{FF2B5EF4-FFF2-40B4-BE49-F238E27FC236}">
              <a16:creationId xmlns:a16="http://schemas.microsoft.com/office/drawing/2014/main" id="{702A33A2-8647-49DA-B5E6-C32DA0B3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62" name="BEx5BJQWS6YWHH4ZMSUAMD641V6Y" descr="ZTMFMXCIQSECDX38ALEFHUB00" hidden="1">
          <a:extLst>
            <a:ext uri="{FF2B5EF4-FFF2-40B4-BE49-F238E27FC236}">
              <a16:creationId xmlns:a16="http://schemas.microsoft.com/office/drawing/2014/main" id="{630E6B54-D79A-4A7A-A1C8-D69B0D74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63" name="BExVTO5Q8G2M7BPL4B2584LQS0R0" descr="OB6Q8NA4LZFE4GM9Y3V56BPMQ" hidden="1">
          <a:extLst>
            <a:ext uri="{FF2B5EF4-FFF2-40B4-BE49-F238E27FC236}">
              <a16:creationId xmlns:a16="http://schemas.microsoft.com/office/drawing/2014/main" id="{EDE0DFD1-B164-4B4D-B808-2766D2490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162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64" name="BExIFSCLN1G86X78PFLTSMRP0US5" descr="9JK4SPV4DG7VTCZIILWHXQU5J" hidden="1">
          <a:extLst>
            <a:ext uri="{FF2B5EF4-FFF2-40B4-BE49-F238E27FC236}">
              <a16:creationId xmlns:a16="http://schemas.microsoft.com/office/drawing/2014/main" id="{1B30FBD8-094F-4B6A-A040-5A6E2E941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162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65" name="BEx1I152WN2D3A85O2XN0DGXCWHN" descr="KHBZFMANRA4UMJR1AB4M5NJNT" hidden="1">
          <a:extLst>
            <a:ext uri="{FF2B5EF4-FFF2-40B4-BE49-F238E27FC236}">
              <a16:creationId xmlns:a16="http://schemas.microsoft.com/office/drawing/2014/main" id="{8CB9D9CC-21E8-4AB7-81FA-0ECD914B8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66" name="BExW9676P0SKCVKK25QCGHPA3PAD" descr="9A4PWZ20RMSRF0PNECCDM75CA" hidden="1">
          <a:extLst>
            <a:ext uri="{FF2B5EF4-FFF2-40B4-BE49-F238E27FC236}">
              <a16:creationId xmlns:a16="http://schemas.microsoft.com/office/drawing/2014/main" id="{B11BE7F2-59CE-48CF-A814-BC365F5A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467" name="BExW253QPOZK9KW8BJC3LBXGCG2N" descr="Y5HX37BEUWSN1NEFJKZJXI3SX" hidden="1">
          <a:extLst>
            <a:ext uri="{FF2B5EF4-FFF2-40B4-BE49-F238E27FC236}">
              <a16:creationId xmlns:a16="http://schemas.microsoft.com/office/drawing/2014/main" id="{721273B3-70E0-483D-92DD-7F72AA1B7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68" name="BExS5CPQ8P8JOQPK7ANNKHLSGOKU" hidden="1">
          <a:extLst>
            <a:ext uri="{FF2B5EF4-FFF2-40B4-BE49-F238E27FC236}">
              <a16:creationId xmlns:a16="http://schemas.microsoft.com/office/drawing/2014/main" id="{44DA8789-AAB8-43E0-A4E0-64CCED9B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69" name="BExMM0AVUAIRNJLXB1FW8R0YB4ZZ" hidden="1">
          <a:extLst>
            <a:ext uri="{FF2B5EF4-FFF2-40B4-BE49-F238E27FC236}">
              <a16:creationId xmlns:a16="http://schemas.microsoft.com/office/drawing/2014/main" id="{5DE9840F-3607-4055-82D1-CE81BDB1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70" name="BExXZ7Y09CBS0XA7IPB3IRJ8RJM4" hidden="1">
          <a:extLst>
            <a:ext uri="{FF2B5EF4-FFF2-40B4-BE49-F238E27FC236}">
              <a16:creationId xmlns:a16="http://schemas.microsoft.com/office/drawing/2014/main" id="{307B7C8E-7A77-4E5B-9534-7433EB901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71" name="BExQ7SXS9VUG7P6CACU2J7R2SGIZ" hidden="1">
          <a:extLst>
            <a:ext uri="{FF2B5EF4-FFF2-40B4-BE49-F238E27FC236}">
              <a16:creationId xmlns:a16="http://schemas.microsoft.com/office/drawing/2014/main" id="{1FCCA400-A3EA-497A-98DE-1DE53974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72" name="BEx5AQZ4ETQ9LMY5EBWVH20Z7VXQ" hidden="1">
          <a:extLst>
            <a:ext uri="{FF2B5EF4-FFF2-40B4-BE49-F238E27FC236}">
              <a16:creationId xmlns:a16="http://schemas.microsoft.com/office/drawing/2014/main" id="{5AE7A8ED-89A2-4F07-8765-9F0B9CF9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6700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73" name="BExUBK0YZ5VYFY8TTITJGJU9S06A" hidden="1">
          <a:extLst>
            <a:ext uri="{FF2B5EF4-FFF2-40B4-BE49-F238E27FC236}">
              <a16:creationId xmlns:a16="http://schemas.microsoft.com/office/drawing/2014/main" id="{E77FF62B-F3F7-4802-A93A-7EDBE36F6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6700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474" name="BExUEZCSSJ7RN4J18I2NUIQR2FZS" hidden="1">
          <a:extLst>
            <a:ext uri="{FF2B5EF4-FFF2-40B4-BE49-F238E27FC236}">
              <a16:creationId xmlns:a16="http://schemas.microsoft.com/office/drawing/2014/main" id="{4D434028-240D-4F92-925D-100AAD82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5775" y="193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475" name="BExS3JDQWF7U3F5JTEVOE16ASIYK" hidden="1">
          <a:extLst>
            <a:ext uri="{FF2B5EF4-FFF2-40B4-BE49-F238E27FC236}">
              <a16:creationId xmlns:a16="http://schemas.microsoft.com/office/drawing/2014/main" id="{776EDF10-672D-4BC0-AE33-5F7BE23A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5775" y="2698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476" name="BEx973S463FCQVJ7QDFBUIU0WJ3F" descr="ZQTVYL8DCSADVT0QMRXFLU0TR" hidden="1">
          <a:extLst>
            <a:ext uri="{FF2B5EF4-FFF2-40B4-BE49-F238E27FC236}">
              <a16:creationId xmlns:a16="http://schemas.microsoft.com/office/drawing/2014/main" id="{D067197D-B968-435B-BDBC-E1786F07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477" name="BExRZO0PLWWMCLGRH7EH6UXYWGAJ" descr="9D4GQ34QB727H10MA3SSAR2R9" hidden="1">
          <a:extLst>
            <a:ext uri="{FF2B5EF4-FFF2-40B4-BE49-F238E27FC236}">
              <a16:creationId xmlns:a16="http://schemas.microsoft.com/office/drawing/2014/main" id="{8B26D5CF-7491-458B-BD91-C4AC03F9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478" name="BExBDP6HNAAJUM39SE5G2C8BKNRQ" descr="1TM64TL2QIMYV7WYSV2VLGXY4" hidden="1">
          <a:extLst>
            <a:ext uri="{FF2B5EF4-FFF2-40B4-BE49-F238E27FC236}">
              <a16:creationId xmlns:a16="http://schemas.microsoft.com/office/drawing/2014/main" id="{719EC7B4-34DA-44AB-B8B1-847BF983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479" name="BExQEGJP61DL2NZY6LMBHBZ0J5YT" descr="D6ZNRZJ7EX4GZT9RO8LE0C905" hidden="1">
          <a:extLst>
            <a:ext uri="{FF2B5EF4-FFF2-40B4-BE49-F238E27FC236}">
              <a16:creationId xmlns:a16="http://schemas.microsoft.com/office/drawing/2014/main" id="{0BD1E6B0-828A-44D4-9FAE-DB027C25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480" name="BExTY1BCS6HZIF6HI5491FGHDVAE" descr="MJ6976KI2UH1IE8M227DUYXMJ" hidden="1">
          <a:extLst>
            <a:ext uri="{FF2B5EF4-FFF2-40B4-BE49-F238E27FC236}">
              <a16:creationId xmlns:a16="http://schemas.microsoft.com/office/drawing/2014/main" id="{9F275AAF-E141-44B6-AC25-B306DDDB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481" name="BEx5FXJGJOT93D0J2IRJ3985IUMI" hidden="1">
          <a:extLst>
            <a:ext uri="{FF2B5EF4-FFF2-40B4-BE49-F238E27FC236}">
              <a16:creationId xmlns:a16="http://schemas.microsoft.com/office/drawing/2014/main" id="{7DF06910-D34F-4079-BDA8-FA671CC9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482" name="BEx3RTMHAR35NUAAK49TV6NU7EPA" descr="QFXLG4ZCXTRQSJYFCKJ58G9N8" hidden="1">
          <a:extLst>
            <a:ext uri="{FF2B5EF4-FFF2-40B4-BE49-F238E27FC236}">
              <a16:creationId xmlns:a16="http://schemas.microsoft.com/office/drawing/2014/main" id="{AC1E12BC-22BD-4C6E-8C3B-C10B0055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483" name="BExS8T38WLC2R738ZC7BDJQAKJAJ" descr="MRI962L5PB0E0YWXCIBN82VJH" hidden="1">
          <a:extLst>
            <a:ext uri="{FF2B5EF4-FFF2-40B4-BE49-F238E27FC236}">
              <a16:creationId xmlns:a16="http://schemas.microsoft.com/office/drawing/2014/main" id="{4CE81B44-2C41-43B1-9E42-E5540CB48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484" name="BEx5F64BJ6DCM4EJH81D5ZFNPZ0V" descr="7DJ9FILZD2YPS6X1JBP9E76TU" hidden="1">
          <a:extLst>
            <a:ext uri="{FF2B5EF4-FFF2-40B4-BE49-F238E27FC236}">
              <a16:creationId xmlns:a16="http://schemas.microsoft.com/office/drawing/2014/main" id="{74D6AB5C-9C8E-491D-8F36-6593ED911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485" name="BExQEXXHA3EEXR44LT6RKCDWM6ZT" hidden="1">
          <a:extLst>
            <a:ext uri="{FF2B5EF4-FFF2-40B4-BE49-F238E27FC236}">
              <a16:creationId xmlns:a16="http://schemas.microsoft.com/office/drawing/2014/main" id="{9A168EAE-D0B4-4452-B557-871F151F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486" name="BEx1X6AMHV6ZK3UJB2BXIJTJHYJU" descr="OALR4L95ELQLZ1Y1LETHM1CS9" hidden="1">
          <a:extLst>
            <a:ext uri="{FF2B5EF4-FFF2-40B4-BE49-F238E27FC236}">
              <a16:creationId xmlns:a16="http://schemas.microsoft.com/office/drawing/2014/main" id="{1382F2C0-D638-44ED-9CED-1E4D8F59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487" name="BExSDIVCE09QKG3CT52PHCS6ZJ09" descr="9F076L7EQCF2COMMGCQG6BQGU" hidden="1">
          <a:extLst>
            <a:ext uri="{FF2B5EF4-FFF2-40B4-BE49-F238E27FC236}">
              <a16:creationId xmlns:a16="http://schemas.microsoft.com/office/drawing/2014/main" id="{C090904E-7819-45FC-9439-91023DE9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488" name="BEx1QZGQZBAWJ8591VXEIPUOVS7X" descr="MEW27CPIFG44B7E7HEQUUF5QF" hidden="1">
          <a:extLst>
            <a:ext uri="{FF2B5EF4-FFF2-40B4-BE49-F238E27FC236}">
              <a16:creationId xmlns:a16="http://schemas.microsoft.com/office/drawing/2014/main" id="{0E62B804-ECB7-4457-B27A-05215F44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489" name="BExMF7LICJLPXSHM63A6EQ79YQKG" descr="U084VZL15IMB1OFRRAY6GVKAE" hidden="1">
          <a:extLst>
            <a:ext uri="{FF2B5EF4-FFF2-40B4-BE49-F238E27FC236}">
              <a16:creationId xmlns:a16="http://schemas.microsoft.com/office/drawing/2014/main" id="{391876EE-12B1-4440-B372-DF7881E6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490" name="BExS343F8GCKP6HTF9Y97L133DX8" descr="ZRF0KB1IYQSNV63CTXT25G67G" hidden="1">
          <a:extLst>
            <a:ext uri="{FF2B5EF4-FFF2-40B4-BE49-F238E27FC236}">
              <a16:creationId xmlns:a16="http://schemas.microsoft.com/office/drawing/2014/main" id="{4C4674A8-99EF-4185-9D20-10413B26F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491" name="BExZMRC09W87CY4B73NPZMNH21AH" descr="78CUMI0OVLYJRSDRQ3V2YX812" hidden="1">
          <a:extLst>
            <a:ext uri="{FF2B5EF4-FFF2-40B4-BE49-F238E27FC236}">
              <a16:creationId xmlns:a16="http://schemas.microsoft.com/office/drawing/2014/main" id="{7282D251-4FB4-4997-A9A3-DF3D5F74F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492" name="BExZXVFJ4DY4I24AARDT4AMP6EN1" descr="TXSMH2MTH86CYKA26740RQPUC" hidden="1">
          <a:extLst>
            <a:ext uri="{FF2B5EF4-FFF2-40B4-BE49-F238E27FC236}">
              <a16:creationId xmlns:a16="http://schemas.microsoft.com/office/drawing/2014/main" id="{90C49B1D-6257-4EF8-AF13-8E9B57FD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2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493" name="BExOCUIOFQWUGTBU5ESTW3EYEP5C" descr="9BNF49V0R6VVYPHEVMJ3ABDQZ" hidden="1">
          <a:extLst>
            <a:ext uri="{FF2B5EF4-FFF2-40B4-BE49-F238E27FC236}">
              <a16:creationId xmlns:a16="http://schemas.microsoft.com/office/drawing/2014/main" id="{FCDD3F3D-097D-44F2-AA0A-31ABE9A89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494" name="BExU65O9OE4B4MQ2A3OYH13M8BZJ" descr="3INNIMMPDBB0JF37L81M6ID21" hidden="1">
          <a:extLst>
            <a:ext uri="{FF2B5EF4-FFF2-40B4-BE49-F238E27FC236}">
              <a16:creationId xmlns:a16="http://schemas.microsoft.com/office/drawing/2014/main" id="{F54866F5-75B1-4664-8D8D-B599BCBCB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495" name="BExOPRCR0UW7TKXSV5WDTL348FGL" descr="S9JM17GP1802LHN4GT14BJYIC" hidden="1">
          <a:extLst>
            <a:ext uri="{FF2B5EF4-FFF2-40B4-BE49-F238E27FC236}">
              <a16:creationId xmlns:a16="http://schemas.microsoft.com/office/drawing/2014/main" id="{F2758DF0-8070-42A2-9D14-7B658EB8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496" name="BEx5OESAY2W8SEGI3TSB65EHJ04B" descr="9CN2Y88X8WYV1HWZG1QILY9BK" hidden="1">
          <a:extLst>
            <a:ext uri="{FF2B5EF4-FFF2-40B4-BE49-F238E27FC236}">
              <a16:creationId xmlns:a16="http://schemas.microsoft.com/office/drawing/2014/main" id="{E1FEA941-CF9B-45BD-8EDF-CFF81DDE8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497" name="BExGMWEQ2BYRY9BAO5T1X850MJN1" descr="AZ9ST0XDIOP50HSUFO5V31BR0" hidden="1">
          <a:extLst>
            <a:ext uri="{FF2B5EF4-FFF2-40B4-BE49-F238E27FC236}">
              <a16:creationId xmlns:a16="http://schemas.microsoft.com/office/drawing/2014/main" id="{3972B3AB-016C-4AAF-9F39-FB5372FF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591" name="BExMO7VFCN4EL59982UR4AJ25JNJ" descr="XX6TINEJADZGKR0CTM7ZRT0RA" hidden="1">
          <a:extLst>
            <a:ext uri="{FF2B5EF4-FFF2-40B4-BE49-F238E27FC236}">
              <a16:creationId xmlns:a16="http://schemas.microsoft.com/office/drawing/2014/main" id="{EF3906DE-D76C-4F6A-A7C8-7FE46529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592" name="BExU3EX5JJCXCII4YKUJBFBGIJR2" descr="OF5ZI9PI5WH36VPANJ2DYLNMI" hidden="1">
          <a:extLst>
            <a:ext uri="{FF2B5EF4-FFF2-40B4-BE49-F238E27FC236}">
              <a16:creationId xmlns:a16="http://schemas.microsoft.com/office/drawing/2014/main" id="{942C72BB-2A9C-4612-A200-6495BC78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593" name="BEx1KD7H6UB1VYCJ7O61P562EIUY" descr="IQGV9140X0K0UPBL8OGU3I44J" hidden="1">
          <a:extLst>
            <a:ext uri="{FF2B5EF4-FFF2-40B4-BE49-F238E27FC236}">
              <a16:creationId xmlns:a16="http://schemas.microsoft.com/office/drawing/2014/main" id="{222C57D6-F085-4549-93B6-B6CC541D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594" name="BEx5BJQWS6YWHH4ZMSUAMD641V6Y" descr="ZTMFMXCIQSECDX38ALEFHUB00" hidden="1">
          <a:extLst>
            <a:ext uri="{FF2B5EF4-FFF2-40B4-BE49-F238E27FC236}">
              <a16:creationId xmlns:a16="http://schemas.microsoft.com/office/drawing/2014/main" id="{D774F760-E53C-439B-B389-5F99233D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352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595" name="BExVTO5Q8G2M7BPL4B2584LQS0R0" descr="OB6Q8NA4LZFE4GM9Y3V56BPMQ" hidden="1">
          <a:extLst>
            <a:ext uri="{FF2B5EF4-FFF2-40B4-BE49-F238E27FC236}">
              <a16:creationId xmlns:a16="http://schemas.microsoft.com/office/drawing/2014/main" id="{3D7182FE-8CEF-4835-994C-6FA2A16A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0990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596" name="BExIFSCLN1G86X78PFLTSMRP0US5" descr="9JK4SPV4DG7VTCZIILWHXQU5J" hidden="1">
          <a:extLst>
            <a:ext uri="{FF2B5EF4-FFF2-40B4-BE49-F238E27FC236}">
              <a16:creationId xmlns:a16="http://schemas.microsoft.com/office/drawing/2014/main" id="{ADCF79FC-7ADC-49F4-A9F2-590A2F15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0990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597" name="BEx1I152WN2D3A85O2XN0DGXCWHN" descr="KHBZFMANRA4UMJR1AB4M5NJNT" hidden="1">
          <a:extLst>
            <a:ext uri="{FF2B5EF4-FFF2-40B4-BE49-F238E27FC236}">
              <a16:creationId xmlns:a16="http://schemas.microsoft.com/office/drawing/2014/main" id="{37DDB18D-11D8-4CDE-A040-89693DE3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598" name="BExW9676P0SKCVKK25QCGHPA3PAD" descr="9A4PWZ20RMSRF0PNECCDM75CA" hidden="1">
          <a:extLst>
            <a:ext uri="{FF2B5EF4-FFF2-40B4-BE49-F238E27FC236}">
              <a16:creationId xmlns:a16="http://schemas.microsoft.com/office/drawing/2014/main" id="{95396208-C0E2-464C-8546-5409727BF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599" name="BExW253QPOZK9KW8BJC3LBXGCG2N" descr="Y5HX37BEUWSN1NEFJKZJXI3SX" hidden="1">
          <a:extLst>
            <a:ext uri="{FF2B5EF4-FFF2-40B4-BE49-F238E27FC236}">
              <a16:creationId xmlns:a16="http://schemas.microsoft.com/office/drawing/2014/main" id="{0A63D2BB-48E9-4FFC-BB67-935C4097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40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600" name="BExS5CPQ8P8JOQPK7ANNKHLSGOKU" hidden="1">
          <a:extLst>
            <a:ext uri="{FF2B5EF4-FFF2-40B4-BE49-F238E27FC236}">
              <a16:creationId xmlns:a16="http://schemas.microsoft.com/office/drawing/2014/main" id="{E3EFDCBD-E8F3-400D-B4AA-D3BF52F8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601" name="BExMM0AVUAIRNJLXB1FW8R0YB4ZZ" hidden="1">
          <a:extLst>
            <a:ext uri="{FF2B5EF4-FFF2-40B4-BE49-F238E27FC236}">
              <a16:creationId xmlns:a16="http://schemas.microsoft.com/office/drawing/2014/main" id="{4A3803D8-EB81-432E-845C-1F9AAB0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602" name="BExXZ7Y09CBS0XA7IPB3IRJ8RJM4" hidden="1">
          <a:extLst>
            <a:ext uri="{FF2B5EF4-FFF2-40B4-BE49-F238E27FC236}">
              <a16:creationId xmlns:a16="http://schemas.microsoft.com/office/drawing/2014/main" id="{8791E852-C462-46B8-AEA9-FF4FA453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603" name="BExQ7SXS9VUG7P6CACU2J7R2SGIZ" hidden="1">
          <a:extLst>
            <a:ext uri="{FF2B5EF4-FFF2-40B4-BE49-F238E27FC236}">
              <a16:creationId xmlns:a16="http://schemas.microsoft.com/office/drawing/2014/main" id="{857D3C2D-4D5A-472E-B78F-62387302F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604" name="BEx5AQZ4ETQ9LMY5EBWVH20Z7VXQ" hidden="1">
          <a:extLst>
            <a:ext uri="{FF2B5EF4-FFF2-40B4-BE49-F238E27FC236}">
              <a16:creationId xmlns:a16="http://schemas.microsoft.com/office/drawing/2014/main" id="{78F6ECBC-B6C2-4EB2-A300-C6F121818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605" name="BExUBK0YZ5VYFY8TTITJGJU9S06A" hidden="1">
          <a:extLst>
            <a:ext uri="{FF2B5EF4-FFF2-40B4-BE49-F238E27FC236}">
              <a16:creationId xmlns:a16="http://schemas.microsoft.com/office/drawing/2014/main" id="{A21EF98F-C001-4BCE-AA58-D8431FF8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3525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9525</xdr:rowOff>
    </xdr:from>
    <xdr:ext cx="47625" cy="47625"/>
    <xdr:pic>
      <xdr:nvPicPr>
        <xdr:cNvPr id="606" name="BExUEZCSSJ7RN4J18I2NUIQR2FZS" hidden="1">
          <a:extLst>
            <a:ext uri="{FF2B5EF4-FFF2-40B4-BE49-F238E27FC236}">
              <a16:creationId xmlns:a16="http://schemas.microsoft.com/office/drawing/2014/main" id="{A8E116AE-29B1-45DF-A754-841FCBE55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16250" y="1873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1</xdr:row>
      <xdr:rowOff>85725</xdr:rowOff>
    </xdr:from>
    <xdr:ext cx="47625" cy="47625"/>
    <xdr:pic>
      <xdr:nvPicPr>
        <xdr:cNvPr id="607" name="BExS3JDQWF7U3F5JTEVOE16ASIYK" hidden="1">
          <a:extLst>
            <a:ext uri="{FF2B5EF4-FFF2-40B4-BE49-F238E27FC236}">
              <a16:creationId xmlns:a16="http://schemas.microsoft.com/office/drawing/2014/main" id="{9750F0AD-0849-40F1-9534-79792C11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16250" y="263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608" name="BEx973S463FCQVJ7QDFBUIU0WJ3F" descr="ZQTVYL8DCSADVT0QMRXFLU0TR" hidden="1">
          <a:extLst>
            <a:ext uri="{FF2B5EF4-FFF2-40B4-BE49-F238E27FC236}">
              <a16:creationId xmlns:a16="http://schemas.microsoft.com/office/drawing/2014/main" id="{9849BA5A-E2C9-44DB-9D17-CD8714DB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609" name="BExRZO0PLWWMCLGRH7EH6UXYWGAJ" descr="9D4GQ34QB727H10MA3SSAR2R9" hidden="1">
          <a:extLst>
            <a:ext uri="{FF2B5EF4-FFF2-40B4-BE49-F238E27FC236}">
              <a16:creationId xmlns:a16="http://schemas.microsoft.com/office/drawing/2014/main" id="{8DB6F02C-7511-4489-BCEF-0ED18AD4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13</xdr:row>
      <xdr:rowOff>0</xdr:rowOff>
    </xdr:from>
    <xdr:ext cx="123825" cy="123825"/>
    <xdr:pic>
      <xdr:nvPicPr>
        <xdr:cNvPr id="610" name="BExBDP6HNAAJUM39SE5G2C8BKNRQ" descr="1TM64TL2QIMYV7WYSV2VLGXY4" hidden="1">
          <a:extLst>
            <a:ext uri="{FF2B5EF4-FFF2-40B4-BE49-F238E27FC236}">
              <a16:creationId xmlns:a16="http://schemas.microsoft.com/office/drawing/2014/main" id="{BBD3BC77-4EA6-4191-BB60-4E1700EB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352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14</xdr:row>
      <xdr:rowOff>0</xdr:rowOff>
    </xdr:from>
    <xdr:ext cx="123825" cy="123825"/>
    <xdr:pic>
      <xdr:nvPicPr>
        <xdr:cNvPr id="611" name="BExQEGJP61DL2NZY6LMBHBZ0J5YT" descr="D6ZNRZJ7EX4GZT9RO8LE0C905" hidden="1">
          <a:extLst>
            <a:ext uri="{FF2B5EF4-FFF2-40B4-BE49-F238E27FC236}">
              <a16:creationId xmlns:a16="http://schemas.microsoft.com/office/drawing/2014/main" id="{7CD783D6-CE1F-434A-94E9-DC232340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533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15</xdr:row>
      <xdr:rowOff>0</xdr:rowOff>
    </xdr:from>
    <xdr:ext cx="123825" cy="123825"/>
    <xdr:pic>
      <xdr:nvPicPr>
        <xdr:cNvPr id="612" name="BExTY1BCS6HZIF6HI5491FGHDVAE" descr="MJ6976KI2UH1IE8M227DUYXMJ" hidden="1">
          <a:extLst>
            <a:ext uri="{FF2B5EF4-FFF2-40B4-BE49-F238E27FC236}">
              <a16:creationId xmlns:a16="http://schemas.microsoft.com/office/drawing/2014/main" id="{17B82792-0175-45D6-BD7B-F980203D0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613" name="BEx5FXJGJOT93D0J2IRJ3985IUMI" hidden="1">
          <a:extLst>
            <a:ext uri="{FF2B5EF4-FFF2-40B4-BE49-F238E27FC236}">
              <a16:creationId xmlns:a16="http://schemas.microsoft.com/office/drawing/2014/main" id="{9B034090-52EF-427A-B7AC-A062EA92F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614" name="BEx3RTMHAR35NUAAK49TV6NU7EPA" descr="QFXLG4ZCXTRQSJYFCKJ58G9N8" hidden="1">
          <a:extLst>
            <a:ext uri="{FF2B5EF4-FFF2-40B4-BE49-F238E27FC236}">
              <a16:creationId xmlns:a16="http://schemas.microsoft.com/office/drawing/2014/main" id="{AC497935-C4C4-4D7D-B2C6-2B94654ED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615" name="BExS8T38WLC2R738ZC7BDJQAKJAJ" descr="MRI962L5PB0E0YWXCIBN82VJH" hidden="1">
          <a:extLst>
            <a:ext uri="{FF2B5EF4-FFF2-40B4-BE49-F238E27FC236}">
              <a16:creationId xmlns:a16="http://schemas.microsoft.com/office/drawing/2014/main" id="{AD0A45D7-1F5E-4718-800C-3B56380C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5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616" name="BEx5F64BJ6DCM4EJH81D5ZFNPZ0V" descr="7DJ9FILZD2YPS6X1JBP9E76TU" hidden="1">
          <a:extLst>
            <a:ext uri="{FF2B5EF4-FFF2-40B4-BE49-F238E27FC236}">
              <a16:creationId xmlns:a16="http://schemas.microsoft.com/office/drawing/2014/main" id="{37A84582-F305-47C4-87B9-2AE7D8987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617" name="BExQEXXHA3EEXR44LT6RKCDWM6ZT" hidden="1">
          <a:extLst>
            <a:ext uri="{FF2B5EF4-FFF2-40B4-BE49-F238E27FC236}">
              <a16:creationId xmlns:a16="http://schemas.microsoft.com/office/drawing/2014/main" id="{64EAA374-1ED6-4988-ADDA-DE940540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618" name="BEx1X6AMHV6ZK3UJB2BXIJTJHYJU" descr="OALR4L95ELQLZ1Y1LETHM1CS9" hidden="1">
          <a:extLst>
            <a:ext uri="{FF2B5EF4-FFF2-40B4-BE49-F238E27FC236}">
              <a16:creationId xmlns:a16="http://schemas.microsoft.com/office/drawing/2014/main" id="{5938A8D8-FAEF-483A-881F-D804E62A4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5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2</xdr:row>
      <xdr:rowOff>0</xdr:rowOff>
    </xdr:from>
    <xdr:ext cx="123825" cy="123825"/>
    <xdr:pic>
      <xdr:nvPicPr>
        <xdr:cNvPr id="619" name="BExSDIVCE09QKG3CT52PHCS6ZJ09" descr="9F076L7EQCF2COMMGCQG6BQGU" hidden="1">
          <a:extLst>
            <a:ext uri="{FF2B5EF4-FFF2-40B4-BE49-F238E27FC236}">
              <a16:creationId xmlns:a16="http://schemas.microsoft.com/office/drawing/2014/main" id="{E717793F-F607-4D69-BD5F-D3B27C181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0" y="36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12</xdr:row>
      <xdr:rowOff>0</xdr:rowOff>
    </xdr:from>
    <xdr:ext cx="123825" cy="123825"/>
    <xdr:pic>
      <xdr:nvPicPr>
        <xdr:cNvPr id="620" name="BEx1QZGQZBAWJ8591VXEIPUOVS7X" descr="MEW27CPIFG44B7E7HEQUUF5QF" hidden="1">
          <a:extLst>
            <a:ext uri="{FF2B5EF4-FFF2-40B4-BE49-F238E27FC236}">
              <a16:creationId xmlns:a16="http://schemas.microsoft.com/office/drawing/2014/main" id="{ECFF7385-D524-4DB2-A4CF-38D1E8DC4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2171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11</xdr:row>
      <xdr:rowOff>0</xdr:rowOff>
    </xdr:from>
    <xdr:ext cx="123825" cy="123825"/>
    <xdr:pic>
      <xdr:nvPicPr>
        <xdr:cNvPr id="621" name="BExMF7LICJLPXSHM63A6EQ79YQKG" descr="U084VZL15IMB1OFRRAY6GVKAE" hidden="1">
          <a:extLst>
            <a:ext uri="{FF2B5EF4-FFF2-40B4-BE49-F238E27FC236}">
              <a16:creationId xmlns:a16="http://schemas.microsoft.com/office/drawing/2014/main" id="{9A0983FA-F005-4646-87A4-8E944165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9907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10</xdr:row>
      <xdr:rowOff>0</xdr:rowOff>
    </xdr:from>
    <xdr:ext cx="123825" cy="123825"/>
    <xdr:pic>
      <xdr:nvPicPr>
        <xdr:cNvPr id="622" name="BExS343F8GCKP6HTF9Y97L133DX8" descr="ZRF0KB1IYQSNV63CTXT25G67G" hidden="1">
          <a:extLst>
            <a:ext uri="{FF2B5EF4-FFF2-40B4-BE49-F238E27FC236}">
              <a16:creationId xmlns:a16="http://schemas.microsoft.com/office/drawing/2014/main" id="{CD344CF4-C9D8-4222-A661-1B9DE162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8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9</xdr:row>
      <xdr:rowOff>0</xdr:rowOff>
    </xdr:from>
    <xdr:ext cx="123825" cy="123825"/>
    <xdr:pic>
      <xdr:nvPicPr>
        <xdr:cNvPr id="623" name="BExZMRC09W87CY4B73NPZMNH21AH" descr="78CUMI0OVLYJRSDRQ3V2YX812" hidden="1">
          <a:extLst>
            <a:ext uri="{FF2B5EF4-FFF2-40B4-BE49-F238E27FC236}">
              <a16:creationId xmlns:a16="http://schemas.microsoft.com/office/drawing/2014/main" id="{32681A42-D764-4162-9578-86C2F713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628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8</xdr:row>
      <xdr:rowOff>9525</xdr:rowOff>
    </xdr:from>
    <xdr:ext cx="123825" cy="123825"/>
    <xdr:pic>
      <xdr:nvPicPr>
        <xdr:cNvPr id="624" name="BExZXVFJ4DY4I24AARDT4AMP6EN1" descr="TXSMH2MTH86CYKA26740RQPUC" hidden="1">
          <a:extLst>
            <a:ext uri="{FF2B5EF4-FFF2-40B4-BE49-F238E27FC236}">
              <a16:creationId xmlns:a16="http://schemas.microsoft.com/office/drawing/2014/main" id="{100BEF5E-6D4E-44C3-A1D8-A490743F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4541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7</xdr:row>
      <xdr:rowOff>0</xdr:rowOff>
    </xdr:from>
    <xdr:ext cx="123825" cy="123825"/>
    <xdr:pic>
      <xdr:nvPicPr>
        <xdr:cNvPr id="625" name="BExOCUIOFQWUGTBU5ESTW3EYEP5C" descr="9BNF49V0R6VVYPHEVMJ3ABDQZ" hidden="1">
          <a:extLst>
            <a:ext uri="{FF2B5EF4-FFF2-40B4-BE49-F238E27FC236}">
              <a16:creationId xmlns:a16="http://schemas.microsoft.com/office/drawing/2014/main" id="{95A58CF8-808C-40AA-9EC0-92A9C656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266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6</xdr:row>
      <xdr:rowOff>0</xdr:rowOff>
    </xdr:from>
    <xdr:ext cx="123825" cy="123825"/>
    <xdr:pic>
      <xdr:nvPicPr>
        <xdr:cNvPr id="626" name="BExU65O9OE4B4MQ2A3OYH13M8BZJ" descr="3INNIMMPDBB0JF37L81M6ID21" hidden="1">
          <a:extLst>
            <a:ext uri="{FF2B5EF4-FFF2-40B4-BE49-F238E27FC236}">
              <a16:creationId xmlns:a16="http://schemas.microsoft.com/office/drawing/2014/main" id="{10485485-59B3-449C-9B13-2C86D0EB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1085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5</xdr:row>
      <xdr:rowOff>0</xdr:rowOff>
    </xdr:from>
    <xdr:ext cx="123825" cy="123825"/>
    <xdr:pic>
      <xdr:nvPicPr>
        <xdr:cNvPr id="627" name="BExOPRCR0UW7TKXSV5WDTL348FGL" descr="S9JM17GP1802LHN4GT14BJYIC" hidden="1">
          <a:extLst>
            <a:ext uri="{FF2B5EF4-FFF2-40B4-BE49-F238E27FC236}">
              <a16:creationId xmlns:a16="http://schemas.microsoft.com/office/drawing/2014/main" id="{6B06A541-2224-42A5-9584-55B5D51A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904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4</xdr:row>
      <xdr:rowOff>0</xdr:rowOff>
    </xdr:from>
    <xdr:ext cx="123825" cy="123825"/>
    <xdr:pic>
      <xdr:nvPicPr>
        <xdr:cNvPr id="628" name="BEx5OESAY2W8SEGI3TSB65EHJ04B" descr="9CN2Y88X8WYV1HWZG1QILY9BK" hidden="1">
          <a:extLst>
            <a:ext uri="{FF2B5EF4-FFF2-40B4-BE49-F238E27FC236}">
              <a16:creationId xmlns:a16="http://schemas.microsoft.com/office/drawing/2014/main" id="{48C0E6DD-FBEA-42B5-9DAC-3D75158C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723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3</xdr:row>
      <xdr:rowOff>0</xdr:rowOff>
    </xdr:from>
    <xdr:ext cx="123825" cy="123825"/>
    <xdr:pic>
      <xdr:nvPicPr>
        <xdr:cNvPr id="629" name="BExGMWEQ2BYRY9BAO5T1X850MJN1" descr="AZ9ST0XDIOP50HSUFO5V31BR0" hidden="1">
          <a:extLst>
            <a:ext uri="{FF2B5EF4-FFF2-40B4-BE49-F238E27FC236}">
              <a16:creationId xmlns:a16="http://schemas.microsoft.com/office/drawing/2014/main" id="{835366C9-939A-4BA6-93C1-724EB3BD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50" y="542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44630</xdr:rowOff>
    </xdr:to>
    <xdr:pic>
      <xdr:nvPicPr>
        <xdr:cNvPr id="723" name="BExMO7VFCN4EL59982UR4AJ25JNJ" descr="XX6TINEJADZGKR0CTM7ZRT0RA" hidden="1">
          <a:extLst>
            <a:ext uri="{FF2B5EF4-FFF2-40B4-BE49-F238E27FC236}">
              <a16:creationId xmlns:a16="http://schemas.microsoft.com/office/drawing/2014/main" id="{514C7AD7-8ABD-44C0-8BC9-EB520C03F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120830</xdr:rowOff>
    </xdr:to>
    <xdr:pic>
      <xdr:nvPicPr>
        <xdr:cNvPr id="724" name="BExU3EX5JJCXCII4YKUJBFBGIJR2" descr="OF5ZI9PI5WH36VPANJ2DYLNMI" hidden="1">
          <a:extLst>
            <a:ext uri="{FF2B5EF4-FFF2-40B4-BE49-F238E27FC236}">
              <a16:creationId xmlns:a16="http://schemas.microsoft.com/office/drawing/2014/main" id="{D06122C6-4BA0-41E5-B01E-009EB3DAC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9525</xdr:rowOff>
    </xdr:from>
    <xdr:to>
      <xdr:col>2</xdr:col>
      <xdr:colOff>76200</xdr:colOff>
      <xdr:row>0</xdr:row>
      <xdr:rowOff>44630</xdr:rowOff>
    </xdr:to>
    <xdr:pic>
      <xdr:nvPicPr>
        <xdr:cNvPr id="725" name="BEx1KD7H6UB1VYCJ7O61P562EIUY" descr="IQGV9140X0K0UPBL8OGU3I44J" hidden="1">
          <a:extLst>
            <a:ext uri="{FF2B5EF4-FFF2-40B4-BE49-F238E27FC236}">
              <a16:creationId xmlns:a16="http://schemas.microsoft.com/office/drawing/2014/main" id="{4A06AD89-C714-4AF2-8BC4-2E98D0AA2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2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85725</xdr:rowOff>
    </xdr:from>
    <xdr:to>
      <xdr:col>2</xdr:col>
      <xdr:colOff>76200</xdr:colOff>
      <xdr:row>0</xdr:row>
      <xdr:rowOff>120830</xdr:rowOff>
    </xdr:to>
    <xdr:pic>
      <xdr:nvPicPr>
        <xdr:cNvPr id="726" name="BEx5BJQWS6YWHH4ZMSUAMD641V6Y" descr="ZTMFMXCIQSECDX38ALEFHUB00" hidden="1">
          <a:extLst>
            <a:ext uri="{FF2B5EF4-FFF2-40B4-BE49-F238E27FC236}">
              <a16:creationId xmlns:a16="http://schemas.microsoft.com/office/drawing/2014/main" id="{31E910FA-63C9-42FA-9321-1B1B9B59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2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3</xdr:col>
      <xdr:colOff>28575</xdr:colOff>
      <xdr:row>0</xdr:row>
      <xdr:rowOff>9525</xdr:rowOff>
    </xdr:from>
    <xdr:to>
      <xdr:col>3</xdr:col>
      <xdr:colOff>76200</xdr:colOff>
      <xdr:row>0</xdr:row>
      <xdr:rowOff>44630</xdr:rowOff>
    </xdr:to>
    <xdr:pic>
      <xdr:nvPicPr>
        <xdr:cNvPr id="727" name="BExVTO5Q8G2M7BPL4B2584LQS0R0" descr="OB6Q8NA4LZFE4GM9Y3V56BPMQ" hidden="1">
          <a:extLst>
            <a:ext uri="{FF2B5EF4-FFF2-40B4-BE49-F238E27FC236}">
              <a16:creationId xmlns:a16="http://schemas.microsoft.com/office/drawing/2014/main" id="{214E8B57-73C2-438A-A897-9C3123CC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28575</xdr:colOff>
      <xdr:row>0</xdr:row>
      <xdr:rowOff>85725</xdr:rowOff>
    </xdr:from>
    <xdr:to>
      <xdr:col>3</xdr:col>
      <xdr:colOff>76200</xdr:colOff>
      <xdr:row>0</xdr:row>
      <xdr:rowOff>120830</xdr:rowOff>
    </xdr:to>
    <xdr:pic>
      <xdr:nvPicPr>
        <xdr:cNvPr id="728" name="BExIFSCLN1G86X78PFLTSMRP0US5" descr="9JK4SPV4DG7VTCZIILWHXQU5J" hidden="1">
          <a:extLst>
            <a:ext uri="{FF2B5EF4-FFF2-40B4-BE49-F238E27FC236}">
              <a16:creationId xmlns:a16="http://schemas.microsoft.com/office/drawing/2014/main" id="{7DE0A505-3604-4059-9129-45F4EC91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44630</xdr:rowOff>
    </xdr:to>
    <xdr:pic>
      <xdr:nvPicPr>
        <xdr:cNvPr id="729" name="BEx1I152WN2D3A85O2XN0DGXCWHN" descr="KHBZFMANRA4UMJR1AB4M5NJNT" hidden="1">
          <a:extLst>
            <a:ext uri="{FF2B5EF4-FFF2-40B4-BE49-F238E27FC236}">
              <a16:creationId xmlns:a16="http://schemas.microsoft.com/office/drawing/2014/main" id="{170382E8-84B4-4F8B-961F-3B53561AC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120830</xdr:rowOff>
    </xdr:to>
    <xdr:pic>
      <xdr:nvPicPr>
        <xdr:cNvPr id="730" name="BExW9676P0SKCVKK25QCGHPA3PAD" descr="9A4PWZ20RMSRF0PNECCDM75CA" hidden="1">
          <a:extLst>
            <a:ext uri="{FF2B5EF4-FFF2-40B4-BE49-F238E27FC236}">
              <a16:creationId xmlns:a16="http://schemas.microsoft.com/office/drawing/2014/main" id="{1D584077-5D5D-4713-A86E-4DBA6A71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152400</xdr:colOff>
      <xdr:row>2</xdr:row>
      <xdr:rowOff>12696</xdr:rowOff>
    </xdr:to>
    <xdr:pic>
      <xdr:nvPicPr>
        <xdr:cNvPr id="731" name="BExW253QPOZK9KW8BJC3LBXGCG2N" descr="Y5HX37BEUWSN1NEFJKZJXI3SX" hidden="1">
          <a:extLst>
            <a:ext uri="{FF2B5EF4-FFF2-40B4-BE49-F238E27FC236}">
              <a16:creationId xmlns:a16="http://schemas.microsoft.com/office/drawing/2014/main" id="{1B5B84AC-EC71-4B84-BF87-7005F6035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25639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44630</xdr:rowOff>
    </xdr:to>
    <xdr:pic>
      <xdr:nvPicPr>
        <xdr:cNvPr id="732" name="BExS5CPQ8P8JOQPK7ANNKHLSGOKU" hidden="1">
          <a:extLst>
            <a:ext uri="{FF2B5EF4-FFF2-40B4-BE49-F238E27FC236}">
              <a16:creationId xmlns:a16="http://schemas.microsoft.com/office/drawing/2014/main" id="{230971CB-C062-40A7-9C0D-8DF3C7C41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120830</xdr:rowOff>
    </xdr:to>
    <xdr:pic>
      <xdr:nvPicPr>
        <xdr:cNvPr id="733" name="BExMM0AVUAIRNJLXB1FW8R0YB4ZZ" hidden="1">
          <a:extLst>
            <a:ext uri="{FF2B5EF4-FFF2-40B4-BE49-F238E27FC236}">
              <a16:creationId xmlns:a16="http://schemas.microsoft.com/office/drawing/2014/main" id="{196174B8-D4D6-4301-B2DD-D6D9F9A8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44630</xdr:rowOff>
    </xdr:to>
    <xdr:pic>
      <xdr:nvPicPr>
        <xdr:cNvPr id="734" name="BExXZ7Y09CBS0XA7IPB3IRJ8RJM4" hidden="1">
          <a:extLst>
            <a:ext uri="{FF2B5EF4-FFF2-40B4-BE49-F238E27FC236}">
              <a16:creationId xmlns:a16="http://schemas.microsoft.com/office/drawing/2014/main" id="{B2AA3224-3A9C-4434-8C92-9B0A153B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120830</xdr:rowOff>
    </xdr:to>
    <xdr:pic>
      <xdr:nvPicPr>
        <xdr:cNvPr id="735" name="BExQ7SXS9VUG7P6CACU2J7R2SGIZ" hidden="1">
          <a:extLst>
            <a:ext uri="{FF2B5EF4-FFF2-40B4-BE49-F238E27FC236}">
              <a16:creationId xmlns:a16="http://schemas.microsoft.com/office/drawing/2014/main" id="{BA7BA1D9-7A1A-43C8-8AF9-3E99AD7D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9525</xdr:rowOff>
    </xdr:from>
    <xdr:to>
      <xdr:col>2</xdr:col>
      <xdr:colOff>76200</xdr:colOff>
      <xdr:row>0</xdr:row>
      <xdr:rowOff>44630</xdr:rowOff>
    </xdr:to>
    <xdr:pic>
      <xdr:nvPicPr>
        <xdr:cNvPr id="736" name="BEx5AQZ4ETQ9LMY5EBWVH20Z7VXQ" hidden="1">
          <a:extLst>
            <a:ext uri="{FF2B5EF4-FFF2-40B4-BE49-F238E27FC236}">
              <a16:creationId xmlns:a16="http://schemas.microsoft.com/office/drawing/2014/main" id="{B0D6009C-CE63-4A25-AD05-38F92F74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2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85725</xdr:rowOff>
    </xdr:from>
    <xdr:to>
      <xdr:col>2</xdr:col>
      <xdr:colOff>76200</xdr:colOff>
      <xdr:row>0</xdr:row>
      <xdr:rowOff>120830</xdr:rowOff>
    </xdr:to>
    <xdr:pic>
      <xdr:nvPicPr>
        <xdr:cNvPr id="737" name="BExUBK0YZ5VYFY8TTITJGJU9S06A" hidden="1">
          <a:extLst>
            <a:ext uri="{FF2B5EF4-FFF2-40B4-BE49-F238E27FC236}">
              <a16:creationId xmlns:a16="http://schemas.microsoft.com/office/drawing/2014/main" id="{E14819DC-99DB-448B-A5F1-3BE7C6A1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2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38100</xdr:colOff>
      <xdr:row>0</xdr:row>
      <xdr:rowOff>9525</xdr:rowOff>
    </xdr:from>
    <xdr:to>
      <xdr:col>3</xdr:col>
      <xdr:colOff>85812</xdr:colOff>
      <xdr:row>0</xdr:row>
      <xdr:rowOff>44630</xdr:rowOff>
    </xdr:to>
    <xdr:pic>
      <xdr:nvPicPr>
        <xdr:cNvPr id="738" name="BExUEZCSSJ7RN4J18I2NUIQR2FZS" hidden="1">
          <a:extLst>
            <a:ext uri="{FF2B5EF4-FFF2-40B4-BE49-F238E27FC236}">
              <a16:creationId xmlns:a16="http://schemas.microsoft.com/office/drawing/2014/main" id="{68492BCE-17E1-4FC7-8FC4-07A0A95E4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8250" y="113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3</xdr:col>
      <xdr:colOff>38100</xdr:colOff>
      <xdr:row>0</xdr:row>
      <xdr:rowOff>85725</xdr:rowOff>
    </xdr:from>
    <xdr:to>
      <xdr:col>3</xdr:col>
      <xdr:colOff>85812</xdr:colOff>
      <xdr:row>0</xdr:row>
      <xdr:rowOff>120830</xdr:rowOff>
    </xdr:to>
    <xdr:pic>
      <xdr:nvPicPr>
        <xdr:cNvPr id="739" name="BExS3JDQWF7U3F5JTEVOE16ASIYK" hidden="1">
          <a:extLst>
            <a:ext uri="{FF2B5EF4-FFF2-40B4-BE49-F238E27FC236}">
              <a16:creationId xmlns:a16="http://schemas.microsoft.com/office/drawing/2014/main" id="{8E8B160E-AE8A-4843-92BF-6ABA5A457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8250" y="875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158930</xdr:colOff>
      <xdr:row>2</xdr:row>
      <xdr:rowOff>120831</xdr:rowOff>
    </xdr:to>
    <xdr:pic>
      <xdr:nvPicPr>
        <xdr:cNvPr id="740" name="BEx973S463FCQVJ7QDFBUIU0WJ3F" descr="ZQTVYL8DCSADVT0QMRXFLU0TR" hidden="1">
          <a:extLst>
            <a:ext uri="{FF2B5EF4-FFF2-40B4-BE49-F238E27FC236}">
              <a16:creationId xmlns:a16="http://schemas.microsoft.com/office/drawing/2014/main" id="{6FA91F6A-96FF-4A9D-92EF-9A06BE53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19290" cy="12019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197030</xdr:colOff>
      <xdr:row>8</xdr:row>
      <xdr:rowOff>63499</xdr:rowOff>
    </xdr:to>
    <xdr:pic>
      <xdr:nvPicPr>
        <xdr:cNvPr id="741" name="BExRZO0PLWWMCLGRH7EH6UXYWGAJ" descr="9D4GQ34QB727H10MA3SSAR2R9" hidden="1">
          <a:extLst>
            <a:ext uri="{FF2B5EF4-FFF2-40B4-BE49-F238E27FC236}">
              <a16:creationId xmlns:a16="http://schemas.microsoft.com/office/drawing/2014/main" id="{1F37C1D0-F11A-429C-8D9A-5A12A282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19290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158930</xdr:colOff>
      <xdr:row>8</xdr:row>
      <xdr:rowOff>176898</xdr:rowOff>
    </xdr:to>
    <xdr:pic>
      <xdr:nvPicPr>
        <xdr:cNvPr id="742" name="BExBDP6HNAAJUM39SE5G2C8BKNRQ" descr="1TM64TL2QIMYV7WYSV2VLGXY4" hidden="1">
          <a:extLst>
            <a:ext uri="{FF2B5EF4-FFF2-40B4-BE49-F238E27FC236}">
              <a16:creationId xmlns:a16="http://schemas.microsoft.com/office/drawing/2014/main" id="{04324750-2364-44EE-8DFF-9AB9BC9E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19290" cy="12836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158930</xdr:colOff>
      <xdr:row>9</xdr:row>
      <xdr:rowOff>123912</xdr:rowOff>
    </xdr:to>
    <xdr:pic>
      <xdr:nvPicPr>
        <xdr:cNvPr id="743" name="BExQEGJP61DL2NZY6LMBHBZ0J5YT" descr="D6ZNRZJ7EX4GZT9RO8LE0C905" hidden="1">
          <a:extLst>
            <a:ext uri="{FF2B5EF4-FFF2-40B4-BE49-F238E27FC236}">
              <a16:creationId xmlns:a16="http://schemas.microsoft.com/office/drawing/2014/main" id="{CEA750DD-3495-4111-9F7B-D3C6FA491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158930</xdr:colOff>
      <xdr:row>10</xdr:row>
      <xdr:rowOff>62596</xdr:rowOff>
    </xdr:to>
    <xdr:pic>
      <xdr:nvPicPr>
        <xdr:cNvPr id="744" name="BExTY1BCS6HZIF6HI5491FGHDVAE" descr="MJ6976KI2UH1IE8M227DUYXMJ" hidden="1">
          <a:extLst>
            <a:ext uri="{FF2B5EF4-FFF2-40B4-BE49-F238E27FC236}">
              <a16:creationId xmlns:a16="http://schemas.microsoft.com/office/drawing/2014/main" id="{915FE21E-70B9-4F37-8409-43B5BC2D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19290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158930</xdr:colOff>
      <xdr:row>2</xdr:row>
      <xdr:rowOff>12696</xdr:rowOff>
    </xdr:to>
    <xdr:pic>
      <xdr:nvPicPr>
        <xdr:cNvPr id="745" name="BEx5FXJGJOT93D0J2IRJ3985IUMI" hidden="1">
          <a:extLst>
            <a:ext uri="{FF2B5EF4-FFF2-40B4-BE49-F238E27FC236}">
              <a16:creationId xmlns:a16="http://schemas.microsoft.com/office/drawing/2014/main" id="{792C2D6C-17D9-4E45-8B08-2CA7B5D2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120830</xdr:colOff>
      <xdr:row>1</xdr:row>
      <xdr:rowOff>50799</xdr:rowOff>
    </xdr:to>
    <xdr:pic>
      <xdr:nvPicPr>
        <xdr:cNvPr id="746" name="BEx3RTMHAR35NUAAK49TV6NU7EPA" descr="QFXLG4ZCXTRQSJYFCKJ58G9N8" hidden="1">
          <a:extLst>
            <a:ext uri="{FF2B5EF4-FFF2-40B4-BE49-F238E27FC236}">
              <a16:creationId xmlns:a16="http://schemas.microsoft.com/office/drawing/2014/main" id="{FF51AB0A-1737-431B-9F39-AE302899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197030</xdr:colOff>
      <xdr:row>3</xdr:row>
      <xdr:rowOff>89803</xdr:rowOff>
    </xdr:to>
    <xdr:pic>
      <xdr:nvPicPr>
        <xdr:cNvPr id="747" name="BExS8T38WLC2R738ZC7BDJQAKJAJ" descr="MRI962L5PB0E0YWXCIBN82VJH" hidden="1">
          <a:extLst>
            <a:ext uri="{FF2B5EF4-FFF2-40B4-BE49-F238E27FC236}">
              <a16:creationId xmlns:a16="http://schemas.microsoft.com/office/drawing/2014/main" id="{A0BB703F-EED9-4335-9A7F-0E74C4F2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158930</xdr:colOff>
      <xdr:row>2</xdr:row>
      <xdr:rowOff>12696</xdr:rowOff>
    </xdr:to>
    <xdr:pic>
      <xdr:nvPicPr>
        <xdr:cNvPr id="748" name="BEx5F64BJ6DCM4EJH81D5ZFNPZ0V" descr="7DJ9FILZD2YPS6X1JBP9E76TU" hidden="1">
          <a:extLst>
            <a:ext uri="{FF2B5EF4-FFF2-40B4-BE49-F238E27FC236}">
              <a16:creationId xmlns:a16="http://schemas.microsoft.com/office/drawing/2014/main" id="{EB0E24E5-F09E-45EF-8B7A-DD67AFAC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158930</xdr:colOff>
      <xdr:row>2</xdr:row>
      <xdr:rowOff>12696</xdr:rowOff>
    </xdr:to>
    <xdr:pic>
      <xdr:nvPicPr>
        <xdr:cNvPr id="749" name="BExQEXXHA3EEXR44LT6RKCDWM6ZT" hidden="1">
          <a:extLst>
            <a:ext uri="{FF2B5EF4-FFF2-40B4-BE49-F238E27FC236}">
              <a16:creationId xmlns:a16="http://schemas.microsoft.com/office/drawing/2014/main" id="{A6670445-B703-4AE0-A487-41AC2155E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197030</xdr:colOff>
      <xdr:row>4</xdr:row>
      <xdr:rowOff>165550</xdr:rowOff>
    </xdr:to>
    <xdr:pic>
      <xdr:nvPicPr>
        <xdr:cNvPr id="750" name="BEx1X6AMHV6ZK3UJB2BXIJTJHYJU" descr="OALR4L95ELQLZ1Y1LETHM1CS9" hidden="1">
          <a:extLst>
            <a:ext uri="{FF2B5EF4-FFF2-40B4-BE49-F238E27FC236}">
              <a16:creationId xmlns:a16="http://schemas.microsoft.com/office/drawing/2014/main" id="{1C0C5ECC-E128-4173-A282-B99872A4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19290" cy="1424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120830</xdr:colOff>
      <xdr:row>1</xdr:row>
      <xdr:rowOff>50799</xdr:rowOff>
    </xdr:to>
    <xdr:pic>
      <xdr:nvPicPr>
        <xdr:cNvPr id="751" name="BExSDIVCE09QKG3CT52PHCS6ZJ09" descr="9F076L7EQCF2COMMGCQG6BQGU" hidden="1">
          <a:extLst>
            <a:ext uri="{FF2B5EF4-FFF2-40B4-BE49-F238E27FC236}">
              <a16:creationId xmlns:a16="http://schemas.microsoft.com/office/drawing/2014/main" id="{52FED834-7076-49EC-BA1A-1B50DDF2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158930</xdr:colOff>
      <xdr:row>8</xdr:row>
      <xdr:rowOff>63499</xdr:rowOff>
    </xdr:to>
    <xdr:pic>
      <xdr:nvPicPr>
        <xdr:cNvPr id="752" name="BEx1QZGQZBAWJ8591VXEIPUOVS7X" descr="MEW27CPIFG44B7E7HEQUUF5QF" hidden="1">
          <a:extLst>
            <a:ext uri="{FF2B5EF4-FFF2-40B4-BE49-F238E27FC236}">
              <a16:creationId xmlns:a16="http://schemas.microsoft.com/office/drawing/2014/main" id="{0F54FC8E-D53F-409C-97F9-E4EBCB98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19290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158930</xdr:colOff>
      <xdr:row>7</xdr:row>
      <xdr:rowOff>100696</xdr:rowOff>
    </xdr:to>
    <xdr:pic>
      <xdr:nvPicPr>
        <xdr:cNvPr id="753" name="BExMF7LICJLPXSHM63A6EQ79YQKG" descr="U084VZL15IMB1OFRRAY6GVKAE" hidden="1">
          <a:extLst>
            <a:ext uri="{FF2B5EF4-FFF2-40B4-BE49-F238E27FC236}">
              <a16:creationId xmlns:a16="http://schemas.microsoft.com/office/drawing/2014/main" id="{7A58A778-D2F1-44DE-A21F-CE93B70E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19290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158930</xdr:colOff>
      <xdr:row>6</xdr:row>
      <xdr:rowOff>162012</xdr:rowOff>
    </xdr:to>
    <xdr:pic>
      <xdr:nvPicPr>
        <xdr:cNvPr id="754" name="BExS343F8GCKP6HTF9Y97L133DX8" descr="ZRF0KB1IYQSNV63CTXT25G67G" hidden="1">
          <a:extLst>
            <a:ext uri="{FF2B5EF4-FFF2-40B4-BE49-F238E27FC236}">
              <a16:creationId xmlns:a16="http://schemas.microsoft.com/office/drawing/2014/main" id="{650465E0-EA47-4DCC-BD1C-A276D35E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158930</xdr:colOff>
      <xdr:row>6</xdr:row>
      <xdr:rowOff>12699</xdr:rowOff>
    </xdr:to>
    <xdr:pic>
      <xdr:nvPicPr>
        <xdr:cNvPr id="755" name="BExZMRC09W87CY4B73NPZMNH21AH" descr="78CUMI0OVLYJRSDRQ3V2YX812" hidden="1">
          <a:extLst>
            <a:ext uri="{FF2B5EF4-FFF2-40B4-BE49-F238E27FC236}">
              <a16:creationId xmlns:a16="http://schemas.microsoft.com/office/drawing/2014/main" id="{F594F076-820C-4319-866C-F83277CB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19290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158930</xdr:colOff>
      <xdr:row>5</xdr:row>
      <xdr:rowOff>100696</xdr:rowOff>
    </xdr:to>
    <xdr:pic>
      <xdr:nvPicPr>
        <xdr:cNvPr id="756" name="BExZXVFJ4DY4I24AARDT4AMP6EN1" descr="TXSMH2MTH86CYKA26740RQPUC" hidden="1">
          <a:extLst>
            <a:ext uri="{FF2B5EF4-FFF2-40B4-BE49-F238E27FC236}">
              <a16:creationId xmlns:a16="http://schemas.microsoft.com/office/drawing/2014/main" id="{695FEDEA-1F99-4250-B6BC-038E8B4CE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19290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158930</xdr:colOff>
      <xdr:row>4</xdr:row>
      <xdr:rowOff>165550</xdr:rowOff>
    </xdr:to>
    <xdr:pic>
      <xdr:nvPicPr>
        <xdr:cNvPr id="757" name="BExOCUIOFQWUGTBU5ESTW3EYEP5C" descr="9BNF49V0R6VVYPHEVMJ3ABDQZ" hidden="1">
          <a:extLst>
            <a:ext uri="{FF2B5EF4-FFF2-40B4-BE49-F238E27FC236}">
              <a16:creationId xmlns:a16="http://schemas.microsoft.com/office/drawing/2014/main" id="{8823004D-7E77-4D47-AAF8-DEBA6AADD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19290" cy="1424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158930</xdr:colOff>
      <xdr:row>4</xdr:row>
      <xdr:rowOff>24496</xdr:rowOff>
    </xdr:to>
    <xdr:pic>
      <xdr:nvPicPr>
        <xdr:cNvPr id="758" name="BExU65O9OE4B4MQ2A3OYH13M8BZJ" descr="3INNIMMPDBB0JF37L81M6ID21" hidden="1">
          <a:extLst>
            <a:ext uri="{FF2B5EF4-FFF2-40B4-BE49-F238E27FC236}">
              <a16:creationId xmlns:a16="http://schemas.microsoft.com/office/drawing/2014/main" id="{2E57EF1A-9F08-473F-A27F-DBC5FC99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19290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158930</xdr:colOff>
      <xdr:row>3</xdr:row>
      <xdr:rowOff>89803</xdr:rowOff>
    </xdr:to>
    <xdr:pic>
      <xdr:nvPicPr>
        <xdr:cNvPr id="759" name="BExOPRCR0UW7TKXSV5WDTL348FGL" descr="S9JM17GP1802LHN4GT14BJYIC" hidden="1">
          <a:extLst>
            <a:ext uri="{FF2B5EF4-FFF2-40B4-BE49-F238E27FC236}">
              <a16:creationId xmlns:a16="http://schemas.microsoft.com/office/drawing/2014/main" id="{6467A138-59A2-4E47-9B6C-14F5CB87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158930</xdr:colOff>
      <xdr:row>2</xdr:row>
      <xdr:rowOff>120831</xdr:rowOff>
    </xdr:to>
    <xdr:pic>
      <xdr:nvPicPr>
        <xdr:cNvPr id="760" name="BEx5OESAY2W8SEGI3TSB65EHJ04B" descr="9CN2Y88X8WYV1HWZG1QILY9BK" hidden="1">
          <a:extLst>
            <a:ext uri="{FF2B5EF4-FFF2-40B4-BE49-F238E27FC236}">
              <a16:creationId xmlns:a16="http://schemas.microsoft.com/office/drawing/2014/main" id="{8C12CBA9-6B60-49A6-B2BA-C705EB7F1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19290" cy="12019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158930</xdr:colOff>
      <xdr:row>2</xdr:row>
      <xdr:rowOff>12696</xdr:rowOff>
    </xdr:to>
    <xdr:pic>
      <xdr:nvPicPr>
        <xdr:cNvPr id="761" name="BExGMWEQ2BYRY9BAO5T1X850MJN1" descr="AZ9ST0XDIOP50HSUFO5V31BR0" hidden="1">
          <a:extLst>
            <a:ext uri="{FF2B5EF4-FFF2-40B4-BE49-F238E27FC236}">
              <a16:creationId xmlns:a16="http://schemas.microsoft.com/office/drawing/2014/main" id="{0D29047B-CDB2-481B-AF23-F20E0345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10</xdr:col>
      <xdr:colOff>28407</xdr:colOff>
      <xdr:row>78</xdr:row>
      <xdr:rowOff>82730</xdr:rowOff>
    </xdr:to>
    <xdr:pic>
      <xdr:nvPicPr>
        <xdr:cNvPr id="762" name="BExXRND8208TWULE9S50U89VKPB7" descr="ETUGZV0SKTQDQB8JOYY0DCX79" hidden="1">
          <a:extLst>
            <a:ext uri="{FF2B5EF4-FFF2-40B4-BE49-F238E27FC236}">
              <a16:creationId xmlns:a16="http://schemas.microsoft.com/office/drawing/2014/main" id="{F541B3B1-C627-4E4A-8A7B-3EF2DBD486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45934" cy="1445622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763" name="BExMO7VFCN4EL59982UR4AJ25JNJ" descr="XX6TINEJADZGKR0CTM7ZRT0RA" hidden="1">
          <a:extLst>
            <a:ext uri="{FF2B5EF4-FFF2-40B4-BE49-F238E27FC236}">
              <a16:creationId xmlns:a16="http://schemas.microsoft.com/office/drawing/2014/main" id="{B2FEB3C3-F1A2-4EC4-83C8-260A3B4E7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764" name="BExU3EX5JJCXCII4YKUJBFBGIJR2" descr="OF5ZI9PI5WH36VPANJ2DYLNMI" hidden="1">
          <a:extLst>
            <a:ext uri="{FF2B5EF4-FFF2-40B4-BE49-F238E27FC236}">
              <a16:creationId xmlns:a16="http://schemas.microsoft.com/office/drawing/2014/main" id="{3FBD8C92-FC77-4958-89B6-5CE53370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765" name="BEx1KD7H6UB1VYCJ7O61P562EIUY" descr="IQGV9140X0K0UPBL8OGU3I44J" hidden="1">
          <a:extLst>
            <a:ext uri="{FF2B5EF4-FFF2-40B4-BE49-F238E27FC236}">
              <a16:creationId xmlns:a16="http://schemas.microsoft.com/office/drawing/2014/main" id="{6B67C9B2-08A3-4D41-8C76-5D53A558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766" name="BEx5BJQWS6YWHH4ZMSUAMD641V6Y" descr="ZTMFMXCIQSECDX38ALEFHUB00" hidden="1">
          <a:extLst>
            <a:ext uri="{FF2B5EF4-FFF2-40B4-BE49-F238E27FC236}">
              <a16:creationId xmlns:a16="http://schemas.microsoft.com/office/drawing/2014/main" id="{0D44D6C9-E678-406F-8DAE-64DDD969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121280</xdr:colOff>
      <xdr:row>0</xdr:row>
      <xdr:rowOff>50799</xdr:rowOff>
    </xdr:to>
    <xdr:pic>
      <xdr:nvPicPr>
        <xdr:cNvPr id="767" name="BExVTO5Q8G2M7BPL4B2584LQS0R0" descr="OB6Q8NA4LZFE4GM9Y3V56BPMQ" hidden="1">
          <a:extLst>
            <a:ext uri="{FF2B5EF4-FFF2-40B4-BE49-F238E27FC236}">
              <a16:creationId xmlns:a16="http://schemas.microsoft.com/office/drawing/2014/main" id="{01F3372E-EA5E-43F6-9C32-4D64CB47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121280</xdr:colOff>
      <xdr:row>0</xdr:row>
      <xdr:rowOff>126999</xdr:rowOff>
    </xdr:to>
    <xdr:pic>
      <xdr:nvPicPr>
        <xdr:cNvPr id="768" name="BExIFSCLN1G86X78PFLTSMRP0US5" descr="9JK4SPV4DG7VTCZIILWHXQU5J" hidden="1">
          <a:extLst>
            <a:ext uri="{FF2B5EF4-FFF2-40B4-BE49-F238E27FC236}">
              <a16:creationId xmlns:a16="http://schemas.microsoft.com/office/drawing/2014/main" id="{86CF62B4-A07D-4302-8223-305420F9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769" name="BEx1I152WN2D3A85O2XN0DGXCWHN" descr="KHBZFMANRA4UMJR1AB4M5NJNT" hidden="1">
          <a:extLst>
            <a:ext uri="{FF2B5EF4-FFF2-40B4-BE49-F238E27FC236}">
              <a16:creationId xmlns:a16="http://schemas.microsoft.com/office/drawing/2014/main" id="{EA029CCD-A185-4509-AA34-A4476099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770" name="BExW9676P0SKCVKK25QCGHPA3PAD" descr="9A4PWZ20RMSRF0PNECCDM75CA" hidden="1">
          <a:extLst>
            <a:ext uri="{FF2B5EF4-FFF2-40B4-BE49-F238E27FC236}">
              <a16:creationId xmlns:a16="http://schemas.microsoft.com/office/drawing/2014/main" id="{4EF04EAE-1F62-43AF-B2B9-06D9ACD0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12696</xdr:rowOff>
    </xdr:to>
    <xdr:pic>
      <xdr:nvPicPr>
        <xdr:cNvPr id="771" name="BExW253QPOZK9KW8BJC3LBXGCG2N" descr="Y5HX37BEUWSN1NEFJKZJXI3SX" hidden="1">
          <a:extLst>
            <a:ext uri="{FF2B5EF4-FFF2-40B4-BE49-F238E27FC236}">
              <a16:creationId xmlns:a16="http://schemas.microsoft.com/office/drawing/2014/main" id="{47DC2981-88A6-488F-A4DF-288BF894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772" name="BExS5CPQ8P8JOQPK7ANNKHLSGOKU" hidden="1">
          <a:extLst>
            <a:ext uri="{FF2B5EF4-FFF2-40B4-BE49-F238E27FC236}">
              <a16:creationId xmlns:a16="http://schemas.microsoft.com/office/drawing/2014/main" id="{9155F9B7-BEC1-4244-A48E-349F1338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773" name="BExMM0AVUAIRNJLXB1FW8R0YB4ZZ" hidden="1">
          <a:extLst>
            <a:ext uri="{FF2B5EF4-FFF2-40B4-BE49-F238E27FC236}">
              <a16:creationId xmlns:a16="http://schemas.microsoft.com/office/drawing/2014/main" id="{B43D8E66-7A89-46C9-96B7-15E6FE67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774" name="BExXZ7Y09CBS0XA7IPB3IRJ8RJM4" hidden="1">
          <a:extLst>
            <a:ext uri="{FF2B5EF4-FFF2-40B4-BE49-F238E27FC236}">
              <a16:creationId xmlns:a16="http://schemas.microsoft.com/office/drawing/2014/main" id="{79C4A345-E464-4C0D-B8E0-7E3AEF40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775" name="BExQ7SXS9VUG7P6CACU2J7R2SGIZ" hidden="1">
          <a:extLst>
            <a:ext uri="{FF2B5EF4-FFF2-40B4-BE49-F238E27FC236}">
              <a16:creationId xmlns:a16="http://schemas.microsoft.com/office/drawing/2014/main" id="{BCBC3383-59C5-4F74-90ED-768AAC22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776" name="BEx5AQZ4ETQ9LMY5EBWVH20Z7VXQ" hidden="1">
          <a:extLst>
            <a:ext uri="{FF2B5EF4-FFF2-40B4-BE49-F238E27FC236}">
              <a16:creationId xmlns:a16="http://schemas.microsoft.com/office/drawing/2014/main" id="{025916EE-8D17-4F27-8FA1-B79D6DF9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777" name="BExUBK0YZ5VYFY8TTITJGJU9S06A" hidden="1">
          <a:extLst>
            <a:ext uri="{FF2B5EF4-FFF2-40B4-BE49-F238E27FC236}">
              <a16:creationId xmlns:a16="http://schemas.microsoft.com/office/drawing/2014/main" id="{2D9D5E09-06FB-45A0-B018-8A4F04D8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107769</xdr:colOff>
      <xdr:row>0</xdr:row>
      <xdr:rowOff>50799</xdr:rowOff>
    </xdr:to>
    <xdr:pic>
      <xdr:nvPicPr>
        <xdr:cNvPr id="778" name="BExUEZCSSJ7RN4J18I2NUIQR2FZS" hidden="1">
          <a:extLst>
            <a:ext uri="{FF2B5EF4-FFF2-40B4-BE49-F238E27FC236}">
              <a16:creationId xmlns:a16="http://schemas.microsoft.com/office/drawing/2014/main" id="{B96A2DC4-A093-46F1-AB0A-AAB0D8279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107769</xdr:colOff>
      <xdr:row>0</xdr:row>
      <xdr:rowOff>126999</xdr:rowOff>
    </xdr:to>
    <xdr:pic>
      <xdr:nvPicPr>
        <xdr:cNvPr id="779" name="BExS3JDQWF7U3F5JTEVOE16ASIYK" hidden="1">
          <a:extLst>
            <a:ext uri="{FF2B5EF4-FFF2-40B4-BE49-F238E27FC236}">
              <a16:creationId xmlns:a16="http://schemas.microsoft.com/office/drawing/2014/main" id="{D69DDD76-0F8B-46C0-8137-5E440712E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780" name="BEx973S463FCQVJ7QDFBUIU0WJ3F" descr="ZQTVYL8DCSADVT0QMRXFLU0TR" hidden="1">
          <a:extLst>
            <a:ext uri="{FF2B5EF4-FFF2-40B4-BE49-F238E27FC236}">
              <a16:creationId xmlns:a16="http://schemas.microsoft.com/office/drawing/2014/main" id="{37119C3C-11EE-4FBE-8FBD-8E4DB376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63499</xdr:rowOff>
    </xdr:to>
    <xdr:pic>
      <xdr:nvPicPr>
        <xdr:cNvPr id="781" name="BExRZO0PLWWMCLGRH7EH6UXYWGAJ" descr="9D4GQ34QB727H10MA3SSAR2R9" hidden="1">
          <a:extLst>
            <a:ext uri="{FF2B5EF4-FFF2-40B4-BE49-F238E27FC236}">
              <a16:creationId xmlns:a16="http://schemas.microsoft.com/office/drawing/2014/main" id="{3832F011-3DDF-47E3-BD53-A57E022FA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162469</xdr:rowOff>
    </xdr:to>
    <xdr:pic>
      <xdr:nvPicPr>
        <xdr:cNvPr id="782" name="BExBDP6HNAAJUM39SE5G2C8BKNRQ" descr="1TM64TL2QIMYV7WYSV2VLGXY4" hidden="1">
          <a:extLst>
            <a:ext uri="{FF2B5EF4-FFF2-40B4-BE49-F238E27FC236}">
              <a16:creationId xmlns:a16="http://schemas.microsoft.com/office/drawing/2014/main" id="{FE2BBE59-6B99-4FC4-966C-81C4F97D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70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123912</xdr:rowOff>
    </xdr:to>
    <xdr:pic>
      <xdr:nvPicPr>
        <xdr:cNvPr id="783" name="BExQEGJP61DL2NZY6LMBHBZ0J5YT" descr="D6ZNRZJ7EX4GZT9RO8LE0C905" hidden="1">
          <a:extLst>
            <a:ext uri="{FF2B5EF4-FFF2-40B4-BE49-F238E27FC236}">
              <a16:creationId xmlns:a16="http://schemas.microsoft.com/office/drawing/2014/main" id="{C904CEC2-1944-4A2F-ABC8-46BD9D681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62596</xdr:rowOff>
    </xdr:to>
    <xdr:pic>
      <xdr:nvPicPr>
        <xdr:cNvPr id="784" name="BExTY1BCS6HZIF6HI5491FGHDVAE" descr="MJ6976KI2UH1IE8M227DUYXMJ" hidden="1">
          <a:extLst>
            <a:ext uri="{FF2B5EF4-FFF2-40B4-BE49-F238E27FC236}">
              <a16:creationId xmlns:a16="http://schemas.microsoft.com/office/drawing/2014/main" id="{8C667520-8B64-47CE-99BB-A62E437D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785" name="BEx5FXJGJOT93D0J2IRJ3985IUMI" hidden="1">
          <a:extLst>
            <a:ext uri="{FF2B5EF4-FFF2-40B4-BE49-F238E27FC236}">
              <a16:creationId xmlns:a16="http://schemas.microsoft.com/office/drawing/2014/main" id="{4D45F4C5-DB37-4713-9AE8-523CCBA5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50799</xdr:rowOff>
    </xdr:to>
    <xdr:pic>
      <xdr:nvPicPr>
        <xdr:cNvPr id="786" name="BEx3RTMHAR35NUAAK49TV6NU7EPA" descr="QFXLG4ZCXTRQSJYFCKJ58G9N8" hidden="1">
          <a:extLst>
            <a:ext uri="{FF2B5EF4-FFF2-40B4-BE49-F238E27FC236}">
              <a16:creationId xmlns:a16="http://schemas.microsoft.com/office/drawing/2014/main" id="{E39BB1FE-E98F-437C-9FF0-FC8BC2B5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89803</xdr:rowOff>
    </xdr:to>
    <xdr:pic>
      <xdr:nvPicPr>
        <xdr:cNvPr id="787" name="BExS8T38WLC2R738ZC7BDJQAKJAJ" descr="MRI962L5PB0E0YWXCIBN82VJH" hidden="1">
          <a:extLst>
            <a:ext uri="{FF2B5EF4-FFF2-40B4-BE49-F238E27FC236}">
              <a16:creationId xmlns:a16="http://schemas.microsoft.com/office/drawing/2014/main" id="{B5BE0D32-C742-4E60-96CB-5ECBD3F2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788" name="BEx5F64BJ6DCM4EJH81D5ZFNPZ0V" descr="7DJ9FILZD2YPS6X1JBP9E76TU" hidden="1">
          <a:extLst>
            <a:ext uri="{FF2B5EF4-FFF2-40B4-BE49-F238E27FC236}">
              <a16:creationId xmlns:a16="http://schemas.microsoft.com/office/drawing/2014/main" id="{3E2F8FF9-F3CD-4094-9428-71556BBD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789" name="BExQEXXHA3EEXR44LT6RKCDWM6ZT" hidden="1">
          <a:extLst>
            <a:ext uri="{FF2B5EF4-FFF2-40B4-BE49-F238E27FC236}">
              <a16:creationId xmlns:a16="http://schemas.microsoft.com/office/drawing/2014/main" id="{B4AB3FC1-A677-41BF-99AD-198D1D85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165549</xdr:rowOff>
    </xdr:to>
    <xdr:pic>
      <xdr:nvPicPr>
        <xdr:cNvPr id="790" name="BEx1X6AMHV6ZK3UJB2BXIJTJHYJU" descr="OALR4L95ELQLZ1Y1LETHM1CS9" hidden="1">
          <a:extLst>
            <a:ext uri="{FF2B5EF4-FFF2-40B4-BE49-F238E27FC236}">
              <a16:creationId xmlns:a16="http://schemas.microsoft.com/office/drawing/2014/main" id="{E7408275-8EFA-4389-8321-099010D23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50799</xdr:rowOff>
    </xdr:to>
    <xdr:pic>
      <xdr:nvPicPr>
        <xdr:cNvPr id="791" name="BExSDIVCE09QKG3CT52PHCS6ZJ09" descr="9F076L7EQCF2COMMGCQG6BQGU" hidden="1">
          <a:extLst>
            <a:ext uri="{FF2B5EF4-FFF2-40B4-BE49-F238E27FC236}">
              <a16:creationId xmlns:a16="http://schemas.microsoft.com/office/drawing/2014/main" id="{D1201293-2987-4066-AACF-4F90F56A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63499</xdr:rowOff>
    </xdr:to>
    <xdr:pic>
      <xdr:nvPicPr>
        <xdr:cNvPr id="792" name="BEx1QZGQZBAWJ8591VXEIPUOVS7X" descr="MEW27CPIFG44B7E7HEQUUF5QF" hidden="1">
          <a:extLst>
            <a:ext uri="{FF2B5EF4-FFF2-40B4-BE49-F238E27FC236}">
              <a16:creationId xmlns:a16="http://schemas.microsoft.com/office/drawing/2014/main" id="{9341D678-90D4-4721-ACF1-D95E9CB5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100696</xdr:rowOff>
    </xdr:to>
    <xdr:pic>
      <xdr:nvPicPr>
        <xdr:cNvPr id="793" name="BExMF7LICJLPXSHM63A6EQ79YQKG" descr="U084VZL15IMB1OFRRAY6GVKAE" hidden="1">
          <a:extLst>
            <a:ext uri="{FF2B5EF4-FFF2-40B4-BE49-F238E27FC236}">
              <a16:creationId xmlns:a16="http://schemas.microsoft.com/office/drawing/2014/main" id="{098A2F05-1032-4E93-B59C-D4C62A01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162012</xdr:rowOff>
    </xdr:to>
    <xdr:pic>
      <xdr:nvPicPr>
        <xdr:cNvPr id="794" name="BExS343F8GCKP6HTF9Y97L133DX8" descr="ZRF0KB1IYQSNV63CTXT25G67G" hidden="1">
          <a:extLst>
            <a:ext uri="{FF2B5EF4-FFF2-40B4-BE49-F238E27FC236}">
              <a16:creationId xmlns:a16="http://schemas.microsoft.com/office/drawing/2014/main" id="{D24D980A-BB17-42B4-B55C-986ED0BA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795" name="BExZMRC09W87CY4B73NPZMNH21AH" descr="78CUMI0OVLYJRSDRQ3V2YX812" hidden="1">
          <a:extLst>
            <a:ext uri="{FF2B5EF4-FFF2-40B4-BE49-F238E27FC236}">
              <a16:creationId xmlns:a16="http://schemas.microsoft.com/office/drawing/2014/main" id="{F1310B94-98B9-40E5-B0A3-B37F60174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100696</xdr:rowOff>
    </xdr:to>
    <xdr:pic>
      <xdr:nvPicPr>
        <xdr:cNvPr id="796" name="BExZXVFJ4DY4I24AARDT4AMP6EN1" descr="TXSMH2MTH86CYKA26740RQPUC" hidden="1">
          <a:extLst>
            <a:ext uri="{FF2B5EF4-FFF2-40B4-BE49-F238E27FC236}">
              <a16:creationId xmlns:a16="http://schemas.microsoft.com/office/drawing/2014/main" id="{FF4DE53C-B8FF-466B-BA80-C7DB04ED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165549</xdr:rowOff>
    </xdr:to>
    <xdr:pic>
      <xdr:nvPicPr>
        <xdr:cNvPr id="797" name="BExOCUIOFQWUGTBU5ESTW3EYEP5C" descr="9BNF49V0R6VVYPHEVMJ3ABDQZ" hidden="1">
          <a:extLst>
            <a:ext uri="{FF2B5EF4-FFF2-40B4-BE49-F238E27FC236}">
              <a16:creationId xmlns:a16="http://schemas.microsoft.com/office/drawing/2014/main" id="{1405C81D-EAF4-4ABB-A0AA-11DCB0FE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24496</xdr:rowOff>
    </xdr:to>
    <xdr:pic>
      <xdr:nvPicPr>
        <xdr:cNvPr id="798" name="BExU65O9OE4B4MQ2A3OYH13M8BZJ" descr="3INNIMMPDBB0JF37L81M6ID21" hidden="1">
          <a:extLst>
            <a:ext uri="{FF2B5EF4-FFF2-40B4-BE49-F238E27FC236}">
              <a16:creationId xmlns:a16="http://schemas.microsoft.com/office/drawing/2014/main" id="{75772547-860F-4FF9-8937-9C3EAF85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89803</xdr:rowOff>
    </xdr:to>
    <xdr:pic>
      <xdr:nvPicPr>
        <xdr:cNvPr id="799" name="BExOPRCR0UW7TKXSV5WDTL348FGL" descr="S9JM17GP1802LHN4GT14BJYIC" hidden="1">
          <a:extLst>
            <a:ext uri="{FF2B5EF4-FFF2-40B4-BE49-F238E27FC236}">
              <a16:creationId xmlns:a16="http://schemas.microsoft.com/office/drawing/2014/main" id="{7916D01C-366D-496F-A271-2C62456CF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800" name="BEx5OESAY2W8SEGI3TSB65EHJ04B" descr="9CN2Y88X8WYV1HWZG1QILY9BK" hidden="1">
          <a:extLst>
            <a:ext uri="{FF2B5EF4-FFF2-40B4-BE49-F238E27FC236}">
              <a16:creationId xmlns:a16="http://schemas.microsoft.com/office/drawing/2014/main" id="{FC7AC07E-2DD9-434C-B7E5-6A5998051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801" name="BExGMWEQ2BYRY9BAO5T1X850MJN1" descr="AZ9ST0XDIOP50HSUFO5V31BR0" hidden="1">
          <a:extLst>
            <a:ext uri="{FF2B5EF4-FFF2-40B4-BE49-F238E27FC236}">
              <a16:creationId xmlns:a16="http://schemas.microsoft.com/office/drawing/2014/main" id="{A251EDD6-939B-4476-A73D-9F794F27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02" name="BExMO7VFCN4EL59982UR4AJ25JNJ" descr="XX6TINEJADZGKR0CTM7ZRT0RA" hidden="1">
          <a:extLst>
            <a:ext uri="{FF2B5EF4-FFF2-40B4-BE49-F238E27FC236}">
              <a16:creationId xmlns:a16="http://schemas.microsoft.com/office/drawing/2014/main" id="{B45B2290-46CA-4A42-8A50-716830F8E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03" name="BExU3EX5JJCXCII4YKUJBFBGIJR2" descr="OF5ZI9PI5WH36VPANJ2DYLNMI" hidden="1">
          <a:extLst>
            <a:ext uri="{FF2B5EF4-FFF2-40B4-BE49-F238E27FC236}">
              <a16:creationId xmlns:a16="http://schemas.microsoft.com/office/drawing/2014/main" id="{A4154730-381C-47A0-BC3E-E008A87C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804" name="BEx1KD7H6UB1VYCJ7O61P562EIUY" descr="IQGV9140X0K0UPBL8OGU3I44J" hidden="1">
          <a:extLst>
            <a:ext uri="{FF2B5EF4-FFF2-40B4-BE49-F238E27FC236}">
              <a16:creationId xmlns:a16="http://schemas.microsoft.com/office/drawing/2014/main" id="{DBF216A2-BF39-44A8-AB6D-FEB980A0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805" name="BEx5BJQWS6YWHH4ZMSUAMD641V6Y" descr="ZTMFMXCIQSECDX38ALEFHUB00" hidden="1">
          <a:extLst>
            <a:ext uri="{FF2B5EF4-FFF2-40B4-BE49-F238E27FC236}">
              <a16:creationId xmlns:a16="http://schemas.microsoft.com/office/drawing/2014/main" id="{4F708061-E4CA-44AF-877B-91C3469DF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139697</xdr:colOff>
      <xdr:row>0</xdr:row>
      <xdr:rowOff>50799</xdr:rowOff>
    </xdr:to>
    <xdr:pic>
      <xdr:nvPicPr>
        <xdr:cNvPr id="806" name="BExVTO5Q8G2M7BPL4B2584LQS0R0" descr="OB6Q8NA4LZFE4GM9Y3V56BPMQ" hidden="1">
          <a:extLst>
            <a:ext uri="{FF2B5EF4-FFF2-40B4-BE49-F238E27FC236}">
              <a16:creationId xmlns:a16="http://schemas.microsoft.com/office/drawing/2014/main" id="{0CCE2979-9B98-4974-A306-2C4353E90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139697</xdr:colOff>
      <xdr:row>0</xdr:row>
      <xdr:rowOff>126999</xdr:rowOff>
    </xdr:to>
    <xdr:pic>
      <xdr:nvPicPr>
        <xdr:cNvPr id="807" name="BExIFSCLN1G86X78PFLTSMRP0US5" descr="9JK4SPV4DG7VTCZIILWHXQU5J" hidden="1">
          <a:extLst>
            <a:ext uri="{FF2B5EF4-FFF2-40B4-BE49-F238E27FC236}">
              <a16:creationId xmlns:a16="http://schemas.microsoft.com/office/drawing/2014/main" id="{7713EBE5-9D33-4C5B-AC71-206D3EE9D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08" name="BEx1I152WN2D3A85O2XN0DGXCWHN" descr="KHBZFMANRA4UMJR1AB4M5NJNT" hidden="1">
          <a:extLst>
            <a:ext uri="{FF2B5EF4-FFF2-40B4-BE49-F238E27FC236}">
              <a16:creationId xmlns:a16="http://schemas.microsoft.com/office/drawing/2014/main" id="{A2FEE931-9806-400F-AEE3-AE61C98D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09" name="BExW9676P0SKCVKK25QCGHPA3PAD" descr="9A4PWZ20RMSRF0PNECCDM75CA" hidden="1">
          <a:extLst>
            <a:ext uri="{FF2B5EF4-FFF2-40B4-BE49-F238E27FC236}">
              <a16:creationId xmlns:a16="http://schemas.microsoft.com/office/drawing/2014/main" id="{6CA34946-56DB-4F1B-B211-315206131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24946</xdr:rowOff>
    </xdr:to>
    <xdr:pic>
      <xdr:nvPicPr>
        <xdr:cNvPr id="810" name="BExW253QPOZK9KW8BJC3LBXGCG2N" descr="Y5HX37BEUWSN1NEFJKZJXI3SX" hidden="1">
          <a:extLst>
            <a:ext uri="{FF2B5EF4-FFF2-40B4-BE49-F238E27FC236}">
              <a16:creationId xmlns:a16="http://schemas.microsoft.com/office/drawing/2014/main" id="{D5572713-BA69-46D8-BAB9-49147057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11" name="BExS5CPQ8P8JOQPK7ANNKHLSGOKU" hidden="1">
          <a:extLst>
            <a:ext uri="{FF2B5EF4-FFF2-40B4-BE49-F238E27FC236}">
              <a16:creationId xmlns:a16="http://schemas.microsoft.com/office/drawing/2014/main" id="{0FE24844-2D0C-4782-B5E6-7D0D4C81F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12" name="BExMM0AVUAIRNJLXB1FW8R0YB4ZZ" hidden="1">
          <a:extLst>
            <a:ext uri="{FF2B5EF4-FFF2-40B4-BE49-F238E27FC236}">
              <a16:creationId xmlns:a16="http://schemas.microsoft.com/office/drawing/2014/main" id="{20E883EB-87D3-4D74-9F71-A4013DD39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13" name="BExXZ7Y09CBS0XA7IPB3IRJ8RJM4" hidden="1">
          <a:extLst>
            <a:ext uri="{FF2B5EF4-FFF2-40B4-BE49-F238E27FC236}">
              <a16:creationId xmlns:a16="http://schemas.microsoft.com/office/drawing/2014/main" id="{4E568E4B-F12A-4E06-8817-F4E5266E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14" name="BExQ7SXS9VUG7P6CACU2J7R2SGIZ" hidden="1">
          <a:extLst>
            <a:ext uri="{FF2B5EF4-FFF2-40B4-BE49-F238E27FC236}">
              <a16:creationId xmlns:a16="http://schemas.microsoft.com/office/drawing/2014/main" id="{43207E30-2A19-4BA6-AD42-3E1FA1A9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815" name="BEx5AQZ4ETQ9LMY5EBWVH20Z7VXQ" hidden="1">
          <a:extLst>
            <a:ext uri="{FF2B5EF4-FFF2-40B4-BE49-F238E27FC236}">
              <a16:creationId xmlns:a16="http://schemas.microsoft.com/office/drawing/2014/main" id="{3E603444-B245-4CB7-A8BF-62EE09E18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816" name="BExUBK0YZ5VYFY8TTITJGJU9S06A" hidden="1">
          <a:extLst>
            <a:ext uri="{FF2B5EF4-FFF2-40B4-BE49-F238E27FC236}">
              <a16:creationId xmlns:a16="http://schemas.microsoft.com/office/drawing/2014/main" id="{9C275DA8-A96D-4E09-BA08-EAF33119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107769</xdr:colOff>
      <xdr:row>0</xdr:row>
      <xdr:rowOff>50799</xdr:rowOff>
    </xdr:to>
    <xdr:pic>
      <xdr:nvPicPr>
        <xdr:cNvPr id="817" name="BExUEZCSSJ7RN4J18I2NUIQR2FZS" hidden="1">
          <a:extLst>
            <a:ext uri="{FF2B5EF4-FFF2-40B4-BE49-F238E27FC236}">
              <a16:creationId xmlns:a16="http://schemas.microsoft.com/office/drawing/2014/main" id="{E0DDD375-B451-47B4-B7F2-CD54FA74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107769</xdr:colOff>
      <xdr:row>0</xdr:row>
      <xdr:rowOff>126999</xdr:rowOff>
    </xdr:to>
    <xdr:pic>
      <xdr:nvPicPr>
        <xdr:cNvPr id="818" name="BExS3JDQWF7U3F5JTEVOE16ASIYK" hidden="1">
          <a:extLst>
            <a:ext uri="{FF2B5EF4-FFF2-40B4-BE49-F238E27FC236}">
              <a16:creationId xmlns:a16="http://schemas.microsoft.com/office/drawing/2014/main" id="{EDDFC9BD-0667-4236-B462-68109C0B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819" name="BEx973S463FCQVJ7QDFBUIU0WJ3F" descr="ZQTVYL8DCSADVT0QMRXFLU0TR" hidden="1">
          <a:extLst>
            <a:ext uri="{FF2B5EF4-FFF2-40B4-BE49-F238E27FC236}">
              <a16:creationId xmlns:a16="http://schemas.microsoft.com/office/drawing/2014/main" id="{0388F9A2-A1C0-44CE-BCCF-E586C0469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63045</xdr:rowOff>
    </xdr:to>
    <xdr:pic>
      <xdr:nvPicPr>
        <xdr:cNvPr id="820" name="BExRZO0PLWWMCLGRH7EH6UXYWGAJ" descr="9D4GQ34QB727H10MA3SSAR2R9" hidden="1">
          <a:extLst>
            <a:ext uri="{FF2B5EF4-FFF2-40B4-BE49-F238E27FC236}">
              <a16:creationId xmlns:a16="http://schemas.microsoft.com/office/drawing/2014/main" id="{CA674AFB-02BE-41CD-8D71-124D6057B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162469</xdr:rowOff>
    </xdr:to>
    <xdr:pic>
      <xdr:nvPicPr>
        <xdr:cNvPr id="821" name="BExBDP6HNAAJUM39SE5G2C8BKNRQ" descr="1TM64TL2QIMYV7WYSV2VLGXY4" hidden="1">
          <a:extLst>
            <a:ext uri="{FF2B5EF4-FFF2-40B4-BE49-F238E27FC236}">
              <a16:creationId xmlns:a16="http://schemas.microsoft.com/office/drawing/2014/main" id="{538EFF9C-7386-4490-9629-54D2DC1C3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70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139246</xdr:rowOff>
    </xdr:to>
    <xdr:pic>
      <xdr:nvPicPr>
        <xdr:cNvPr id="822" name="BExQEGJP61DL2NZY6LMBHBZ0J5YT" descr="D6ZNRZJ7EX4GZT9RO8LE0C905" hidden="1">
          <a:extLst>
            <a:ext uri="{FF2B5EF4-FFF2-40B4-BE49-F238E27FC236}">
              <a16:creationId xmlns:a16="http://schemas.microsoft.com/office/drawing/2014/main" id="{3246EFD8-09D3-4601-82B2-8D713041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51255</xdr:rowOff>
    </xdr:to>
    <xdr:pic>
      <xdr:nvPicPr>
        <xdr:cNvPr id="823" name="BExTY1BCS6HZIF6HI5491FGHDVAE" descr="MJ6976KI2UH1IE8M227DUYXMJ" hidden="1">
          <a:extLst>
            <a:ext uri="{FF2B5EF4-FFF2-40B4-BE49-F238E27FC236}">
              <a16:creationId xmlns:a16="http://schemas.microsoft.com/office/drawing/2014/main" id="{490B401F-3F28-4063-8A76-E3F9D7A8D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24" name="BEx5FXJGJOT93D0J2IRJ3985IUMI" hidden="1">
          <a:extLst>
            <a:ext uri="{FF2B5EF4-FFF2-40B4-BE49-F238E27FC236}">
              <a16:creationId xmlns:a16="http://schemas.microsoft.com/office/drawing/2014/main" id="{EFC83C4A-C20D-4DA7-AEE5-214342BD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825" name="BEx3RTMHAR35NUAAK49TV6NU7EPA" descr="QFXLG4ZCXTRQSJYFCKJ58G9N8" hidden="1">
          <a:extLst>
            <a:ext uri="{FF2B5EF4-FFF2-40B4-BE49-F238E27FC236}">
              <a16:creationId xmlns:a16="http://schemas.microsoft.com/office/drawing/2014/main" id="{4F6E3877-C02C-4CB7-839B-BE2DEC8B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101146</xdr:rowOff>
    </xdr:to>
    <xdr:pic>
      <xdr:nvPicPr>
        <xdr:cNvPr id="826" name="BExS8T38WLC2R738ZC7BDJQAKJAJ" descr="MRI962L5PB0E0YWXCIBN82VJH" hidden="1">
          <a:extLst>
            <a:ext uri="{FF2B5EF4-FFF2-40B4-BE49-F238E27FC236}">
              <a16:creationId xmlns:a16="http://schemas.microsoft.com/office/drawing/2014/main" id="{7CB6876B-FECA-4235-8294-3EFD639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27" name="BEx5F64BJ6DCM4EJH81D5ZFNPZ0V" descr="7DJ9FILZD2YPS6X1JBP9E76TU" hidden="1">
          <a:extLst>
            <a:ext uri="{FF2B5EF4-FFF2-40B4-BE49-F238E27FC236}">
              <a16:creationId xmlns:a16="http://schemas.microsoft.com/office/drawing/2014/main" id="{4311F93E-0A23-4935-9DEE-909191B92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28" name="BExQEXXHA3EEXR44LT6RKCDWM6ZT" hidden="1">
          <a:extLst>
            <a:ext uri="{FF2B5EF4-FFF2-40B4-BE49-F238E27FC236}">
              <a16:creationId xmlns:a16="http://schemas.microsoft.com/office/drawing/2014/main" id="{5C54B917-3F87-4F7D-BB22-E2156F5E5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165549</xdr:rowOff>
    </xdr:to>
    <xdr:pic>
      <xdr:nvPicPr>
        <xdr:cNvPr id="829" name="BEx1X6AMHV6ZK3UJB2BXIJTJHYJU" descr="OALR4L95ELQLZ1Y1LETHM1CS9" hidden="1">
          <a:extLst>
            <a:ext uri="{FF2B5EF4-FFF2-40B4-BE49-F238E27FC236}">
              <a16:creationId xmlns:a16="http://schemas.microsoft.com/office/drawing/2014/main" id="{C1EC0D75-1F0E-48AD-9CF5-2A625764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830" name="BExSDIVCE09QKG3CT52PHCS6ZJ09" descr="9F076L7EQCF2COMMGCQG6BQGU" hidden="1">
          <a:extLst>
            <a:ext uri="{FF2B5EF4-FFF2-40B4-BE49-F238E27FC236}">
              <a16:creationId xmlns:a16="http://schemas.microsoft.com/office/drawing/2014/main" id="{E520BEDD-12C4-474B-8C90-734749DF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63045</xdr:rowOff>
    </xdr:to>
    <xdr:pic>
      <xdr:nvPicPr>
        <xdr:cNvPr id="831" name="BEx1QZGQZBAWJ8591VXEIPUOVS7X" descr="MEW27CPIFG44B7E7HEQUUF5QF" hidden="1">
          <a:extLst>
            <a:ext uri="{FF2B5EF4-FFF2-40B4-BE49-F238E27FC236}">
              <a16:creationId xmlns:a16="http://schemas.microsoft.com/office/drawing/2014/main" id="{0D879FFC-6028-41B5-BCC2-EB0402F0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89355</xdr:rowOff>
    </xdr:to>
    <xdr:pic>
      <xdr:nvPicPr>
        <xdr:cNvPr id="832" name="BExMF7LICJLPXSHM63A6EQ79YQKG" descr="U084VZL15IMB1OFRRAY6GVKAE" hidden="1">
          <a:extLst>
            <a:ext uri="{FF2B5EF4-FFF2-40B4-BE49-F238E27FC236}">
              <a16:creationId xmlns:a16="http://schemas.microsoft.com/office/drawing/2014/main" id="{1DCC64E1-C232-408C-B6F8-663E821F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177346</xdr:rowOff>
    </xdr:to>
    <xdr:pic>
      <xdr:nvPicPr>
        <xdr:cNvPr id="833" name="BExS343F8GCKP6HTF9Y97L133DX8" descr="ZRF0KB1IYQSNV63CTXT25G67G" hidden="1">
          <a:extLst>
            <a:ext uri="{FF2B5EF4-FFF2-40B4-BE49-F238E27FC236}">
              <a16:creationId xmlns:a16="http://schemas.microsoft.com/office/drawing/2014/main" id="{56258AE0-319E-497F-9109-66DA1B101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834" name="BExZMRC09W87CY4B73NPZMNH21AH" descr="78CUMI0OVLYJRSDRQ3V2YX812" hidden="1">
          <a:extLst>
            <a:ext uri="{FF2B5EF4-FFF2-40B4-BE49-F238E27FC236}">
              <a16:creationId xmlns:a16="http://schemas.microsoft.com/office/drawing/2014/main" id="{7191BA24-0737-4F9D-AFE5-2ED6AF91D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89355</xdr:rowOff>
    </xdr:to>
    <xdr:pic>
      <xdr:nvPicPr>
        <xdr:cNvPr id="835" name="BExZXVFJ4DY4I24AARDT4AMP6EN1" descr="TXSMH2MTH86CYKA26740RQPUC" hidden="1">
          <a:extLst>
            <a:ext uri="{FF2B5EF4-FFF2-40B4-BE49-F238E27FC236}">
              <a16:creationId xmlns:a16="http://schemas.microsoft.com/office/drawing/2014/main" id="{4537D1D1-75E8-44AF-A56C-0634A56D8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165549</xdr:rowOff>
    </xdr:to>
    <xdr:pic>
      <xdr:nvPicPr>
        <xdr:cNvPr id="836" name="BExOCUIOFQWUGTBU5ESTW3EYEP5C" descr="9BNF49V0R6VVYPHEVMJ3ABDQZ" hidden="1">
          <a:extLst>
            <a:ext uri="{FF2B5EF4-FFF2-40B4-BE49-F238E27FC236}">
              <a16:creationId xmlns:a16="http://schemas.microsoft.com/office/drawing/2014/main" id="{FDAB031B-DAF2-4A0A-AADF-8A8E7BA8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13155</xdr:rowOff>
    </xdr:to>
    <xdr:pic>
      <xdr:nvPicPr>
        <xdr:cNvPr id="837" name="BExU65O9OE4B4MQ2A3OYH13M8BZJ" descr="3INNIMMPDBB0JF37L81M6ID21" hidden="1">
          <a:extLst>
            <a:ext uri="{FF2B5EF4-FFF2-40B4-BE49-F238E27FC236}">
              <a16:creationId xmlns:a16="http://schemas.microsoft.com/office/drawing/2014/main" id="{FBB81438-B782-40AB-B39D-A2E04835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101146</xdr:rowOff>
    </xdr:to>
    <xdr:pic>
      <xdr:nvPicPr>
        <xdr:cNvPr id="838" name="BExOPRCR0UW7TKXSV5WDTL348FGL" descr="S9JM17GP1802LHN4GT14BJYIC" hidden="1">
          <a:extLst>
            <a:ext uri="{FF2B5EF4-FFF2-40B4-BE49-F238E27FC236}">
              <a16:creationId xmlns:a16="http://schemas.microsoft.com/office/drawing/2014/main" id="{B8745169-B7FB-41CC-B4F9-473CF738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839" name="BEx5OESAY2W8SEGI3TSB65EHJ04B" descr="9CN2Y88X8WYV1HWZG1QILY9BK" hidden="1">
          <a:extLst>
            <a:ext uri="{FF2B5EF4-FFF2-40B4-BE49-F238E27FC236}">
              <a16:creationId xmlns:a16="http://schemas.microsoft.com/office/drawing/2014/main" id="{19FF6A51-A40D-43B2-B8B1-8858CA03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40" name="BExGMWEQ2BYRY9BAO5T1X850MJN1" descr="AZ9ST0XDIOP50HSUFO5V31BR0" hidden="1">
          <a:extLst>
            <a:ext uri="{FF2B5EF4-FFF2-40B4-BE49-F238E27FC236}">
              <a16:creationId xmlns:a16="http://schemas.microsoft.com/office/drawing/2014/main" id="{C8955FA8-4046-454E-A112-2331ACF3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41" name="BExMO7VFCN4EL59982UR4AJ25JNJ" descr="XX6TINEJADZGKR0CTM7ZRT0RA" hidden="1">
          <a:extLst>
            <a:ext uri="{FF2B5EF4-FFF2-40B4-BE49-F238E27FC236}">
              <a16:creationId xmlns:a16="http://schemas.microsoft.com/office/drawing/2014/main" id="{8AE57ACF-61DA-453A-B07F-0E35CCFD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42" name="BExU3EX5JJCXCII4YKUJBFBGIJR2" descr="OF5ZI9PI5WH36VPANJ2DYLNMI" hidden="1">
          <a:extLst>
            <a:ext uri="{FF2B5EF4-FFF2-40B4-BE49-F238E27FC236}">
              <a16:creationId xmlns:a16="http://schemas.microsoft.com/office/drawing/2014/main" id="{457B8AEE-D3D0-4B8F-8394-8D7B6366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843" name="BEx1KD7H6UB1VYCJ7O61P562EIUY" descr="IQGV9140X0K0UPBL8OGU3I44J" hidden="1">
          <a:extLst>
            <a:ext uri="{FF2B5EF4-FFF2-40B4-BE49-F238E27FC236}">
              <a16:creationId xmlns:a16="http://schemas.microsoft.com/office/drawing/2014/main" id="{8A9EA5FF-3677-4F30-AAFB-5F027D800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844" name="BEx5BJQWS6YWHH4ZMSUAMD641V6Y" descr="ZTMFMXCIQSECDX38ALEFHUB00" hidden="1">
          <a:extLst>
            <a:ext uri="{FF2B5EF4-FFF2-40B4-BE49-F238E27FC236}">
              <a16:creationId xmlns:a16="http://schemas.microsoft.com/office/drawing/2014/main" id="{ABB485C3-1B6F-48C8-BD32-DEEE3968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139697</xdr:colOff>
      <xdr:row>0</xdr:row>
      <xdr:rowOff>50799</xdr:rowOff>
    </xdr:to>
    <xdr:pic>
      <xdr:nvPicPr>
        <xdr:cNvPr id="845" name="BExVTO5Q8G2M7BPL4B2584LQS0R0" descr="OB6Q8NA4LZFE4GM9Y3V56BPMQ" hidden="1">
          <a:extLst>
            <a:ext uri="{FF2B5EF4-FFF2-40B4-BE49-F238E27FC236}">
              <a16:creationId xmlns:a16="http://schemas.microsoft.com/office/drawing/2014/main" id="{C5876485-10B0-4401-97A6-4BE799E9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139697</xdr:colOff>
      <xdr:row>0</xdr:row>
      <xdr:rowOff>126999</xdr:rowOff>
    </xdr:to>
    <xdr:pic>
      <xdr:nvPicPr>
        <xdr:cNvPr id="846" name="BExIFSCLN1G86X78PFLTSMRP0US5" descr="9JK4SPV4DG7VTCZIILWHXQU5J" hidden="1">
          <a:extLst>
            <a:ext uri="{FF2B5EF4-FFF2-40B4-BE49-F238E27FC236}">
              <a16:creationId xmlns:a16="http://schemas.microsoft.com/office/drawing/2014/main" id="{BFBC3C4F-ADE7-4A90-A07F-138FABBE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47" name="BEx1I152WN2D3A85O2XN0DGXCWHN" descr="KHBZFMANRA4UMJR1AB4M5NJNT" hidden="1">
          <a:extLst>
            <a:ext uri="{FF2B5EF4-FFF2-40B4-BE49-F238E27FC236}">
              <a16:creationId xmlns:a16="http://schemas.microsoft.com/office/drawing/2014/main" id="{99641D3D-72ED-4CEE-A829-F7A7DFA9C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48" name="BExW9676P0SKCVKK25QCGHPA3PAD" descr="9A4PWZ20RMSRF0PNECCDM75CA" hidden="1">
          <a:extLst>
            <a:ext uri="{FF2B5EF4-FFF2-40B4-BE49-F238E27FC236}">
              <a16:creationId xmlns:a16="http://schemas.microsoft.com/office/drawing/2014/main" id="{34B77513-C7BE-4BB5-BFB1-9400D053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24946</xdr:rowOff>
    </xdr:to>
    <xdr:pic>
      <xdr:nvPicPr>
        <xdr:cNvPr id="849" name="BExW253QPOZK9KW8BJC3LBXGCG2N" descr="Y5HX37BEUWSN1NEFJKZJXI3SX" hidden="1">
          <a:extLst>
            <a:ext uri="{FF2B5EF4-FFF2-40B4-BE49-F238E27FC236}">
              <a16:creationId xmlns:a16="http://schemas.microsoft.com/office/drawing/2014/main" id="{5D26F995-D453-4C7C-ABDE-FC0919D75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50" name="BExS5CPQ8P8JOQPK7ANNKHLSGOKU" hidden="1">
          <a:extLst>
            <a:ext uri="{FF2B5EF4-FFF2-40B4-BE49-F238E27FC236}">
              <a16:creationId xmlns:a16="http://schemas.microsoft.com/office/drawing/2014/main" id="{5736ED11-8763-427D-8C58-450C7369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51" name="BExMM0AVUAIRNJLXB1FW8R0YB4ZZ" hidden="1">
          <a:extLst>
            <a:ext uri="{FF2B5EF4-FFF2-40B4-BE49-F238E27FC236}">
              <a16:creationId xmlns:a16="http://schemas.microsoft.com/office/drawing/2014/main" id="{5E888E5A-07C9-4BDB-B98F-BACB61783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852" name="BExXZ7Y09CBS0XA7IPB3IRJ8RJM4" hidden="1">
          <a:extLst>
            <a:ext uri="{FF2B5EF4-FFF2-40B4-BE49-F238E27FC236}">
              <a16:creationId xmlns:a16="http://schemas.microsoft.com/office/drawing/2014/main" id="{5D974037-2BDA-4AF7-8C47-FE9A1365F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853" name="BExQ7SXS9VUG7P6CACU2J7R2SGIZ" hidden="1">
          <a:extLst>
            <a:ext uri="{FF2B5EF4-FFF2-40B4-BE49-F238E27FC236}">
              <a16:creationId xmlns:a16="http://schemas.microsoft.com/office/drawing/2014/main" id="{EACE5E8A-F772-4823-A8A2-5132A7AA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1043344</xdr:colOff>
      <xdr:row>0</xdr:row>
      <xdr:rowOff>50799</xdr:rowOff>
    </xdr:to>
    <xdr:pic>
      <xdr:nvPicPr>
        <xdr:cNvPr id="854" name="BEx5AQZ4ETQ9LMY5EBWVH20Z7VXQ" hidden="1">
          <a:extLst>
            <a:ext uri="{FF2B5EF4-FFF2-40B4-BE49-F238E27FC236}">
              <a16:creationId xmlns:a16="http://schemas.microsoft.com/office/drawing/2014/main" id="{19C39475-62B4-4C4C-9E2E-049B85FCF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1043344</xdr:colOff>
      <xdr:row>0</xdr:row>
      <xdr:rowOff>126999</xdr:rowOff>
    </xdr:to>
    <xdr:pic>
      <xdr:nvPicPr>
        <xdr:cNvPr id="855" name="BExUBK0YZ5VYFY8TTITJGJU9S06A" hidden="1">
          <a:extLst>
            <a:ext uri="{FF2B5EF4-FFF2-40B4-BE49-F238E27FC236}">
              <a16:creationId xmlns:a16="http://schemas.microsoft.com/office/drawing/2014/main" id="{940E2FAF-3235-425A-9E75-F75C9D6A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1479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107769</xdr:colOff>
      <xdr:row>0</xdr:row>
      <xdr:rowOff>50799</xdr:rowOff>
    </xdr:to>
    <xdr:pic>
      <xdr:nvPicPr>
        <xdr:cNvPr id="856" name="BExUEZCSSJ7RN4J18I2NUIQR2FZS" hidden="1">
          <a:extLst>
            <a:ext uri="{FF2B5EF4-FFF2-40B4-BE49-F238E27FC236}">
              <a16:creationId xmlns:a16="http://schemas.microsoft.com/office/drawing/2014/main" id="{B375725B-C81C-4191-BFDD-A7CA20DED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107769</xdr:colOff>
      <xdr:row>0</xdr:row>
      <xdr:rowOff>126999</xdr:rowOff>
    </xdr:to>
    <xdr:pic>
      <xdr:nvPicPr>
        <xdr:cNvPr id="857" name="BExS3JDQWF7U3F5JTEVOE16ASIYK" hidden="1">
          <a:extLst>
            <a:ext uri="{FF2B5EF4-FFF2-40B4-BE49-F238E27FC236}">
              <a16:creationId xmlns:a16="http://schemas.microsoft.com/office/drawing/2014/main" id="{A1B1D669-BC21-45F5-9C94-B027DBAC1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858" name="BEx973S463FCQVJ7QDFBUIU0WJ3F" descr="ZQTVYL8DCSADVT0QMRXFLU0TR" hidden="1">
          <a:extLst>
            <a:ext uri="{FF2B5EF4-FFF2-40B4-BE49-F238E27FC236}">
              <a16:creationId xmlns:a16="http://schemas.microsoft.com/office/drawing/2014/main" id="{0A07A71A-B504-4DFB-AE2D-7731001A0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63045</xdr:rowOff>
    </xdr:to>
    <xdr:pic>
      <xdr:nvPicPr>
        <xdr:cNvPr id="859" name="BExRZO0PLWWMCLGRH7EH6UXYWGAJ" descr="9D4GQ34QB727H10MA3SSAR2R9" hidden="1">
          <a:extLst>
            <a:ext uri="{FF2B5EF4-FFF2-40B4-BE49-F238E27FC236}">
              <a16:creationId xmlns:a16="http://schemas.microsoft.com/office/drawing/2014/main" id="{706AF987-F9E1-4297-9838-2CEBEFE2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162469</xdr:rowOff>
    </xdr:to>
    <xdr:pic>
      <xdr:nvPicPr>
        <xdr:cNvPr id="860" name="BExBDP6HNAAJUM39SE5G2C8BKNRQ" descr="1TM64TL2QIMYV7WYSV2VLGXY4" hidden="1">
          <a:extLst>
            <a:ext uri="{FF2B5EF4-FFF2-40B4-BE49-F238E27FC236}">
              <a16:creationId xmlns:a16="http://schemas.microsoft.com/office/drawing/2014/main" id="{79615179-2A48-4ACD-AD72-31718186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70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139246</xdr:rowOff>
    </xdr:to>
    <xdr:pic>
      <xdr:nvPicPr>
        <xdr:cNvPr id="861" name="BExQEGJP61DL2NZY6LMBHBZ0J5YT" descr="D6ZNRZJ7EX4GZT9RO8LE0C905" hidden="1">
          <a:extLst>
            <a:ext uri="{FF2B5EF4-FFF2-40B4-BE49-F238E27FC236}">
              <a16:creationId xmlns:a16="http://schemas.microsoft.com/office/drawing/2014/main" id="{DA2461B2-6BCE-49C6-939F-459D99CE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51255</xdr:rowOff>
    </xdr:to>
    <xdr:pic>
      <xdr:nvPicPr>
        <xdr:cNvPr id="862" name="BExTY1BCS6HZIF6HI5491FGHDVAE" descr="MJ6976KI2UH1IE8M227DUYXMJ" hidden="1">
          <a:extLst>
            <a:ext uri="{FF2B5EF4-FFF2-40B4-BE49-F238E27FC236}">
              <a16:creationId xmlns:a16="http://schemas.microsoft.com/office/drawing/2014/main" id="{69A041D9-0575-4306-9220-EE1375202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63" name="BEx5FXJGJOT93D0J2IRJ3985IUMI" hidden="1">
          <a:extLst>
            <a:ext uri="{FF2B5EF4-FFF2-40B4-BE49-F238E27FC236}">
              <a16:creationId xmlns:a16="http://schemas.microsoft.com/office/drawing/2014/main" id="{400EC4B0-7EB5-48A5-BD79-7C8B2976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864" name="BEx3RTMHAR35NUAAK49TV6NU7EPA" descr="QFXLG4ZCXTRQSJYFCKJ58G9N8" hidden="1">
          <a:extLst>
            <a:ext uri="{FF2B5EF4-FFF2-40B4-BE49-F238E27FC236}">
              <a16:creationId xmlns:a16="http://schemas.microsoft.com/office/drawing/2014/main" id="{704E1914-35BB-4DE0-B923-D327AAF67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101146</xdr:rowOff>
    </xdr:to>
    <xdr:pic>
      <xdr:nvPicPr>
        <xdr:cNvPr id="865" name="BExS8T38WLC2R738ZC7BDJQAKJAJ" descr="MRI962L5PB0E0YWXCIBN82VJH" hidden="1">
          <a:extLst>
            <a:ext uri="{FF2B5EF4-FFF2-40B4-BE49-F238E27FC236}">
              <a16:creationId xmlns:a16="http://schemas.microsoft.com/office/drawing/2014/main" id="{650D9737-3E7A-4F6C-A000-EC7BA7F8C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66" name="BEx5F64BJ6DCM4EJH81D5ZFNPZ0V" descr="7DJ9FILZD2YPS6X1JBP9E76TU" hidden="1">
          <a:extLst>
            <a:ext uri="{FF2B5EF4-FFF2-40B4-BE49-F238E27FC236}">
              <a16:creationId xmlns:a16="http://schemas.microsoft.com/office/drawing/2014/main" id="{5DCDD3CA-4103-40BF-A09E-6EEAC74DE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67" name="BExQEXXHA3EEXR44LT6RKCDWM6ZT" hidden="1">
          <a:extLst>
            <a:ext uri="{FF2B5EF4-FFF2-40B4-BE49-F238E27FC236}">
              <a16:creationId xmlns:a16="http://schemas.microsoft.com/office/drawing/2014/main" id="{210C5FB3-8B31-4D65-84CC-04C0E1AD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165549</xdr:rowOff>
    </xdr:to>
    <xdr:pic>
      <xdr:nvPicPr>
        <xdr:cNvPr id="868" name="BEx1X6AMHV6ZK3UJB2BXIJTJHYJU" descr="OALR4L95ELQLZ1Y1LETHM1CS9" hidden="1">
          <a:extLst>
            <a:ext uri="{FF2B5EF4-FFF2-40B4-BE49-F238E27FC236}">
              <a16:creationId xmlns:a16="http://schemas.microsoft.com/office/drawing/2014/main" id="{5B3655FF-CAE2-4B48-A12D-88F6F5C14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869" name="BExSDIVCE09QKG3CT52PHCS6ZJ09" descr="9F076L7EQCF2COMMGCQG6BQGU" hidden="1">
          <a:extLst>
            <a:ext uri="{FF2B5EF4-FFF2-40B4-BE49-F238E27FC236}">
              <a16:creationId xmlns:a16="http://schemas.microsoft.com/office/drawing/2014/main" id="{CBD5354E-EC55-46F4-97D0-69CB620B0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63045</xdr:rowOff>
    </xdr:to>
    <xdr:pic>
      <xdr:nvPicPr>
        <xdr:cNvPr id="870" name="BEx1QZGQZBAWJ8591VXEIPUOVS7X" descr="MEW27CPIFG44B7E7HEQUUF5QF" hidden="1">
          <a:extLst>
            <a:ext uri="{FF2B5EF4-FFF2-40B4-BE49-F238E27FC236}">
              <a16:creationId xmlns:a16="http://schemas.microsoft.com/office/drawing/2014/main" id="{717894CF-2233-4CEE-BA3B-D762774C3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89355</xdr:rowOff>
    </xdr:to>
    <xdr:pic>
      <xdr:nvPicPr>
        <xdr:cNvPr id="871" name="BExMF7LICJLPXSHM63A6EQ79YQKG" descr="U084VZL15IMB1OFRRAY6GVKAE" hidden="1">
          <a:extLst>
            <a:ext uri="{FF2B5EF4-FFF2-40B4-BE49-F238E27FC236}">
              <a16:creationId xmlns:a16="http://schemas.microsoft.com/office/drawing/2014/main" id="{A28E2D3A-E634-47A0-A5C6-3429724D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177346</xdr:rowOff>
    </xdr:to>
    <xdr:pic>
      <xdr:nvPicPr>
        <xdr:cNvPr id="872" name="BExS343F8GCKP6HTF9Y97L133DX8" descr="ZRF0KB1IYQSNV63CTXT25G67G" hidden="1">
          <a:extLst>
            <a:ext uri="{FF2B5EF4-FFF2-40B4-BE49-F238E27FC236}">
              <a16:creationId xmlns:a16="http://schemas.microsoft.com/office/drawing/2014/main" id="{9E203941-6961-4CCF-A65F-E94CD4B1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873" name="BExZMRC09W87CY4B73NPZMNH21AH" descr="78CUMI0OVLYJRSDRQ3V2YX812" hidden="1">
          <a:extLst>
            <a:ext uri="{FF2B5EF4-FFF2-40B4-BE49-F238E27FC236}">
              <a16:creationId xmlns:a16="http://schemas.microsoft.com/office/drawing/2014/main" id="{4A03D934-32BE-48DE-AC8E-56668003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89355</xdr:rowOff>
    </xdr:to>
    <xdr:pic>
      <xdr:nvPicPr>
        <xdr:cNvPr id="874" name="BExZXVFJ4DY4I24AARDT4AMP6EN1" descr="TXSMH2MTH86CYKA26740RQPUC" hidden="1">
          <a:extLst>
            <a:ext uri="{FF2B5EF4-FFF2-40B4-BE49-F238E27FC236}">
              <a16:creationId xmlns:a16="http://schemas.microsoft.com/office/drawing/2014/main" id="{B2F7204B-D5D1-4555-890B-43E7CD678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165549</xdr:rowOff>
    </xdr:to>
    <xdr:pic>
      <xdr:nvPicPr>
        <xdr:cNvPr id="875" name="BExOCUIOFQWUGTBU5ESTW3EYEP5C" descr="9BNF49V0R6VVYPHEVMJ3ABDQZ" hidden="1">
          <a:extLst>
            <a:ext uri="{FF2B5EF4-FFF2-40B4-BE49-F238E27FC236}">
              <a16:creationId xmlns:a16="http://schemas.microsoft.com/office/drawing/2014/main" id="{86102F30-EA82-4864-AEC2-FF71945E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3788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13155</xdr:rowOff>
    </xdr:to>
    <xdr:pic>
      <xdr:nvPicPr>
        <xdr:cNvPr id="876" name="BExU65O9OE4B4MQ2A3OYH13M8BZJ" descr="3INNIMMPDBB0JF37L81M6ID21" hidden="1">
          <a:extLst>
            <a:ext uri="{FF2B5EF4-FFF2-40B4-BE49-F238E27FC236}">
              <a16:creationId xmlns:a16="http://schemas.microsoft.com/office/drawing/2014/main" id="{C85FBA60-FD16-4347-B673-553D7850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101146</xdr:rowOff>
    </xdr:to>
    <xdr:pic>
      <xdr:nvPicPr>
        <xdr:cNvPr id="877" name="BExOPRCR0UW7TKXSV5WDTL348FGL" descr="S9JM17GP1802LHN4GT14BJYIC" hidden="1">
          <a:extLst>
            <a:ext uri="{FF2B5EF4-FFF2-40B4-BE49-F238E27FC236}">
              <a16:creationId xmlns:a16="http://schemas.microsoft.com/office/drawing/2014/main" id="{F1886FD1-BA72-40D2-A633-9651F4220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123914</xdr:rowOff>
    </xdr:to>
    <xdr:pic>
      <xdr:nvPicPr>
        <xdr:cNvPr id="878" name="BEx5OESAY2W8SEGI3TSB65EHJ04B" descr="9CN2Y88X8WYV1HWZG1QILY9BK" hidden="1">
          <a:extLst>
            <a:ext uri="{FF2B5EF4-FFF2-40B4-BE49-F238E27FC236}">
              <a16:creationId xmlns:a16="http://schemas.microsoft.com/office/drawing/2014/main" id="{62615619-47B1-4DCA-B46A-03851BFA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20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879" name="BExGMWEQ2BYRY9BAO5T1X850MJN1" descr="AZ9ST0XDIOP50HSUFO5V31BR0" hidden="1">
          <a:extLst>
            <a:ext uri="{FF2B5EF4-FFF2-40B4-BE49-F238E27FC236}">
              <a16:creationId xmlns:a16="http://schemas.microsoft.com/office/drawing/2014/main" id="{B0D1381D-FEC4-4F78-BCE5-3B2B3D40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880" name="BExMO7VFCN4EL59982UR4AJ25JNJ" descr="XX6TINEJADZGKR0CTM7ZRT0RA" hidden="1">
          <a:extLst>
            <a:ext uri="{FF2B5EF4-FFF2-40B4-BE49-F238E27FC236}">
              <a16:creationId xmlns:a16="http://schemas.microsoft.com/office/drawing/2014/main" id="{D8CD823D-CAB5-40E8-86E5-538E0442D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881" name="BExU3EX5JJCXCII4YKUJBFBGIJR2" descr="OF5ZI9PI5WH36VPANJ2DYLNMI" hidden="1">
          <a:extLst>
            <a:ext uri="{FF2B5EF4-FFF2-40B4-BE49-F238E27FC236}">
              <a16:creationId xmlns:a16="http://schemas.microsoft.com/office/drawing/2014/main" id="{1CF8992F-ECBF-4E3E-A113-C0D78003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882" name="BEx1KD7H6UB1VYCJ7O61P562EIUY" descr="IQGV9140X0K0UPBL8OGU3I44J" hidden="1">
          <a:extLst>
            <a:ext uri="{FF2B5EF4-FFF2-40B4-BE49-F238E27FC236}">
              <a16:creationId xmlns:a16="http://schemas.microsoft.com/office/drawing/2014/main" id="{72EB79A6-FBCB-49B1-A254-622FDF854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883" name="BEx5BJQWS6YWHH4ZMSUAMD641V6Y" descr="ZTMFMXCIQSECDX38ALEFHUB00" hidden="1">
          <a:extLst>
            <a:ext uri="{FF2B5EF4-FFF2-40B4-BE49-F238E27FC236}">
              <a16:creationId xmlns:a16="http://schemas.microsoft.com/office/drawing/2014/main" id="{E3DB9917-7DB9-41AE-9B2B-FCE5834E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1</xdr:row>
      <xdr:rowOff>9525</xdr:rowOff>
    </xdr:from>
    <xdr:ext cx="47625" cy="47625"/>
    <xdr:pic macro="[1]!DesignIconClicked">
      <xdr:nvPicPr>
        <xdr:cNvPr id="884" name="BExVTO5Q8G2M7BPL4B2584LQS0R0" descr="OB6Q8NA4LZFE4GM9Y3V56BPMQ" hidden="1">
          <a:extLst>
            <a:ext uri="{FF2B5EF4-FFF2-40B4-BE49-F238E27FC236}">
              <a16:creationId xmlns:a16="http://schemas.microsoft.com/office/drawing/2014/main" id="{8F78E241-EAD2-4330-9BC9-FBBD8458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1</xdr:row>
      <xdr:rowOff>85725</xdr:rowOff>
    </xdr:from>
    <xdr:ext cx="47625" cy="47625"/>
    <xdr:pic macro="[1]!DesignIconClicked">
      <xdr:nvPicPr>
        <xdr:cNvPr id="885" name="BExIFSCLN1G86X78PFLTSMRP0US5" descr="9JK4SPV4DG7VTCZIILWHXQU5J" hidden="1">
          <a:extLst>
            <a:ext uri="{FF2B5EF4-FFF2-40B4-BE49-F238E27FC236}">
              <a16:creationId xmlns:a16="http://schemas.microsoft.com/office/drawing/2014/main" id="{ACFCE401-F843-4A1C-BC42-22C18230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886" name="BEx1I152WN2D3A85O2XN0DGXCWHN" descr="KHBZFMANRA4UMJR1AB4M5NJNT" hidden="1">
          <a:extLst>
            <a:ext uri="{FF2B5EF4-FFF2-40B4-BE49-F238E27FC236}">
              <a16:creationId xmlns:a16="http://schemas.microsoft.com/office/drawing/2014/main" id="{676319F3-CFED-44F6-A7DF-067481C88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887" name="BExW9676P0SKCVKK25QCGHPA3PAD" descr="9A4PWZ20RMSRF0PNECCDM75CA" hidden="1">
          <a:extLst>
            <a:ext uri="{FF2B5EF4-FFF2-40B4-BE49-F238E27FC236}">
              <a16:creationId xmlns:a16="http://schemas.microsoft.com/office/drawing/2014/main" id="{939B21D8-3A19-4167-BB5C-A01CDD56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3</xdr:row>
      <xdr:rowOff>0</xdr:rowOff>
    </xdr:from>
    <xdr:ext cx="123825" cy="123825"/>
    <xdr:pic macro="[1]!DesignIconClicked">
      <xdr:nvPicPr>
        <xdr:cNvPr id="888" name="BExW253QPOZK9KW8BJC3LBXGCG2N" descr="Y5HX37BEUWSN1NEFJKZJXI3SX" hidden="1">
          <a:extLst>
            <a:ext uri="{FF2B5EF4-FFF2-40B4-BE49-F238E27FC236}">
              <a16:creationId xmlns:a16="http://schemas.microsoft.com/office/drawing/2014/main" id="{A436E48B-D4CA-412B-8FBE-FC8B58B30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889" name="BExS5CPQ8P8JOQPK7ANNKHLSGOKU" hidden="1">
          <a:extLst>
            <a:ext uri="{FF2B5EF4-FFF2-40B4-BE49-F238E27FC236}">
              <a16:creationId xmlns:a16="http://schemas.microsoft.com/office/drawing/2014/main" id="{92A4BCA3-C73D-4613-804A-B9157321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890" name="BExMM0AVUAIRNJLXB1FW8R0YB4ZZ" hidden="1">
          <a:extLst>
            <a:ext uri="{FF2B5EF4-FFF2-40B4-BE49-F238E27FC236}">
              <a16:creationId xmlns:a16="http://schemas.microsoft.com/office/drawing/2014/main" id="{F85F8730-65F5-4324-8064-8A174E31F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891" name="BExXZ7Y09CBS0XA7IPB3IRJ8RJM4" hidden="1">
          <a:extLst>
            <a:ext uri="{FF2B5EF4-FFF2-40B4-BE49-F238E27FC236}">
              <a16:creationId xmlns:a16="http://schemas.microsoft.com/office/drawing/2014/main" id="{60DD2F78-3D24-4B44-BA77-8EFB8071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892" name="BExQ7SXS9VUG7P6CACU2J7R2SGIZ" hidden="1">
          <a:extLst>
            <a:ext uri="{FF2B5EF4-FFF2-40B4-BE49-F238E27FC236}">
              <a16:creationId xmlns:a16="http://schemas.microsoft.com/office/drawing/2014/main" id="{5F9360B7-2358-4BA4-8E22-2C87BD112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893" name="BEx5AQZ4ETQ9LMY5EBWVH20Z7VXQ" hidden="1">
          <a:extLst>
            <a:ext uri="{FF2B5EF4-FFF2-40B4-BE49-F238E27FC236}">
              <a16:creationId xmlns:a16="http://schemas.microsoft.com/office/drawing/2014/main" id="{F75C6974-2C1B-4FBC-BA8A-70008009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894" name="BExUBK0YZ5VYFY8TTITJGJU9S06A" hidden="1">
          <a:extLst>
            <a:ext uri="{FF2B5EF4-FFF2-40B4-BE49-F238E27FC236}">
              <a16:creationId xmlns:a16="http://schemas.microsoft.com/office/drawing/2014/main" id="{00D6F0A5-ED25-46B2-85E1-6263067E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9525</xdr:rowOff>
    </xdr:from>
    <xdr:ext cx="47625" cy="47625"/>
    <xdr:pic macro="[1]!DesignIconClicked">
      <xdr:nvPicPr>
        <xdr:cNvPr id="895" name="BExUEZCSSJ7RN4J18I2NUIQR2FZS" hidden="1">
          <a:extLst>
            <a:ext uri="{FF2B5EF4-FFF2-40B4-BE49-F238E27FC236}">
              <a16:creationId xmlns:a16="http://schemas.microsoft.com/office/drawing/2014/main" id="{0D656B91-C726-4CE2-8F60-0DD540290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85725</xdr:rowOff>
    </xdr:from>
    <xdr:ext cx="47625" cy="47625"/>
    <xdr:pic macro="[1]!DesignIconClicked">
      <xdr:nvPicPr>
        <xdr:cNvPr id="896" name="BExS3JDQWF7U3F5JTEVOE16ASIYK" hidden="1">
          <a:extLst>
            <a:ext uri="{FF2B5EF4-FFF2-40B4-BE49-F238E27FC236}">
              <a16:creationId xmlns:a16="http://schemas.microsoft.com/office/drawing/2014/main" id="{83393129-2267-4812-BDA4-0CAF75BA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897" name="BEx973S463FCQVJ7QDFBUIU0WJ3F" descr="ZQTVYL8DCSADVT0QMRXFLU0TR" hidden="1">
          <a:extLst>
            <a:ext uri="{FF2B5EF4-FFF2-40B4-BE49-F238E27FC236}">
              <a16:creationId xmlns:a16="http://schemas.microsoft.com/office/drawing/2014/main" id="{E5947507-0C3C-4895-835F-0E64577AD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12</xdr:row>
      <xdr:rowOff>0</xdr:rowOff>
    </xdr:from>
    <xdr:ext cx="123825" cy="123825"/>
    <xdr:pic macro="[1]!DesignIconClicked">
      <xdr:nvPicPr>
        <xdr:cNvPr id="898" name="BExRZO0PLWWMCLGRH7EH6UXYWGAJ" descr="9D4GQ34QB727H10MA3SSAR2R9" hidden="1">
          <a:extLst>
            <a:ext uri="{FF2B5EF4-FFF2-40B4-BE49-F238E27FC236}">
              <a16:creationId xmlns:a16="http://schemas.microsoft.com/office/drawing/2014/main" id="{79D2CA5F-AA23-4A87-B6E3-2BDE3973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899" name="BExBDP6HNAAJUM39SE5G2C8BKNRQ" descr="1TM64TL2QIMYV7WYSV2VLGXY4" hidden="1">
          <a:extLst>
            <a:ext uri="{FF2B5EF4-FFF2-40B4-BE49-F238E27FC236}">
              <a16:creationId xmlns:a16="http://schemas.microsoft.com/office/drawing/2014/main" id="{CB93E66E-D3F9-4068-BE1C-6416CCB5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900" name="BExQEGJP61DL2NZY6LMBHBZ0J5YT" descr="D6ZNRZJ7EX4GZT9RO8LE0C905" hidden="1">
          <a:extLst>
            <a:ext uri="{FF2B5EF4-FFF2-40B4-BE49-F238E27FC236}">
              <a16:creationId xmlns:a16="http://schemas.microsoft.com/office/drawing/2014/main" id="{B8772AAD-A1EB-4E7D-A2E6-637307E4E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15</xdr:row>
      <xdr:rowOff>0</xdr:rowOff>
    </xdr:from>
    <xdr:ext cx="123825" cy="123825"/>
    <xdr:pic macro="[1]!DesignIconClicked">
      <xdr:nvPicPr>
        <xdr:cNvPr id="901" name="BExTY1BCS6HZIF6HI5491FGHDVAE" descr="MJ6976KI2UH1IE8M227DUYXMJ" hidden="1">
          <a:extLst>
            <a:ext uri="{FF2B5EF4-FFF2-40B4-BE49-F238E27FC236}">
              <a16:creationId xmlns:a16="http://schemas.microsoft.com/office/drawing/2014/main" id="{C09537E7-9D04-4B28-94B0-306C6104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02" name="BEx5FXJGJOT93D0J2IRJ3985IUMI" hidden="1">
          <a:extLst>
            <a:ext uri="{FF2B5EF4-FFF2-40B4-BE49-F238E27FC236}">
              <a16:creationId xmlns:a16="http://schemas.microsoft.com/office/drawing/2014/main" id="{E2696FA7-E598-4B32-A1B3-599378B3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03" name="BEx3RTMHAR35NUAAK49TV6NU7EPA" descr="QFXLG4ZCXTRQSJYFCKJ58G9N8" hidden="1">
          <a:extLst>
            <a:ext uri="{FF2B5EF4-FFF2-40B4-BE49-F238E27FC236}">
              <a16:creationId xmlns:a16="http://schemas.microsoft.com/office/drawing/2014/main" id="{29C5FAE5-FC85-4CA4-8839-37BF42D09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5</xdr:row>
      <xdr:rowOff>0</xdr:rowOff>
    </xdr:from>
    <xdr:ext cx="123825" cy="123825"/>
    <xdr:pic macro="[1]!DesignIconClicked">
      <xdr:nvPicPr>
        <xdr:cNvPr id="904" name="BExS8T38WLC2R738ZC7BDJQAKJAJ" descr="MRI962L5PB0E0YWXCIBN82VJH" hidden="1">
          <a:extLst>
            <a:ext uri="{FF2B5EF4-FFF2-40B4-BE49-F238E27FC236}">
              <a16:creationId xmlns:a16="http://schemas.microsoft.com/office/drawing/2014/main" id="{C4292B0C-DC3A-4D8D-9D6D-D8A89B09E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05" name="BEx5F64BJ6DCM4EJH81D5ZFNPZ0V" descr="7DJ9FILZD2YPS6X1JBP9E76TU" hidden="1">
          <a:extLst>
            <a:ext uri="{FF2B5EF4-FFF2-40B4-BE49-F238E27FC236}">
              <a16:creationId xmlns:a16="http://schemas.microsoft.com/office/drawing/2014/main" id="{AF8FAF83-5E7B-486B-A3B2-276A8AF1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06" name="BExQEXXHA3EEXR44LT6RKCDWM6ZT" hidden="1">
          <a:extLst>
            <a:ext uri="{FF2B5EF4-FFF2-40B4-BE49-F238E27FC236}">
              <a16:creationId xmlns:a16="http://schemas.microsoft.com/office/drawing/2014/main" id="{93EA3027-F995-4C70-A43E-CED52169E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7</xdr:row>
      <xdr:rowOff>0</xdr:rowOff>
    </xdr:from>
    <xdr:ext cx="123825" cy="123825"/>
    <xdr:pic macro="[1]!DesignIconClicked">
      <xdr:nvPicPr>
        <xdr:cNvPr id="907" name="BEx1X6AMHV6ZK3UJB2BXIJTJHYJU" descr="OALR4L95ELQLZ1Y1LETHM1CS9" hidden="1">
          <a:extLst>
            <a:ext uri="{FF2B5EF4-FFF2-40B4-BE49-F238E27FC236}">
              <a16:creationId xmlns:a16="http://schemas.microsoft.com/office/drawing/2014/main" id="{2321B299-9CB8-4B2C-9F74-99F0C1CE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08" name="BExSDIVCE09QKG3CT52PHCS6ZJ09" descr="9F076L7EQCF2COMMGCQG6BQGU" hidden="1">
          <a:extLst>
            <a:ext uri="{FF2B5EF4-FFF2-40B4-BE49-F238E27FC236}">
              <a16:creationId xmlns:a16="http://schemas.microsoft.com/office/drawing/2014/main" id="{F79C255C-D4EA-4BAE-8CFA-A9C81AFF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909" name="BEx1QZGQZBAWJ8591VXEIPUOVS7X" descr="MEW27CPIFG44B7E7HEQUUF5QF" hidden="1">
          <a:extLst>
            <a:ext uri="{FF2B5EF4-FFF2-40B4-BE49-F238E27FC236}">
              <a16:creationId xmlns:a16="http://schemas.microsoft.com/office/drawing/2014/main" id="{6927751C-61DF-49F7-B7B2-60E6D671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910" name="BExMF7LICJLPXSHM63A6EQ79YQKG" descr="U084VZL15IMB1OFRRAY6GVKAE" hidden="1">
          <a:extLst>
            <a:ext uri="{FF2B5EF4-FFF2-40B4-BE49-F238E27FC236}">
              <a16:creationId xmlns:a16="http://schemas.microsoft.com/office/drawing/2014/main" id="{2644C3D4-C21F-4267-8BAC-53D789D1B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911" name="BExS343F8GCKP6HTF9Y97L133DX8" descr="ZRF0KB1IYQSNV63CTXT25G67G" hidden="1">
          <a:extLst>
            <a:ext uri="{FF2B5EF4-FFF2-40B4-BE49-F238E27FC236}">
              <a16:creationId xmlns:a16="http://schemas.microsoft.com/office/drawing/2014/main" id="{0345977C-DF08-4BE5-8051-0BB6FFE0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912" name="BExZMRC09W87CY4B73NPZMNH21AH" descr="78CUMI0OVLYJRSDRQ3V2YX812" hidden="1">
          <a:extLst>
            <a:ext uri="{FF2B5EF4-FFF2-40B4-BE49-F238E27FC236}">
              <a16:creationId xmlns:a16="http://schemas.microsoft.com/office/drawing/2014/main" id="{5989F3B7-31A4-4AA5-A1EE-46365BFF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9525</xdr:rowOff>
    </xdr:from>
    <xdr:ext cx="123825" cy="123825"/>
    <xdr:pic macro="[1]!DesignIconClicked">
      <xdr:nvPicPr>
        <xdr:cNvPr id="913" name="BExZXVFJ4DY4I24AARDT4AMP6EN1" descr="TXSMH2MTH86CYKA26740RQPUC" hidden="1">
          <a:extLst>
            <a:ext uri="{FF2B5EF4-FFF2-40B4-BE49-F238E27FC236}">
              <a16:creationId xmlns:a16="http://schemas.microsoft.com/office/drawing/2014/main" id="{5F33C220-C9F5-4400-855D-30BCED5A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0</xdr:rowOff>
    </xdr:from>
    <xdr:ext cx="123825" cy="123825"/>
    <xdr:pic macro="[1]!DesignIconClicked">
      <xdr:nvPicPr>
        <xdr:cNvPr id="914" name="BExOCUIOFQWUGTBU5ESTW3EYEP5C" descr="9BNF49V0R6VVYPHEVMJ3ABDQZ" hidden="1">
          <a:extLst>
            <a:ext uri="{FF2B5EF4-FFF2-40B4-BE49-F238E27FC236}">
              <a16:creationId xmlns:a16="http://schemas.microsoft.com/office/drawing/2014/main" id="{BF7ED1E7-CD9C-4525-A36A-B523B699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915" name="BExU65O9OE4B4MQ2A3OYH13M8BZJ" descr="3INNIMMPDBB0JF37L81M6ID21" hidden="1">
          <a:extLst>
            <a:ext uri="{FF2B5EF4-FFF2-40B4-BE49-F238E27FC236}">
              <a16:creationId xmlns:a16="http://schemas.microsoft.com/office/drawing/2014/main" id="{B397F579-81A7-4AD4-BB8F-5708006E3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916" name="BExOPRCR0UW7TKXSV5WDTL348FGL" descr="S9JM17GP1802LHN4GT14BJYIC" hidden="1">
          <a:extLst>
            <a:ext uri="{FF2B5EF4-FFF2-40B4-BE49-F238E27FC236}">
              <a16:creationId xmlns:a16="http://schemas.microsoft.com/office/drawing/2014/main" id="{494D9D1C-C8DA-4E5F-ADF7-A5612C9E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917" name="BEx5OESAY2W8SEGI3TSB65EHJ04B" descr="9CN2Y88X8WYV1HWZG1QILY9BK" hidden="1">
          <a:extLst>
            <a:ext uri="{FF2B5EF4-FFF2-40B4-BE49-F238E27FC236}">
              <a16:creationId xmlns:a16="http://schemas.microsoft.com/office/drawing/2014/main" id="{BF82C70E-B653-490B-8798-189AD153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18" name="BExGMWEQ2BYRY9BAO5T1X850MJN1" descr="AZ9ST0XDIOP50HSUFO5V31BR0" hidden="1">
          <a:extLst>
            <a:ext uri="{FF2B5EF4-FFF2-40B4-BE49-F238E27FC236}">
              <a16:creationId xmlns:a16="http://schemas.microsoft.com/office/drawing/2014/main" id="{C07C22BA-4C82-4791-A734-5E3CD025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19" name="BExMO7VFCN4EL59982UR4AJ25JNJ" descr="XX6TINEJADZGKR0CTM7ZRT0RA" hidden="1">
          <a:extLst>
            <a:ext uri="{FF2B5EF4-FFF2-40B4-BE49-F238E27FC236}">
              <a16:creationId xmlns:a16="http://schemas.microsoft.com/office/drawing/2014/main" id="{6AFA4860-A117-4F32-8007-60497CBBD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20" name="BExU3EX5JJCXCII4YKUJBFBGIJR2" descr="OF5ZI9PI5WH36VPANJ2DYLNMI" hidden="1">
          <a:extLst>
            <a:ext uri="{FF2B5EF4-FFF2-40B4-BE49-F238E27FC236}">
              <a16:creationId xmlns:a16="http://schemas.microsoft.com/office/drawing/2014/main" id="{4C18020F-3CF3-40D0-A9A9-89D3E3A6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921" name="BEx1KD7H6UB1VYCJ7O61P562EIUY" descr="IQGV9140X0K0UPBL8OGU3I44J" hidden="1">
          <a:extLst>
            <a:ext uri="{FF2B5EF4-FFF2-40B4-BE49-F238E27FC236}">
              <a16:creationId xmlns:a16="http://schemas.microsoft.com/office/drawing/2014/main" id="{D9469C15-B1BA-42AB-8996-D6BED3D6D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922" name="BEx5BJQWS6YWHH4ZMSUAMD641V6Y" descr="ZTMFMXCIQSECDX38ALEFHUB00" hidden="1">
          <a:extLst>
            <a:ext uri="{FF2B5EF4-FFF2-40B4-BE49-F238E27FC236}">
              <a16:creationId xmlns:a16="http://schemas.microsoft.com/office/drawing/2014/main" id="{B249A22E-C9D1-4206-BAF3-E4282123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1</xdr:row>
      <xdr:rowOff>9525</xdr:rowOff>
    </xdr:from>
    <xdr:ext cx="47625" cy="47625"/>
    <xdr:pic macro="[1]!DesignIconClicked">
      <xdr:nvPicPr>
        <xdr:cNvPr id="923" name="BExVTO5Q8G2M7BPL4B2584LQS0R0" descr="OB6Q8NA4LZFE4GM9Y3V56BPMQ" hidden="1">
          <a:extLst>
            <a:ext uri="{FF2B5EF4-FFF2-40B4-BE49-F238E27FC236}">
              <a16:creationId xmlns:a16="http://schemas.microsoft.com/office/drawing/2014/main" id="{ED96B026-7595-47C2-883A-043A49A7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1</xdr:row>
      <xdr:rowOff>85725</xdr:rowOff>
    </xdr:from>
    <xdr:ext cx="47625" cy="47625"/>
    <xdr:pic macro="[1]!DesignIconClicked">
      <xdr:nvPicPr>
        <xdr:cNvPr id="924" name="BExIFSCLN1G86X78PFLTSMRP0US5" descr="9JK4SPV4DG7VTCZIILWHXQU5J" hidden="1">
          <a:extLst>
            <a:ext uri="{FF2B5EF4-FFF2-40B4-BE49-F238E27FC236}">
              <a16:creationId xmlns:a16="http://schemas.microsoft.com/office/drawing/2014/main" id="{7146A5C1-0188-4A43-A061-20BB884E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25" name="BEx1I152WN2D3A85O2XN0DGXCWHN" descr="KHBZFMANRA4UMJR1AB4M5NJNT" hidden="1">
          <a:extLst>
            <a:ext uri="{FF2B5EF4-FFF2-40B4-BE49-F238E27FC236}">
              <a16:creationId xmlns:a16="http://schemas.microsoft.com/office/drawing/2014/main" id="{53A747B7-F81A-407F-AED3-21AAC9CD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26" name="BExW9676P0SKCVKK25QCGHPA3PAD" descr="9A4PWZ20RMSRF0PNECCDM75CA" hidden="1">
          <a:extLst>
            <a:ext uri="{FF2B5EF4-FFF2-40B4-BE49-F238E27FC236}">
              <a16:creationId xmlns:a16="http://schemas.microsoft.com/office/drawing/2014/main" id="{90235738-5C4A-42E8-855C-3A911D93D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3</xdr:row>
      <xdr:rowOff>0</xdr:rowOff>
    </xdr:from>
    <xdr:ext cx="123825" cy="123825"/>
    <xdr:pic macro="[1]!DesignIconClicked">
      <xdr:nvPicPr>
        <xdr:cNvPr id="927" name="BExW253QPOZK9KW8BJC3LBXGCG2N" descr="Y5HX37BEUWSN1NEFJKZJXI3SX" hidden="1">
          <a:extLst>
            <a:ext uri="{FF2B5EF4-FFF2-40B4-BE49-F238E27FC236}">
              <a16:creationId xmlns:a16="http://schemas.microsoft.com/office/drawing/2014/main" id="{3C49BFF4-B523-4FDD-9579-6C7AC893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28" name="BExS5CPQ8P8JOQPK7ANNKHLSGOKU" hidden="1">
          <a:extLst>
            <a:ext uri="{FF2B5EF4-FFF2-40B4-BE49-F238E27FC236}">
              <a16:creationId xmlns:a16="http://schemas.microsoft.com/office/drawing/2014/main" id="{0EB4E8F0-AC80-4174-996F-3CA85E1D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29" name="BExMM0AVUAIRNJLXB1FW8R0YB4ZZ" hidden="1">
          <a:extLst>
            <a:ext uri="{FF2B5EF4-FFF2-40B4-BE49-F238E27FC236}">
              <a16:creationId xmlns:a16="http://schemas.microsoft.com/office/drawing/2014/main" id="{4256DC0B-BB90-4AAB-BAF5-519F8700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30" name="BExXZ7Y09CBS0XA7IPB3IRJ8RJM4" hidden="1">
          <a:extLst>
            <a:ext uri="{FF2B5EF4-FFF2-40B4-BE49-F238E27FC236}">
              <a16:creationId xmlns:a16="http://schemas.microsoft.com/office/drawing/2014/main" id="{F4F9B8A9-0828-4FD8-ACAD-8CAD2926A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31" name="BExQ7SXS9VUG7P6CACU2J7R2SGIZ" hidden="1">
          <a:extLst>
            <a:ext uri="{FF2B5EF4-FFF2-40B4-BE49-F238E27FC236}">
              <a16:creationId xmlns:a16="http://schemas.microsoft.com/office/drawing/2014/main" id="{1EEFC490-B878-4356-B696-E33D23CE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932" name="BEx5AQZ4ETQ9LMY5EBWVH20Z7VXQ" hidden="1">
          <a:extLst>
            <a:ext uri="{FF2B5EF4-FFF2-40B4-BE49-F238E27FC236}">
              <a16:creationId xmlns:a16="http://schemas.microsoft.com/office/drawing/2014/main" id="{5749FC25-8585-42D1-9770-5C1B994E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933" name="BExUBK0YZ5VYFY8TTITJGJU9S06A" hidden="1">
          <a:extLst>
            <a:ext uri="{FF2B5EF4-FFF2-40B4-BE49-F238E27FC236}">
              <a16:creationId xmlns:a16="http://schemas.microsoft.com/office/drawing/2014/main" id="{ACDB016D-A91C-4590-A058-2823549C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9525</xdr:rowOff>
    </xdr:from>
    <xdr:ext cx="47625" cy="47625"/>
    <xdr:pic macro="[1]!DesignIconClicked">
      <xdr:nvPicPr>
        <xdr:cNvPr id="934" name="BExUEZCSSJ7RN4J18I2NUIQR2FZS" hidden="1">
          <a:extLst>
            <a:ext uri="{FF2B5EF4-FFF2-40B4-BE49-F238E27FC236}">
              <a16:creationId xmlns:a16="http://schemas.microsoft.com/office/drawing/2014/main" id="{9A0D4CF4-D45D-4CD4-881C-4DE2BB05B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85725</xdr:rowOff>
    </xdr:from>
    <xdr:ext cx="47625" cy="47625"/>
    <xdr:pic macro="[1]!DesignIconClicked">
      <xdr:nvPicPr>
        <xdr:cNvPr id="935" name="BExS3JDQWF7U3F5JTEVOE16ASIYK" hidden="1">
          <a:extLst>
            <a:ext uri="{FF2B5EF4-FFF2-40B4-BE49-F238E27FC236}">
              <a16:creationId xmlns:a16="http://schemas.microsoft.com/office/drawing/2014/main" id="{B73CDF01-EA0E-4470-B135-4745FC91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936" name="BEx973S463FCQVJ7QDFBUIU0WJ3F" descr="ZQTVYL8DCSADVT0QMRXFLU0TR" hidden="1">
          <a:extLst>
            <a:ext uri="{FF2B5EF4-FFF2-40B4-BE49-F238E27FC236}">
              <a16:creationId xmlns:a16="http://schemas.microsoft.com/office/drawing/2014/main" id="{03B2B717-53BF-49A0-BF58-E1C25A11E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12</xdr:row>
      <xdr:rowOff>0</xdr:rowOff>
    </xdr:from>
    <xdr:ext cx="123825" cy="123825"/>
    <xdr:pic macro="[1]!DesignIconClicked">
      <xdr:nvPicPr>
        <xdr:cNvPr id="937" name="BExRZO0PLWWMCLGRH7EH6UXYWGAJ" descr="9D4GQ34QB727H10MA3SSAR2R9" hidden="1">
          <a:extLst>
            <a:ext uri="{FF2B5EF4-FFF2-40B4-BE49-F238E27FC236}">
              <a16:creationId xmlns:a16="http://schemas.microsoft.com/office/drawing/2014/main" id="{FD5C0FD1-BBAF-4AC5-99EB-BE1FD2ED1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938" name="BExBDP6HNAAJUM39SE5G2C8BKNRQ" descr="1TM64TL2QIMYV7WYSV2VLGXY4" hidden="1">
          <a:extLst>
            <a:ext uri="{FF2B5EF4-FFF2-40B4-BE49-F238E27FC236}">
              <a16:creationId xmlns:a16="http://schemas.microsoft.com/office/drawing/2014/main" id="{42A9AB7D-D3DF-4834-9418-406F3C3B9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939" name="BExQEGJP61DL2NZY6LMBHBZ0J5YT" descr="D6ZNRZJ7EX4GZT9RO8LE0C905" hidden="1">
          <a:extLst>
            <a:ext uri="{FF2B5EF4-FFF2-40B4-BE49-F238E27FC236}">
              <a16:creationId xmlns:a16="http://schemas.microsoft.com/office/drawing/2014/main" id="{CBDC9A4B-B714-4589-B9B6-874FF5EA6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15</xdr:row>
      <xdr:rowOff>0</xdr:rowOff>
    </xdr:from>
    <xdr:ext cx="123825" cy="123825"/>
    <xdr:pic macro="[1]!DesignIconClicked">
      <xdr:nvPicPr>
        <xdr:cNvPr id="940" name="BExTY1BCS6HZIF6HI5491FGHDVAE" descr="MJ6976KI2UH1IE8M227DUYXMJ" hidden="1">
          <a:extLst>
            <a:ext uri="{FF2B5EF4-FFF2-40B4-BE49-F238E27FC236}">
              <a16:creationId xmlns:a16="http://schemas.microsoft.com/office/drawing/2014/main" id="{B651B68F-1657-4FB2-8ED7-6A72E1F40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41" name="BEx5FXJGJOT93D0J2IRJ3985IUMI" hidden="1">
          <a:extLst>
            <a:ext uri="{FF2B5EF4-FFF2-40B4-BE49-F238E27FC236}">
              <a16:creationId xmlns:a16="http://schemas.microsoft.com/office/drawing/2014/main" id="{FC12A6D7-A595-4DFD-988C-CF9749E1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42" name="BEx3RTMHAR35NUAAK49TV6NU7EPA" descr="QFXLG4ZCXTRQSJYFCKJ58G9N8" hidden="1">
          <a:extLst>
            <a:ext uri="{FF2B5EF4-FFF2-40B4-BE49-F238E27FC236}">
              <a16:creationId xmlns:a16="http://schemas.microsoft.com/office/drawing/2014/main" id="{C91D4594-4DC6-4D9F-A4AE-72935832D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5</xdr:row>
      <xdr:rowOff>0</xdr:rowOff>
    </xdr:from>
    <xdr:ext cx="123825" cy="123825"/>
    <xdr:pic macro="[1]!DesignIconClicked">
      <xdr:nvPicPr>
        <xdr:cNvPr id="943" name="BExS8T38WLC2R738ZC7BDJQAKJAJ" descr="MRI962L5PB0E0YWXCIBN82VJH" hidden="1">
          <a:extLst>
            <a:ext uri="{FF2B5EF4-FFF2-40B4-BE49-F238E27FC236}">
              <a16:creationId xmlns:a16="http://schemas.microsoft.com/office/drawing/2014/main" id="{72E3EA53-D000-467B-B939-1DBF4203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44" name="BEx5F64BJ6DCM4EJH81D5ZFNPZ0V" descr="7DJ9FILZD2YPS6X1JBP9E76TU" hidden="1">
          <a:extLst>
            <a:ext uri="{FF2B5EF4-FFF2-40B4-BE49-F238E27FC236}">
              <a16:creationId xmlns:a16="http://schemas.microsoft.com/office/drawing/2014/main" id="{49A380A5-43F6-4F63-A068-41A8C1CC5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45" name="BExQEXXHA3EEXR44LT6RKCDWM6ZT" hidden="1">
          <a:extLst>
            <a:ext uri="{FF2B5EF4-FFF2-40B4-BE49-F238E27FC236}">
              <a16:creationId xmlns:a16="http://schemas.microsoft.com/office/drawing/2014/main" id="{CB60FA64-F202-42E2-B383-D93753752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7</xdr:row>
      <xdr:rowOff>0</xdr:rowOff>
    </xdr:from>
    <xdr:ext cx="123825" cy="123825"/>
    <xdr:pic macro="[1]!DesignIconClicked">
      <xdr:nvPicPr>
        <xdr:cNvPr id="946" name="BEx1X6AMHV6ZK3UJB2BXIJTJHYJU" descr="OALR4L95ELQLZ1Y1LETHM1CS9" hidden="1">
          <a:extLst>
            <a:ext uri="{FF2B5EF4-FFF2-40B4-BE49-F238E27FC236}">
              <a16:creationId xmlns:a16="http://schemas.microsoft.com/office/drawing/2014/main" id="{0A2CB567-F7C3-4044-A82B-EF5503893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47" name="BExSDIVCE09QKG3CT52PHCS6ZJ09" descr="9F076L7EQCF2COMMGCQG6BQGU" hidden="1">
          <a:extLst>
            <a:ext uri="{FF2B5EF4-FFF2-40B4-BE49-F238E27FC236}">
              <a16:creationId xmlns:a16="http://schemas.microsoft.com/office/drawing/2014/main" id="{A17C3856-FB11-42A3-A643-E3342724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948" name="BEx1QZGQZBAWJ8591VXEIPUOVS7X" descr="MEW27CPIFG44B7E7HEQUUF5QF" hidden="1">
          <a:extLst>
            <a:ext uri="{FF2B5EF4-FFF2-40B4-BE49-F238E27FC236}">
              <a16:creationId xmlns:a16="http://schemas.microsoft.com/office/drawing/2014/main" id="{2D33FA72-78D7-4E6B-9221-9BBEB9D60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949" name="BExMF7LICJLPXSHM63A6EQ79YQKG" descr="U084VZL15IMB1OFRRAY6GVKAE" hidden="1">
          <a:extLst>
            <a:ext uri="{FF2B5EF4-FFF2-40B4-BE49-F238E27FC236}">
              <a16:creationId xmlns:a16="http://schemas.microsoft.com/office/drawing/2014/main" id="{ED983EED-FD70-4E74-90B3-5E08C2EB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950" name="BExS343F8GCKP6HTF9Y97L133DX8" descr="ZRF0KB1IYQSNV63CTXT25G67G" hidden="1">
          <a:extLst>
            <a:ext uri="{FF2B5EF4-FFF2-40B4-BE49-F238E27FC236}">
              <a16:creationId xmlns:a16="http://schemas.microsoft.com/office/drawing/2014/main" id="{16D6BE94-C8F0-4E51-839E-CA38FFEDE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951" name="BExZMRC09W87CY4B73NPZMNH21AH" descr="78CUMI0OVLYJRSDRQ3V2YX812" hidden="1">
          <a:extLst>
            <a:ext uri="{FF2B5EF4-FFF2-40B4-BE49-F238E27FC236}">
              <a16:creationId xmlns:a16="http://schemas.microsoft.com/office/drawing/2014/main" id="{801E9F19-F613-41D4-A750-2DA76730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9525</xdr:rowOff>
    </xdr:from>
    <xdr:ext cx="123825" cy="123825"/>
    <xdr:pic macro="[1]!DesignIconClicked">
      <xdr:nvPicPr>
        <xdr:cNvPr id="952" name="BExZXVFJ4DY4I24AARDT4AMP6EN1" descr="TXSMH2MTH86CYKA26740RQPUC" hidden="1">
          <a:extLst>
            <a:ext uri="{FF2B5EF4-FFF2-40B4-BE49-F238E27FC236}">
              <a16:creationId xmlns:a16="http://schemas.microsoft.com/office/drawing/2014/main" id="{0EDFF1F2-24C4-4272-BE8A-BE2720DB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0</xdr:rowOff>
    </xdr:from>
    <xdr:ext cx="123825" cy="123825"/>
    <xdr:pic macro="[1]!DesignIconClicked">
      <xdr:nvPicPr>
        <xdr:cNvPr id="953" name="BExOCUIOFQWUGTBU5ESTW3EYEP5C" descr="9BNF49V0R6VVYPHEVMJ3ABDQZ" hidden="1">
          <a:extLst>
            <a:ext uri="{FF2B5EF4-FFF2-40B4-BE49-F238E27FC236}">
              <a16:creationId xmlns:a16="http://schemas.microsoft.com/office/drawing/2014/main" id="{B109EFC0-9AF7-46DE-87D5-AC138A29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954" name="BExU65O9OE4B4MQ2A3OYH13M8BZJ" descr="3INNIMMPDBB0JF37L81M6ID21" hidden="1">
          <a:extLst>
            <a:ext uri="{FF2B5EF4-FFF2-40B4-BE49-F238E27FC236}">
              <a16:creationId xmlns:a16="http://schemas.microsoft.com/office/drawing/2014/main" id="{B59F6585-A960-405B-B45C-6E1829A9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955" name="BExOPRCR0UW7TKXSV5WDTL348FGL" descr="S9JM17GP1802LHN4GT14BJYIC" hidden="1">
          <a:extLst>
            <a:ext uri="{FF2B5EF4-FFF2-40B4-BE49-F238E27FC236}">
              <a16:creationId xmlns:a16="http://schemas.microsoft.com/office/drawing/2014/main" id="{F4FC1A2B-9E9B-4F0B-8CA0-223C0D80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956" name="BEx5OESAY2W8SEGI3TSB65EHJ04B" descr="9CN2Y88X8WYV1HWZG1QILY9BK" hidden="1">
          <a:extLst>
            <a:ext uri="{FF2B5EF4-FFF2-40B4-BE49-F238E27FC236}">
              <a16:creationId xmlns:a16="http://schemas.microsoft.com/office/drawing/2014/main" id="{13FB2DC3-280C-46EE-B3DB-16D7E4195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57" name="BExGMWEQ2BYRY9BAO5T1X850MJN1" descr="AZ9ST0XDIOP50HSUFO5V31BR0" hidden="1">
          <a:extLst>
            <a:ext uri="{FF2B5EF4-FFF2-40B4-BE49-F238E27FC236}">
              <a16:creationId xmlns:a16="http://schemas.microsoft.com/office/drawing/2014/main" id="{72334D9D-A724-490C-9690-51EA18DF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58" name="BExMO7VFCN4EL59982UR4AJ25JNJ" descr="XX6TINEJADZGKR0CTM7ZRT0RA" hidden="1">
          <a:extLst>
            <a:ext uri="{FF2B5EF4-FFF2-40B4-BE49-F238E27FC236}">
              <a16:creationId xmlns:a16="http://schemas.microsoft.com/office/drawing/2014/main" id="{0E7A6429-737F-4DF7-8CBC-BE053626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59" name="BExU3EX5JJCXCII4YKUJBFBGIJR2" descr="OF5ZI9PI5WH36VPANJ2DYLNMI" hidden="1">
          <a:extLst>
            <a:ext uri="{FF2B5EF4-FFF2-40B4-BE49-F238E27FC236}">
              <a16:creationId xmlns:a16="http://schemas.microsoft.com/office/drawing/2014/main" id="{2B741D1C-670B-4732-A90B-624D4102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960" name="BEx1KD7H6UB1VYCJ7O61P562EIUY" descr="IQGV9140X0K0UPBL8OGU3I44J" hidden="1">
          <a:extLst>
            <a:ext uri="{FF2B5EF4-FFF2-40B4-BE49-F238E27FC236}">
              <a16:creationId xmlns:a16="http://schemas.microsoft.com/office/drawing/2014/main" id="{8F0816D8-592C-41F5-B5A7-F7140861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961" name="BEx5BJQWS6YWHH4ZMSUAMD641V6Y" descr="ZTMFMXCIQSECDX38ALEFHUB00" hidden="1">
          <a:extLst>
            <a:ext uri="{FF2B5EF4-FFF2-40B4-BE49-F238E27FC236}">
              <a16:creationId xmlns:a16="http://schemas.microsoft.com/office/drawing/2014/main" id="{E662C42D-719E-48DC-9ADD-06B0000A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1</xdr:row>
      <xdr:rowOff>9525</xdr:rowOff>
    </xdr:from>
    <xdr:ext cx="47625" cy="47625"/>
    <xdr:pic macro="[1]!DesignIconClicked">
      <xdr:nvPicPr>
        <xdr:cNvPr id="962" name="BExVTO5Q8G2M7BPL4B2584LQS0R0" descr="OB6Q8NA4LZFE4GM9Y3V56BPMQ" hidden="1">
          <a:extLst>
            <a:ext uri="{FF2B5EF4-FFF2-40B4-BE49-F238E27FC236}">
              <a16:creationId xmlns:a16="http://schemas.microsoft.com/office/drawing/2014/main" id="{0AD37B5D-8E20-41B1-BCE1-BC278181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1</xdr:row>
      <xdr:rowOff>85725</xdr:rowOff>
    </xdr:from>
    <xdr:ext cx="47625" cy="47625"/>
    <xdr:pic macro="[1]!DesignIconClicked">
      <xdr:nvPicPr>
        <xdr:cNvPr id="963" name="BExIFSCLN1G86X78PFLTSMRP0US5" descr="9JK4SPV4DG7VTCZIILWHXQU5J" hidden="1">
          <a:extLst>
            <a:ext uri="{FF2B5EF4-FFF2-40B4-BE49-F238E27FC236}">
              <a16:creationId xmlns:a16="http://schemas.microsoft.com/office/drawing/2014/main" id="{D4419EC8-F8CC-424A-8540-572F5D26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64" name="BEx1I152WN2D3A85O2XN0DGXCWHN" descr="KHBZFMANRA4UMJR1AB4M5NJNT" hidden="1">
          <a:extLst>
            <a:ext uri="{FF2B5EF4-FFF2-40B4-BE49-F238E27FC236}">
              <a16:creationId xmlns:a16="http://schemas.microsoft.com/office/drawing/2014/main" id="{31F4F600-FF3A-4FDE-AEF2-8F90F75FB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65" name="BExW9676P0SKCVKK25QCGHPA3PAD" descr="9A4PWZ20RMSRF0PNECCDM75CA" hidden="1">
          <a:extLst>
            <a:ext uri="{FF2B5EF4-FFF2-40B4-BE49-F238E27FC236}">
              <a16:creationId xmlns:a16="http://schemas.microsoft.com/office/drawing/2014/main" id="{9121EB6D-9926-4851-A2C2-61104C48D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3</xdr:row>
      <xdr:rowOff>0</xdr:rowOff>
    </xdr:from>
    <xdr:ext cx="123825" cy="123825"/>
    <xdr:pic macro="[1]!DesignIconClicked">
      <xdr:nvPicPr>
        <xdr:cNvPr id="966" name="BExW253QPOZK9KW8BJC3LBXGCG2N" descr="Y5HX37BEUWSN1NEFJKZJXI3SX" hidden="1">
          <a:extLst>
            <a:ext uri="{FF2B5EF4-FFF2-40B4-BE49-F238E27FC236}">
              <a16:creationId xmlns:a16="http://schemas.microsoft.com/office/drawing/2014/main" id="{39D16B4B-F824-4A74-A93F-AA6EFC744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67" name="BExS5CPQ8P8JOQPK7ANNKHLSGOKU" hidden="1">
          <a:extLst>
            <a:ext uri="{FF2B5EF4-FFF2-40B4-BE49-F238E27FC236}">
              <a16:creationId xmlns:a16="http://schemas.microsoft.com/office/drawing/2014/main" id="{27022151-7000-477E-B01A-657E0002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68" name="BExMM0AVUAIRNJLXB1FW8R0YB4ZZ" hidden="1">
          <a:extLst>
            <a:ext uri="{FF2B5EF4-FFF2-40B4-BE49-F238E27FC236}">
              <a16:creationId xmlns:a16="http://schemas.microsoft.com/office/drawing/2014/main" id="{1797B9D1-EA89-41AC-B3E7-991567CB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969" name="BExXZ7Y09CBS0XA7IPB3IRJ8RJM4" hidden="1">
          <a:extLst>
            <a:ext uri="{FF2B5EF4-FFF2-40B4-BE49-F238E27FC236}">
              <a16:creationId xmlns:a16="http://schemas.microsoft.com/office/drawing/2014/main" id="{083E845D-EFA8-4554-9C4A-906E32CA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970" name="BExQ7SXS9VUG7P6CACU2J7R2SGIZ" hidden="1">
          <a:extLst>
            <a:ext uri="{FF2B5EF4-FFF2-40B4-BE49-F238E27FC236}">
              <a16:creationId xmlns:a16="http://schemas.microsoft.com/office/drawing/2014/main" id="{3F7EADCE-00A8-447F-9D9F-ACFE6331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971" name="BEx5AQZ4ETQ9LMY5EBWVH20Z7VXQ" hidden="1">
          <a:extLst>
            <a:ext uri="{FF2B5EF4-FFF2-40B4-BE49-F238E27FC236}">
              <a16:creationId xmlns:a16="http://schemas.microsoft.com/office/drawing/2014/main" id="{FC3ABB0D-5AB5-4DB0-8291-BEABC052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972" name="BExUBK0YZ5VYFY8TTITJGJU9S06A" hidden="1">
          <a:extLst>
            <a:ext uri="{FF2B5EF4-FFF2-40B4-BE49-F238E27FC236}">
              <a16:creationId xmlns:a16="http://schemas.microsoft.com/office/drawing/2014/main" id="{3BF1D370-6A2D-40BF-BBB7-225F5514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9525</xdr:rowOff>
    </xdr:from>
    <xdr:ext cx="47625" cy="47625"/>
    <xdr:pic macro="[1]!DesignIconClicked">
      <xdr:nvPicPr>
        <xdr:cNvPr id="973" name="BExUEZCSSJ7RN4J18I2NUIQR2FZS" hidden="1">
          <a:extLst>
            <a:ext uri="{FF2B5EF4-FFF2-40B4-BE49-F238E27FC236}">
              <a16:creationId xmlns:a16="http://schemas.microsoft.com/office/drawing/2014/main" id="{115586D6-CC7E-4185-A537-38CAA3DE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85725</xdr:rowOff>
    </xdr:from>
    <xdr:ext cx="47625" cy="47625"/>
    <xdr:pic macro="[1]!DesignIconClicked">
      <xdr:nvPicPr>
        <xdr:cNvPr id="974" name="BExS3JDQWF7U3F5JTEVOE16ASIYK" hidden="1">
          <a:extLst>
            <a:ext uri="{FF2B5EF4-FFF2-40B4-BE49-F238E27FC236}">
              <a16:creationId xmlns:a16="http://schemas.microsoft.com/office/drawing/2014/main" id="{3F3FA843-1328-4109-BB96-551DAA81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975" name="BEx973S463FCQVJ7QDFBUIU0WJ3F" descr="ZQTVYL8DCSADVT0QMRXFLU0TR" hidden="1">
          <a:extLst>
            <a:ext uri="{FF2B5EF4-FFF2-40B4-BE49-F238E27FC236}">
              <a16:creationId xmlns:a16="http://schemas.microsoft.com/office/drawing/2014/main" id="{A7C7D8DE-4D2A-4668-AB4F-C94C837C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12</xdr:row>
      <xdr:rowOff>0</xdr:rowOff>
    </xdr:from>
    <xdr:ext cx="123825" cy="123825"/>
    <xdr:pic macro="[1]!DesignIconClicked">
      <xdr:nvPicPr>
        <xdr:cNvPr id="976" name="BExRZO0PLWWMCLGRH7EH6UXYWGAJ" descr="9D4GQ34QB727H10MA3SSAR2R9" hidden="1">
          <a:extLst>
            <a:ext uri="{FF2B5EF4-FFF2-40B4-BE49-F238E27FC236}">
              <a16:creationId xmlns:a16="http://schemas.microsoft.com/office/drawing/2014/main" id="{CC0FB2C1-67AD-47A3-8FD3-935A84D9C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977" name="BExBDP6HNAAJUM39SE5G2C8BKNRQ" descr="1TM64TL2QIMYV7WYSV2VLGXY4" hidden="1">
          <a:extLst>
            <a:ext uri="{FF2B5EF4-FFF2-40B4-BE49-F238E27FC236}">
              <a16:creationId xmlns:a16="http://schemas.microsoft.com/office/drawing/2014/main" id="{3DDA18B7-F358-4643-93A8-C35461B8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978" name="BExQEGJP61DL2NZY6LMBHBZ0J5YT" descr="D6ZNRZJ7EX4GZT9RO8LE0C905" hidden="1">
          <a:extLst>
            <a:ext uri="{FF2B5EF4-FFF2-40B4-BE49-F238E27FC236}">
              <a16:creationId xmlns:a16="http://schemas.microsoft.com/office/drawing/2014/main" id="{F22A1C7C-AC2E-4050-9F5B-8EEB6DE3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15</xdr:row>
      <xdr:rowOff>0</xdr:rowOff>
    </xdr:from>
    <xdr:ext cx="123825" cy="123825"/>
    <xdr:pic macro="[1]!DesignIconClicked">
      <xdr:nvPicPr>
        <xdr:cNvPr id="979" name="BExTY1BCS6HZIF6HI5491FGHDVAE" descr="MJ6976KI2UH1IE8M227DUYXMJ" hidden="1">
          <a:extLst>
            <a:ext uri="{FF2B5EF4-FFF2-40B4-BE49-F238E27FC236}">
              <a16:creationId xmlns:a16="http://schemas.microsoft.com/office/drawing/2014/main" id="{8CE58AC8-AB15-4053-A3E9-D763D28A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80" name="BEx5FXJGJOT93D0J2IRJ3985IUMI" hidden="1">
          <a:extLst>
            <a:ext uri="{FF2B5EF4-FFF2-40B4-BE49-F238E27FC236}">
              <a16:creationId xmlns:a16="http://schemas.microsoft.com/office/drawing/2014/main" id="{8C3A906E-0855-44A7-A97D-5D060D117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81" name="BEx3RTMHAR35NUAAK49TV6NU7EPA" descr="QFXLG4ZCXTRQSJYFCKJ58G9N8" hidden="1">
          <a:extLst>
            <a:ext uri="{FF2B5EF4-FFF2-40B4-BE49-F238E27FC236}">
              <a16:creationId xmlns:a16="http://schemas.microsoft.com/office/drawing/2014/main" id="{230C6156-8894-4C2B-A180-BB9C8E1B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5</xdr:row>
      <xdr:rowOff>0</xdr:rowOff>
    </xdr:from>
    <xdr:ext cx="123825" cy="123825"/>
    <xdr:pic macro="[1]!DesignIconClicked">
      <xdr:nvPicPr>
        <xdr:cNvPr id="982" name="BExS8T38WLC2R738ZC7BDJQAKJAJ" descr="MRI962L5PB0E0YWXCIBN82VJH" hidden="1">
          <a:extLst>
            <a:ext uri="{FF2B5EF4-FFF2-40B4-BE49-F238E27FC236}">
              <a16:creationId xmlns:a16="http://schemas.microsoft.com/office/drawing/2014/main" id="{49C9965B-DCE5-4FB9-B784-98C13CD4E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83" name="BEx5F64BJ6DCM4EJH81D5ZFNPZ0V" descr="7DJ9FILZD2YPS6X1JBP9E76TU" hidden="1">
          <a:extLst>
            <a:ext uri="{FF2B5EF4-FFF2-40B4-BE49-F238E27FC236}">
              <a16:creationId xmlns:a16="http://schemas.microsoft.com/office/drawing/2014/main" id="{82A01675-2F9A-4869-A6F8-C5E60795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84" name="BExQEXXHA3EEXR44LT6RKCDWM6ZT" hidden="1">
          <a:extLst>
            <a:ext uri="{FF2B5EF4-FFF2-40B4-BE49-F238E27FC236}">
              <a16:creationId xmlns:a16="http://schemas.microsoft.com/office/drawing/2014/main" id="{8A44030A-A46A-4286-B258-2581E256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7</xdr:row>
      <xdr:rowOff>0</xdr:rowOff>
    </xdr:from>
    <xdr:ext cx="123825" cy="123825"/>
    <xdr:pic macro="[1]!DesignIconClicked">
      <xdr:nvPicPr>
        <xdr:cNvPr id="985" name="BEx1X6AMHV6ZK3UJB2BXIJTJHYJU" descr="OALR4L95ELQLZ1Y1LETHM1CS9" hidden="1">
          <a:extLst>
            <a:ext uri="{FF2B5EF4-FFF2-40B4-BE49-F238E27FC236}">
              <a16:creationId xmlns:a16="http://schemas.microsoft.com/office/drawing/2014/main" id="{4E0BFFD3-2F39-4909-82A4-A0E4463C7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986" name="BExSDIVCE09QKG3CT52PHCS6ZJ09" descr="9F076L7EQCF2COMMGCQG6BQGU" hidden="1">
          <a:extLst>
            <a:ext uri="{FF2B5EF4-FFF2-40B4-BE49-F238E27FC236}">
              <a16:creationId xmlns:a16="http://schemas.microsoft.com/office/drawing/2014/main" id="{6D74A88B-65D6-4427-9882-A80B3A76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987" name="BEx1QZGQZBAWJ8591VXEIPUOVS7X" descr="MEW27CPIFG44B7E7HEQUUF5QF" hidden="1">
          <a:extLst>
            <a:ext uri="{FF2B5EF4-FFF2-40B4-BE49-F238E27FC236}">
              <a16:creationId xmlns:a16="http://schemas.microsoft.com/office/drawing/2014/main" id="{1763954B-1816-4306-8D97-022FA5FB2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988" name="BExMF7LICJLPXSHM63A6EQ79YQKG" descr="U084VZL15IMB1OFRRAY6GVKAE" hidden="1">
          <a:extLst>
            <a:ext uri="{FF2B5EF4-FFF2-40B4-BE49-F238E27FC236}">
              <a16:creationId xmlns:a16="http://schemas.microsoft.com/office/drawing/2014/main" id="{AB6C0694-77AF-43DC-91C8-6D67D285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989" name="BExS343F8GCKP6HTF9Y97L133DX8" descr="ZRF0KB1IYQSNV63CTXT25G67G" hidden="1">
          <a:extLst>
            <a:ext uri="{FF2B5EF4-FFF2-40B4-BE49-F238E27FC236}">
              <a16:creationId xmlns:a16="http://schemas.microsoft.com/office/drawing/2014/main" id="{BA5886DA-F0F6-4B40-A8D4-FB2ADD04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990" name="BExZMRC09W87CY4B73NPZMNH21AH" descr="78CUMI0OVLYJRSDRQ3V2YX812" hidden="1">
          <a:extLst>
            <a:ext uri="{FF2B5EF4-FFF2-40B4-BE49-F238E27FC236}">
              <a16:creationId xmlns:a16="http://schemas.microsoft.com/office/drawing/2014/main" id="{373AA652-2F12-4FE9-B4C9-C24DBB90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9525</xdr:rowOff>
    </xdr:from>
    <xdr:ext cx="123825" cy="123825"/>
    <xdr:pic macro="[1]!DesignIconClicked">
      <xdr:nvPicPr>
        <xdr:cNvPr id="991" name="BExZXVFJ4DY4I24AARDT4AMP6EN1" descr="TXSMH2MTH86CYKA26740RQPUC" hidden="1">
          <a:extLst>
            <a:ext uri="{FF2B5EF4-FFF2-40B4-BE49-F238E27FC236}">
              <a16:creationId xmlns:a16="http://schemas.microsoft.com/office/drawing/2014/main" id="{08C92C96-EC82-41BD-9BC7-3543B72C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0</xdr:rowOff>
    </xdr:from>
    <xdr:ext cx="123825" cy="123825"/>
    <xdr:pic macro="[1]!DesignIconClicked">
      <xdr:nvPicPr>
        <xdr:cNvPr id="992" name="BExOCUIOFQWUGTBU5ESTW3EYEP5C" descr="9BNF49V0R6VVYPHEVMJ3ABDQZ" hidden="1">
          <a:extLst>
            <a:ext uri="{FF2B5EF4-FFF2-40B4-BE49-F238E27FC236}">
              <a16:creationId xmlns:a16="http://schemas.microsoft.com/office/drawing/2014/main" id="{CDF7FBAF-A0D7-4EC5-8D44-D2B65DEF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993" name="BExU65O9OE4B4MQ2A3OYH13M8BZJ" descr="3INNIMMPDBB0JF37L81M6ID21" hidden="1">
          <a:extLst>
            <a:ext uri="{FF2B5EF4-FFF2-40B4-BE49-F238E27FC236}">
              <a16:creationId xmlns:a16="http://schemas.microsoft.com/office/drawing/2014/main" id="{2083D397-FEEE-4489-AD29-8D39C884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994" name="BExOPRCR0UW7TKXSV5WDTL348FGL" descr="S9JM17GP1802LHN4GT14BJYIC" hidden="1">
          <a:extLst>
            <a:ext uri="{FF2B5EF4-FFF2-40B4-BE49-F238E27FC236}">
              <a16:creationId xmlns:a16="http://schemas.microsoft.com/office/drawing/2014/main" id="{38D93C15-C66F-4058-944C-49384E8E8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995" name="BEx5OESAY2W8SEGI3TSB65EHJ04B" descr="9CN2Y88X8WYV1HWZG1QILY9BK" hidden="1">
          <a:extLst>
            <a:ext uri="{FF2B5EF4-FFF2-40B4-BE49-F238E27FC236}">
              <a16:creationId xmlns:a16="http://schemas.microsoft.com/office/drawing/2014/main" id="{F9BFC677-0C82-4569-8D19-7FEDF5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996" name="BExGMWEQ2BYRY9BAO5T1X850MJN1" descr="AZ9ST0XDIOP50HSUFO5V31BR0" hidden="1">
          <a:extLst>
            <a:ext uri="{FF2B5EF4-FFF2-40B4-BE49-F238E27FC236}">
              <a16:creationId xmlns:a16="http://schemas.microsoft.com/office/drawing/2014/main" id="{714BA2AD-B4D6-474F-A82D-F3E30389E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997" name="BExMO7VFCN4EL59982UR4AJ25JNJ" descr="XX6TINEJADZGKR0CTM7ZRT0RA" hidden="1">
          <a:extLst>
            <a:ext uri="{FF2B5EF4-FFF2-40B4-BE49-F238E27FC236}">
              <a16:creationId xmlns:a16="http://schemas.microsoft.com/office/drawing/2014/main" id="{8B0BE6C8-207D-4614-89BF-1684BD58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998" name="BExU3EX5JJCXCII4YKUJBFBGIJR2" descr="OF5ZI9PI5WH36VPANJ2DYLNMI" hidden="1">
          <a:extLst>
            <a:ext uri="{FF2B5EF4-FFF2-40B4-BE49-F238E27FC236}">
              <a16:creationId xmlns:a16="http://schemas.microsoft.com/office/drawing/2014/main" id="{2A061BD0-82A0-419A-AE40-4E315C89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999" name="BEx1KD7H6UB1VYCJ7O61P562EIUY" descr="IQGV9140X0K0UPBL8OGU3I44J" hidden="1">
          <a:extLst>
            <a:ext uri="{FF2B5EF4-FFF2-40B4-BE49-F238E27FC236}">
              <a16:creationId xmlns:a16="http://schemas.microsoft.com/office/drawing/2014/main" id="{872CFBCB-8EDB-4218-9543-71A18E95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00" name="BEx5BJQWS6YWHH4ZMSUAMD641V6Y" descr="ZTMFMXCIQSECDX38ALEFHUB00" hidden="1">
          <a:extLst>
            <a:ext uri="{FF2B5EF4-FFF2-40B4-BE49-F238E27FC236}">
              <a16:creationId xmlns:a16="http://schemas.microsoft.com/office/drawing/2014/main" id="{8DF44A2A-9015-4036-89BD-F8AD98AC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48169</xdr:colOff>
      <xdr:row>0</xdr:row>
      <xdr:rowOff>50799</xdr:rowOff>
    </xdr:to>
    <xdr:pic>
      <xdr:nvPicPr>
        <xdr:cNvPr id="1001" name="BExVTO5Q8G2M7BPL4B2584LQS0R0" descr="OB6Q8NA4LZFE4GM9Y3V56BPMQ" hidden="1">
          <a:extLst>
            <a:ext uri="{FF2B5EF4-FFF2-40B4-BE49-F238E27FC236}">
              <a16:creationId xmlns:a16="http://schemas.microsoft.com/office/drawing/2014/main" id="{A020146B-4CDF-430A-AA55-9AEDE2EB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48169</xdr:colOff>
      <xdr:row>0</xdr:row>
      <xdr:rowOff>126999</xdr:rowOff>
    </xdr:to>
    <xdr:pic>
      <xdr:nvPicPr>
        <xdr:cNvPr id="1002" name="BExIFSCLN1G86X78PFLTSMRP0US5" descr="9JK4SPV4DG7VTCZIILWHXQU5J" hidden="1">
          <a:extLst>
            <a:ext uri="{FF2B5EF4-FFF2-40B4-BE49-F238E27FC236}">
              <a16:creationId xmlns:a16="http://schemas.microsoft.com/office/drawing/2014/main" id="{8346F577-25E1-4FD8-94A0-068C8F22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1003" name="BEx1I152WN2D3A85O2XN0DGXCWHN" descr="KHBZFMANRA4UMJR1AB4M5NJNT" hidden="1">
          <a:extLst>
            <a:ext uri="{FF2B5EF4-FFF2-40B4-BE49-F238E27FC236}">
              <a16:creationId xmlns:a16="http://schemas.microsoft.com/office/drawing/2014/main" id="{79BFF387-9921-4592-B3DA-E2939213F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1004" name="BExW9676P0SKCVKK25QCGHPA3PAD" descr="9A4PWZ20RMSRF0PNECCDM75CA" hidden="1">
          <a:extLst>
            <a:ext uri="{FF2B5EF4-FFF2-40B4-BE49-F238E27FC236}">
              <a16:creationId xmlns:a16="http://schemas.microsoft.com/office/drawing/2014/main" id="{8F34B627-F7A3-4FF1-8452-8A68AE01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12696</xdr:rowOff>
    </xdr:to>
    <xdr:pic>
      <xdr:nvPicPr>
        <xdr:cNvPr id="1005" name="BExW253QPOZK9KW8BJC3LBXGCG2N" descr="Y5HX37BEUWSN1NEFJKZJXI3SX" hidden="1">
          <a:extLst>
            <a:ext uri="{FF2B5EF4-FFF2-40B4-BE49-F238E27FC236}">
              <a16:creationId xmlns:a16="http://schemas.microsoft.com/office/drawing/2014/main" id="{4937027B-3EEE-4E85-8182-DDA53C21F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1006" name="BExS5CPQ8P8JOQPK7ANNKHLSGOKU" hidden="1">
          <a:extLst>
            <a:ext uri="{FF2B5EF4-FFF2-40B4-BE49-F238E27FC236}">
              <a16:creationId xmlns:a16="http://schemas.microsoft.com/office/drawing/2014/main" id="{FCFE84D2-550C-4847-AEFE-728D3CBFA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1007" name="BExMM0AVUAIRNJLXB1FW8R0YB4ZZ" hidden="1">
          <a:extLst>
            <a:ext uri="{FF2B5EF4-FFF2-40B4-BE49-F238E27FC236}">
              <a16:creationId xmlns:a16="http://schemas.microsoft.com/office/drawing/2014/main" id="{9E37C87A-91B7-4BD6-AF67-F02C61B7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50799</xdr:colOff>
      <xdr:row>0</xdr:row>
      <xdr:rowOff>50799</xdr:rowOff>
    </xdr:to>
    <xdr:pic>
      <xdr:nvPicPr>
        <xdr:cNvPr id="1008" name="BExXZ7Y09CBS0XA7IPB3IRJ8RJM4" hidden="1">
          <a:extLst>
            <a:ext uri="{FF2B5EF4-FFF2-40B4-BE49-F238E27FC236}">
              <a16:creationId xmlns:a16="http://schemas.microsoft.com/office/drawing/2014/main" id="{B49C9AE1-E626-4613-9242-E4F0E7A1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50799</xdr:colOff>
      <xdr:row>0</xdr:row>
      <xdr:rowOff>126999</xdr:rowOff>
    </xdr:to>
    <xdr:pic>
      <xdr:nvPicPr>
        <xdr:cNvPr id="1009" name="BExQ7SXS9VUG7P6CACU2J7R2SGIZ" hidden="1">
          <a:extLst>
            <a:ext uri="{FF2B5EF4-FFF2-40B4-BE49-F238E27FC236}">
              <a16:creationId xmlns:a16="http://schemas.microsoft.com/office/drawing/2014/main" id="{A38521E7-5140-4A65-AF6C-1733F860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1010" name="BEx5AQZ4ETQ9LMY5EBWVH20Z7VXQ" hidden="1">
          <a:extLst>
            <a:ext uri="{FF2B5EF4-FFF2-40B4-BE49-F238E27FC236}">
              <a16:creationId xmlns:a16="http://schemas.microsoft.com/office/drawing/2014/main" id="{C193F817-27C6-465F-B34C-B7CE65927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11" name="BExUBK0YZ5VYFY8TTITJGJU9S06A" hidden="1">
          <a:extLst>
            <a:ext uri="{FF2B5EF4-FFF2-40B4-BE49-F238E27FC236}">
              <a16:creationId xmlns:a16="http://schemas.microsoft.com/office/drawing/2014/main" id="{BB3FE229-16C9-48CE-B2E5-172B1A08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66588</xdr:colOff>
      <xdr:row>0</xdr:row>
      <xdr:rowOff>50799</xdr:rowOff>
    </xdr:to>
    <xdr:pic>
      <xdr:nvPicPr>
        <xdr:cNvPr id="1012" name="BExUEZCSSJ7RN4J18I2NUIQR2FZS" hidden="1">
          <a:extLst>
            <a:ext uri="{FF2B5EF4-FFF2-40B4-BE49-F238E27FC236}">
              <a16:creationId xmlns:a16="http://schemas.microsoft.com/office/drawing/2014/main" id="{8A7E2D28-6154-4582-BDB0-7ED14FDC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66588</xdr:colOff>
      <xdr:row>0</xdr:row>
      <xdr:rowOff>126999</xdr:rowOff>
    </xdr:to>
    <xdr:pic>
      <xdr:nvPicPr>
        <xdr:cNvPr id="1013" name="BExS3JDQWF7U3F5JTEVOE16ASIYK" hidden="1">
          <a:extLst>
            <a:ext uri="{FF2B5EF4-FFF2-40B4-BE49-F238E27FC236}">
              <a16:creationId xmlns:a16="http://schemas.microsoft.com/office/drawing/2014/main" id="{953086FA-D4FC-4419-82C5-16FFB2B58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014" name="BEx973S463FCQVJ7QDFBUIU0WJ3F" descr="ZQTVYL8DCSADVT0QMRXFLU0TR" hidden="1">
          <a:extLst>
            <a:ext uri="{FF2B5EF4-FFF2-40B4-BE49-F238E27FC236}">
              <a16:creationId xmlns:a16="http://schemas.microsoft.com/office/drawing/2014/main" id="{5CB7A69C-5C0E-4D89-82BD-4058987E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63499</xdr:rowOff>
    </xdr:to>
    <xdr:pic>
      <xdr:nvPicPr>
        <xdr:cNvPr id="1015" name="BExRZO0PLWWMCLGRH7EH6UXYWGAJ" descr="9D4GQ34QB727H10MA3SSAR2R9" hidden="1">
          <a:extLst>
            <a:ext uri="{FF2B5EF4-FFF2-40B4-BE49-F238E27FC236}">
              <a16:creationId xmlns:a16="http://schemas.microsoft.com/office/drawing/2014/main" id="{E23FCA08-1D3F-4E6F-9577-84474DF9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176898</xdr:rowOff>
    </xdr:to>
    <xdr:pic>
      <xdr:nvPicPr>
        <xdr:cNvPr id="1016" name="BExBDP6HNAAJUM39SE5G2C8BKNRQ" descr="1TM64TL2QIMYV7WYSV2VLGXY4" hidden="1">
          <a:extLst>
            <a:ext uri="{FF2B5EF4-FFF2-40B4-BE49-F238E27FC236}">
              <a16:creationId xmlns:a16="http://schemas.microsoft.com/office/drawing/2014/main" id="{A1D18416-3D46-49B6-B290-83645A46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836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123912</xdr:rowOff>
    </xdr:to>
    <xdr:pic>
      <xdr:nvPicPr>
        <xdr:cNvPr id="1017" name="BExQEGJP61DL2NZY6LMBHBZ0J5YT" descr="D6ZNRZJ7EX4GZT9RO8LE0C905" hidden="1">
          <a:extLst>
            <a:ext uri="{FF2B5EF4-FFF2-40B4-BE49-F238E27FC236}">
              <a16:creationId xmlns:a16="http://schemas.microsoft.com/office/drawing/2014/main" id="{9ABEC28D-39DA-4887-92AD-CBFAFEB1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62596</xdr:rowOff>
    </xdr:to>
    <xdr:pic>
      <xdr:nvPicPr>
        <xdr:cNvPr id="1018" name="BExTY1BCS6HZIF6HI5491FGHDVAE" descr="MJ6976KI2UH1IE8M227DUYXMJ" hidden="1">
          <a:extLst>
            <a:ext uri="{FF2B5EF4-FFF2-40B4-BE49-F238E27FC236}">
              <a16:creationId xmlns:a16="http://schemas.microsoft.com/office/drawing/2014/main" id="{44CEA579-7F6D-4287-A837-E44D5E2C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1019" name="BEx5FXJGJOT93D0J2IRJ3985IUMI" hidden="1">
          <a:extLst>
            <a:ext uri="{FF2B5EF4-FFF2-40B4-BE49-F238E27FC236}">
              <a16:creationId xmlns:a16="http://schemas.microsoft.com/office/drawing/2014/main" id="{93D98938-DDEC-491A-9CAF-344E27924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50799</xdr:rowOff>
    </xdr:to>
    <xdr:pic>
      <xdr:nvPicPr>
        <xdr:cNvPr id="1020" name="BEx3RTMHAR35NUAAK49TV6NU7EPA" descr="QFXLG4ZCXTRQSJYFCKJ58G9N8" hidden="1">
          <a:extLst>
            <a:ext uri="{FF2B5EF4-FFF2-40B4-BE49-F238E27FC236}">
              <a16:creationId xmlns:a16="http://schemas.microsoft.com/office/drawing/2014/main" id="{C9B44F3D-B458-46CA-97EB-80D84D76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89803</xdr:rowOff>
    </xdr:to>
    <xdr:pic>
      <xdr:nvPicPr>
        <xdr:cNvPr id="1021" name="BExS8T38WLC2R738ZC7BDJQAKJAJ" descr="MRI962L5PB0E0YWXCIBN82VJH" hidden="1">
          <a:extLst>
            <a:ext uri="{FF2B5EF4-FFF2-40B4-BE49-F238E27FC236}">
              <a16:creationId xmlns:a16="http://schemas.microsoft.com/office/drawing/2014/main" id="{5336AA7B-2674-44D3-A764-C9CEBBDA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1022" name="BEx5F64BJ6DCM4EJH81D5ZFNPZ0V" descr="7DJ9FILZD2YPS6X1JBP9E76TU" hidden="1">
          <a:extLst>
            <a:ext uri="{FF2B5EF4-FFF2-40B4-BE49-F238E27FC236}">
              <a16:creationId xmlns:a16="http://schemas.microsoft.com/office/drawing/2014/main" id="{A0117DFE-050B-4376-B854-7C9E71230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1023" name="BExQEXXHA3EEXR44LT6RKCDWM6ZT" hidden="1">
          <a:extLst>
            <a:ext uri="{FF2B5EF4-FFF2-40B4-BE49-F238E27FC236}">
              <a16:creationId xmlns:a16="http://schemas.microsoft.com/office/drawing/2014/main" id="{1FDD1D54-3876-42B8-AA41-1CC2985B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166003</xdr:rowOff>
    </xdr:to>
    <xdr:pic>
      <xdr:nvPicPr>
        <xdr:cNvPr id="1024" name="BEx1X6AMHV6ZK3UJB2BXIJTJHYJU" descr="OALR4L95ELQLZ1Y1LETHM1CS9" hidden="1">
          <a:extLst>
            <a:ext uri="{FF2B5EF4-FFF2-40B4-BE49-F238E27FC236}">
              <a16:creationId xmlns:a16="http://schemas.microsoft.com/office/drawing/2014/main" id="{A9DB6BA6-578D-46A6-A4E5-5A7DBF373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50799</xdr:rowOff>
    </xdr:to>
    <xdr:pic>
      <xdr:nvPicPr>
        <xdr:cNvPr id="1025" name="BExSDIVCE09QKG3CT52PHCS6ZJ09" descr="9F076L7EQCF2COMMGCQG6BQGU" hidden="1">
          <a:extLst>
            <a:ext uri="{FF2B5EF4-FFF2-40B4-BE49-F238E27FC236}">
              <a16:creationId xmlns:a16="http://schemas.microsoft.com/office/drawing/2014/main" id="{41B2AFA5-A59C-44F2-80A9-B745F6262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63499</xdr:rowOff>
    </xdr:to>
    <xdr:pic>
      <xdr:nvPicPr>
        <xdr:cNvPr id="1026" name="BEx1QZGQZBAWJ8591VXEIPUOVS7X" descr="MEW27CPIFG44B7E7HEQUUF5QF" hidden="1">
          <a:extLst>
            <a:ext uri="{FF2B5EF4-FFF2-40B4-BE49-F238E27FC236}">
              <a16:creationId xmlns:a16="http://schemas.microsoft.com/office/drawing/2014/main" id="{E978051C-E44D-4829-A734-AA7A3F018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92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100696</xdr:rowOff>
    </xdr:to>
    <xdr:pic>
      <xdr:nvPicPr>
        <xdr:cNvPr id="1027" name="BExMF7LICJLPXSHM63A6EQ79YQKG" descr="U084VZL15IMB1OFRRAY6GVKAE" hidden="1">
          <a:extLst>
            <a:ext uri="{FF2B5EF4-FFF2-40B4-BE49-F238E27FC236}">
              <a16:creationId xmlns:a16="http://schemas.microsoft.com/office/drawing/2014/main" id="{C25FBD93-16A8-4648-920F-6E14F3B87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162012</xdr:rowOff>
    </xdr:to>
    <xdr:pic>
      <xdr:nvPicPr>
        <xdr:cNvPr id="1028" name="BExS343F8GCKP6HTF9Y97L133DX8" descr="ZRF0KB1IYQSNV63CTXT25G67G" hidden="1">
          <a:extLst>
            <a:ext uri="{FF2B5EF4-FFF2-40B4-BE49-F238E27FC236}">
              <a16:creationId xmlns:a16="http://schemas.microsoft.com/office/drawing/2014/main" id="{D3E4805D-506B-4A7B-8DA8-F30DF958C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1029" name="BExZMRC09W87CY4B73NPZMNH21AH" descr="78CUMI0OVLYJRSDRQ3V2YX812" hidden="1">
          <a:extLst>
            <a:ext uri="{FF2B5EF4-FFF2-40B4-BE49-F238E27FC236}">
              <a16:creationId xmlns:a16="http://schemas.microsoft.com/office/drawing/2014/main" id="{96B742DB-B82D-420A-8C65-4D94F7F3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100696</xdr:rowOff>
    </xdr:to>
    <xdr:pic>
      <xdr:nvPicPr>
        <xdr:cNvPr id="1030" name="BExZXVFJ4DY4I24AARDT4AMP6EN1" descr="TXSMH2MTH86CYKA26740RQPUC" hidden="1">
          <a:extLst>
            <a:ext uri="{FF2B5EF4-FFF2-40B4-BE49-F238E27FC236}">
              <a16:creationId xmlns:a16="http://schemas.microsoft.com/office/drawing/2014/main" id="{992A27CF-950B-49D2-B62C-EEF2F1AC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166003</xdr:rowOff>
    </xdr:to>
    <xdr:pic>
      <xdr:nvPicPr>
        <xdr:cNvPr id="1031" name="BExOCUIOFQWUGTBU5ESTW3EYEP5C" descr="9BNF49V0R6VVYPHEVMJ3ABDQZ" hidden="1">
          <a:extLst>
            <a:ext uri="{FF2B5EF4-FFF2-40B4-BE49-F238E27FC236}">
              <a16:creationId xmlns:a16="http://schemas.microsoft.com/office/drawing/2014/main" id="{63944E26-D54B-454F-86D7-3F3E1CC2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24496</xdr:rowOff>
    </xdr:to>
    <xdr:pic>
      <xdr:nvPicPr>
        <xdr:cNvPr id="1032" name="BExU65O9OE4B4MQ2A3OYH13M8BZJ" descr="3INNIMMPDBB0JF37L81M6ID21" hidden="1">
          <a:extLst>
            <a:ext uri="{FF2B5EF4-FFF2-40B4-BE49-F238E27FC236}">
              <a16:creationId xmlns:a16="http://schemas.microsoft.com/office/drawing/2014/main" id="{C627CBC1-C63A-4025-84B1-9589F9B9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294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89803</xdr:rowOff>
    </xdr:to>
    <xdr:pic>
      <xdr:nvPicPr>
        <xdr:cNvPr id="1033" name="BExOPRCR0UW7TKXSV5WDTL348FGL" descr="S9JM17GP1802LHN4GT14BJYIC" hidden="1">
          <a:extLst>
            <a:ext uri="{FF2B5EF4-FFF2-40B4-BE49-F238E27FC236}">
              <a16:creationId xmlns:a16="http://schemas.microsoft.com/office/drawing/2014/main" id="{637E6D48-5F4C-4445-BCA4-60A426A8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034" name="BEx5OESAY2W8SEGI3TSB65EHJ04B" descr="9CN2Y88X8WYV1HWZG1QILY9BK" hidden="1">
          <a:extLst>
            <a:ext uri="{FF2B5EF4-FFF2-40B4-BE49-F238E27FC236}">
              <a16:creationId xmlns:a16="http://schemas.microsoft.com/office/drawing/2014/main" id="{39DA85CA-DBEB-4065-B9B0-BE7858D20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12696</xdr:rowOff>
    </xdr:to>
    <xdr:pic>
      <xdr:nvPicPr>
        <xdr:cNvPr id="1035" name="BExGMWEQ2BYRY9BAO5T1X850MJN1" descr="AZ9ST0XDIOP50HSUFO5V31BR0" hidden="1">
          <a:extLst>
            <a:ext uri="{FF2B5EF4-FFF2-40B4-BE49-F238E27FC236}">
              <a16:creationId xmlns:a16="http://schemas.microsoft.com/office/drawing/2014/main" id="{0D64B54F-DAA8-4734-950B-E0A50502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74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9</xdr:col>
      <xdr:colOff>615861</xdr:colOff>
      <xdr:row>79</xdr:row>
      <xdr:rowOff>63046</xdr:rowOff>
    </xdr:to>
    <xdr:pic>
      <xdr:nvPicPr>
        <xdr:cNvPr id="1036" name="BExXRND8208TWULE9S50U89VKPB7" descr="ETUGZV0SKTQDQB8JOYY0DCX79" hidden="1">
          <a:extLst>
            <a:ext uri="{FF2B5EF4-FFF2-40B4-BE49-F238E27FC236}">
              <a16:creationId xmlns:a16="http://schemas.microsoft.com/office/drawing/2014/main" id="{16CEEDCF-D590-4C7B-BE75-75846D2449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71897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37" name="BExMO7VFCN4EL59982UR4AJ25JNJ" descr="XX6TINEJADZGKR0CTM7ZRT0RA" hidden="1">
          <a:extLst>
            <a:ext uri="{FF2B5EF4-FFF2-40B4-BE49-F238E27FC236}">
              <a16:creationId xmlns:a16="http://schemas.microsoft.com/office/drawing/2014/main" id="{6D96E0FA-586E-4879-B8A8-A065BE5B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38" name="BExU3EX5JJCXCII4YKUJBFBGIJR2" descr="OF5ZI9PI5WH36VPANJ2DYLNMI" hidden="1">
          <a:extLst>
            <a:ext uri="{FF2B5EF4-FFF2-40B4-BE49-F238E27FC236}">
              <a16:creationId xmlns:a16="http://schemas.microsoft.com/office/drawing/2014/main" id="{03A382DF-FF5B-43B5-A395-35285A09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1039" name="BEx1KD7H6UB1VYCJ7O61P562EIUY" descr="IQGV9140X0K0UPBL8OGU3I44J" hidden="1">
          <a:extLst>
            <a:ext uri="{FF2B5EF4-FFF2-40B4-BE49-F238E27FC236}">
              <a16:creationId xmlns:a16="http://schemas.microsoft.com/office/drawing/2014/main" id="{6E106FC8-5648-433F-A33D-E54AA3E7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40" name="BEx5BJQWS6YWHH4ZMSUAMD641V6Y" descr="ZTMFMXCIQSECDX38ALEFHUB00" hidden="1">
          <a:extLst>
            <a:ext uri="{FF2B5EF4-FFF2-40B4-BE49-F238E27FC236}">
              <a16:creationId xmlns:a16="http://schemas.microsoft.com/office/drawing/2014/main" id="{4A971081-C155-4FA8-9DD5-111CC6915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101145</xdr:colOff>
      <xdr:row>0</xdr:row>
      <xdr:rowOff>50799</xdr:rowOff>
    </xdr:to>
    <xdr:pic>
      <xdr:nvPicPr>
        <xdr:cNvPr id="1041" name="BExVTO5Q8G2M7BPL4B2584LQS0R0" descr="OB6Q8NA4LZFE4GM9Y3V56BPMQ" hidden="1">
          <a:extLst>
            <a:ext uri="{FF2B5EF4-FFF2-40B4-BE49-F238E27FC236}">
              <a16:creationId xmlns:a16="http://schemas.microsoft.com/office/drawing/2014/main" id="{85189F44-1883-4695-A928-F095D0AC2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101145</xdr:colOff>
      <xdr:row>0</xdr:row>
      <xdr:rowOff>126999</xdr:rowOff>
    </xdr:to>
    <xdr:pic>
      <xdr:nvPicPr>
        <xdr:cNvPr id="1042" name="BExIFSCLN1G86X78PFLTSMRP0US5" descr="9JK4SPV4DG7VTCZIILWHXQU5J" hidden="1">
          <a:extLst>
            <a:ext uri="{FF2B5EF4-FFF2-40B4-BE49-F238E27FC236}">
              <a16:creationId xmlns:a16="http://schemas.microsoft.com/office/drawing/2014/main" id="{57C8805B-62F4-4156-8C97-9BA9296E3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43" name="BEx1I152WN2D3A85O2XN0DGXCWHN" descr="KHBZFMANRA4UMJR1AB4M5NJNT" hidden="1">
          <a:extLst>
            <a:ext uri="{FF2B5EF4-FFF2-40B4-BE49-F238E27FC236}">
              <a16:creationId xmlns:a16="http://schemas.microsoft.com/office/drawing/2014/main" id="{6D37DFBC-4832-4A40-A741-E194D85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44" name="BExW9676P0SKCVKK25QCGHPA3PAD" descr="9A4PWZ20RMSRF0PNECCDM75CA" hidden="1">
          <a:extLst>
            <a:ext uri="{FF2B5EF4-FFF2-40B4-BE49-F238E27FC236}">
              <a16:creationId xmlns:a16="http://schemas.microsoft.com/office/drawing/2014/main" id="{55493D0E-A3DB-4C9C-8ECC-7B07E523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24946</xdr:rowOff>
    </xdr:to>
    <xdr:pic>
      <xdr:nvPicPr>
        <xdr:cNvPr id="1045" name="BExW253QPOZK9KW8BJC3LBXGCG2N" descr="Y5HX37BEUWSN1NEFJKZJXI3SX" hidden="1">
          <a:extLst>
            <a:ext uri="{FF2B5EF4-FFF2-40B4-BE49-F238E27FC236}">
              <a16:creationId xmlns:a16="http://schemas.microsoft.com/office/drawing/2014/main" id="{F9E06A1E-65E6-4862-A492-CA2B5EF0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46" name="BExS5CPQ8P8JOQPK7ANNKHLSGOKU" hidden="1">
          <a:extLst>
            <a:ext uri="{FF2B5EF4-FFF2-40B4-BE49-F238E27FC236}">
              <a16:creationId xmlns:a16="http://schemas.microsoft.com/office/drawing/2014/main" id="{10E18C73-2161-4A33-A213-6FCF060E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47" name="BExMM0AVUAIRNJLXB1FW8R0YB4ZZ" hidden="1">
          <a:extLst>
            <a:ext uri="{FF2B5EF4-FFF2-40B4-BE49-F238E27FC236}">
              <a16:creationId xmlns:a16="http://schemas.microsoft.com/office/drawing/2014/main" id="{43422286-7B58-46CE-B815-BEE83CB2B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48" name="BExXZ7Y09CBS0XA7IPB3IRJ8RJM4" hidden="1">
          <a:extLst>
            <a:ext uri="{FF2B5EF4-FFF2-40B4-BE49-F238E27FC236}">
              <a16:creationId xmlns:a16="http://schemas.microsoft.com/office/drawing/2014/main" id="{C513672E-ACFF-4639-96E5-3C54F6B4A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49" name="BExQ7SXS9VUG7P6CACU2J7R2SGIZ" hidden="1">
          <a:extLst>
            <a:ext uri="{FF2B5EF4-FFF2-40B4-BE49-F238E27FC236}">
              <a16:creationId xmlns:a16="http://schemas.microsoft.com/office/drawing/2014/main" id="{0517752A-2DAA-42D0-A085-A11521CD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1050" name="BEx5AQZ4ETQ9LMY5EBWVH20Z7VXQ" hidden="1">
          <a:extLst>
            <a:ext uri="{FF2B5EF4-FFF2-40B4-BE49-F238E27FC236}">
              <a16:creationId xmlns:a16="http://schemas.microsoft.com/office/drawing/2014/main" id="{BECAFC24-AB62-4823-BBF4-ABD41AD16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51" name="BExUBK0YZ5VYFY8TTITJGJU9S06A" hidden="1">
          <a:extLst>
            <a:ext uri="{FF2B5EF4-FFF2-40B4-BE49-F238E27FC236}">
              <a16:creationId xmlns:a16="http://schemas.microsoft.com/office/drawing/2014/main" id="{E5E161D0-B5D7-4218-AD81-34A4732A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66588</xdr:colOff>
      <xdr:row>0</xdr:row>
      <xdr:rowOff>50799</xdr:rowOff>
    </xdr:to>
    <xdr:pic>
      <xdr:nvPicPr>
        <xdr:cNvPr id="1052" name="BExUEZCSSJ7RN4J18I2NUIQR2FZS" hidden="1">
          <a:extLst>
            <a:ext uri="{FF2B5EF4-FFF2-40B4-BE49-F238E27FC236}">
              <a16:creationId xmlns:a16="http://schemas.microsoft.com/office/drawing/2014/main" id="{8481BABE-008A-4952-85F0-A8E6306F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66588</xdr:colOff>
      <xdr:row>0</xdr:row>
      <xdr:rowOff>126999</xdr:rowOff>
    </xdr:to>
    <xdr:pic>
      <xdr:nvPicPr>
        <xdr:cNvPr id="1053" name="BExS3JDQWF7U3F5JTEVOE16ASIYK" hidden="1">
          <a:extLst>
            <a:ext uri="{FF2B5EF4-FFF2-40B4-BE49-F238E27FC236}">
              <a16:creationId xmlns:a16="http://schemas.microsoft.com/office/drawing/2014/main" id="{FC37EE37-0F32-4F85-AA1F-C222525E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054" name="BEx973S463FCQVJ7QDFBUIU0WJ3F" descr="ZQTVYL8DCSADVT0QMRXFLU0TR" hidden="1">
          <a:extLst>
            <a:ext uri="{FF2B5EF4-FFF2-40B4-BE49-F238E27FC236}">
              <a16:creationId xmlns:a16="http://schemas.microsoft.com/office/drawing/2014/main" id="{B9726940-7BB3-4D3C-812B-8C0A4D3C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63045</xdr:rowOff>
    </xdr:to>
    <xdr:pic>
      <xdr:nvPicPr>
        <xdr:cNvPr id="1055" name="BExRZO0PLWWMCLGRH7EH6UXYWGAJ" descr="9D4GQ34QB727H10MA3SSAR2R9" hidden="1">
          <a:extLst>
            <a:ext uri="{FF2B5EF4-FFF2-40B4-BE49-F238E27FC236}">
              <a16:creationId xmlns:a16="http://schemas.microsoft.com/office/drawing/2014/main" id="{746E866E-C355-4863-9935-AA423864C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176898</xdr:rowOff>
    </xdr:to>
    <xdr:pic>
      <xdr:nvPicPr>
        <xdr:cNvPr id="1056" name="BExBDP6HNAAJUM39SE5G2C8BKNRQ" descr="1TM64TL2QIMYV7WYSV2VLGXY4" hidden="1">
          <a:extLst>
            <a:ext uri="{FF2B5EF4-FFF2-40B4-BE49-F238E27FC236}">
              <a16:creationId xmlns:a16="http://schemas.microsoft.com/office/drawing/2014/main" id="{63421780-6E62-4694-A0C9-D96FEEAD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836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139246</xdr:rowOff>
    </xdr:to>
    <xdr:pic>
      <xdr:nvPicPr>
        <xdr:cNvPr id="1057" name="BExQEGJP61DL2NZY6LMBHBZ0J5YT" descr="D6ZNRZJ7EX4GZT9RO8LE0C905" hidden="1">
          <a:extLst>
            <a:ext uri="{FF2B5EF4-FFF2-40B4-BE49-F238E27FC236}">
              <a16:creationId xmlns:a16="http://schemas.microsoft.com/office/drawing/2014/main" id="{AD5FDB1B-56ED-4BB7-AF97-9A935AB6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51255</xdr:rowOff>
    </xdr:to>
    <xdr:pic>
      <xdr:nvPicPr>
        <xdr:cNvPr id="1058" name="BExTY1BCS6HZIF6HI5491FGHDVAE" descr="MJ6976KI2UH1IE8M227DUYXMJ" hidden="1">
          <a:extLst>
            <a:ext uri="{FF2B5EF4-FFF2-40B4-BE49-F238E27FC236}">
              <a16:creationId xmlns:a16="http://schemas.microsoft.com/office/drawing/2014/main" id="{330C4035-AC96-4806-A5F8-B5AE3913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059" name="BEx5FXJGJOT93D0J2IRJ3985IUMI" hidden="1">
          <a:extLst>
            <a:ext uri="{FF2B5EF4-FFF2-40B4-BE49-F238E27FC236}">
              <a16:creationId xmlns:a16="http://schemas.microsoft.com/office/drawing/2014/main" id="{F9518621-F9F8-4F2B-A9FC-6A27B714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1060" name="BEx3RTMHAR35NUAAK49TV6NU7EPA" descr="QFXLG4ZCXTRQSJYFCKJ58G9N8" hidden="1">
          <a:extLst>
            <a:ext uri="{FF2B5EF4-FFF2-40B4-BE49-F238E27FC236}">
              <a16:creationId xmlns:a16="http://schemas.microsoft.com/office/drawing/2014/main" id="{D103800D-CD15-4733-8D38-6CCCE53D8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101146</xdr:rowOff>
    </xdr:to>
    <xdr:pic>
      <xdr:nvPicPr>
        <xdr:cNvPr id="1061" name="BExS8T38WLC2R738ZC7BDJQAKJAJ" descr="MRI962L5PB0E0YWXCIBN82VJH" hidden="1">
          <a:extLst>
            <a:ext uri="{FF2B5EF4-FFF2-40B4-BE49-F238E27FC236}">
              <a16:creationId xmlns:a16="http://schemas.microsoft.com/office/drawing/2014/main" id="{E496D8C8-C944-4FAA-BFBA-1E1054A0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062" name="BEx5F64BJ6DCM4EJH81D5ZFNPZ0V" descr="7DJ9FILZD2YPS6X1JBP9E76TU" hidden="1">
          <a:extLst>
            <a:ext uri="{FF2B5EF4-FFF2-40B4-BE49-F238E27FC236}">
              <a16:creationId xmlns:a16="http://schemas.microsoft.com/office/drawing/2014/main" id="{3641C216-BD41-45D6-B00A-1A1082BB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063" name="BExQEXXHA3EEXR44LT6RKCDWM6ZT" hidden="1">
          <a:extLst>
            <a:ext uri="{FF2B5EF4-FFF2-40B4-BE49-F238E27FC236}">
              <a16:creationId xmlns:a16="http://schemas.microsoft.com/office/drawing/2014/main" id="{D521D168-1040-4E7E-ABCC-327C92881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166003</xdr:rowOff>
    </xdr:to>
    <xdr:pic>
      <xdr:nvPicPr>
        <xdr:cNvPr id="1064" name="BEx1X6AMHV6ZK3UJB2BXIJTJHYJU" descr="OALR4L95ELQLZ1Y1LETHM1CS9" hidden="1">
          <a:extLst>
            <a:ext uri="{FF2B5EF4-FFF2-40B4-BE49-F238E27FC236}">
              <a16:creationId xmlns:a16="http://schemas.microsoft.com/office/drawing/2014/main" id="{5E478B1F-AFAC-47F7-B0AF-D45ABDE8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1065" name="BExSDIVCE09QKG3CT52PHCS6ZJ09" descr="9F076L7EQCF2COMMGCQG6BQGU" hidden="1">
          <a:extLst>
            <a:ext uri="{FF2B5EF4-FFF2-40B4-BE49-F238E27FC236}">
              <a16:creationId xmlns:a16="http://schemas.microsoft.com/office/drawing/2014/main" id="{BEEDD7C5-70B6-4FD0-B6CF-AB81CEEBB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63045</xdr:rowOff>
    </xdr:to>
    <xdr:pic>
      <xdr:nvPicPr>
        <xdr:cNvPr id="1066" name="BEx1QZGQZBAWJ8591VXEIPUOVS7X" descr="MEW27CPIFG44B7E7HEQUUF5QF" hidden="1">
          <a:extLst>
            <a:ext uri="{FF2B5EF4-FFF2-40B4-BE49-F238E27FC236}">
              <a16:creationId xmlns:a16="http://schemas.microsoft.com/office/drawing/2014/main" id="{6F6D4A1D-9CBC-457D-97BE-45E8CE2C2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89355</xdr:rowOff>
    </xdr:to>
    <xdr:pic>
      <xdr:nvPicPr>
        <xdr:cNvPr id="1067" name="BExMF7LICJLPXSHM63A6EQ79YQKG" descr="U084VZL15IMB1OFRRAY6GVKAE" hidden="1">
          <a:extLst>
            <a:ext uri="{FF2B5EF4-FFF2-40B4-BE49-F238E27FC236}">
              <a16:creationId xmlns:a16="http://schemas.microsoft.com/office/drawing/2014/main" id="{549BBA9D-FDF5-4667-869D-2D44F7B5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177346</xdr:rowOff>
    </xdr:to>
    <xdr:pic>
      <xdr:nvPicPr>
        <xdr:cNvPr id="1068" name="BExS343F8GCKP6HTF9Y97L133DX8" descr="ZRF0KB1IYQSNV63CTXT25G67G" hidden="1">
          <a:extLst>
            <a:ext uri="{FF2B5EF4-FFF2-40B4-BE49-F238E27FC236}">
              <a16:creationId xmlns:a16="http://schemas.microsoft.com/office/drawing/2014/main" id="{629EA43C-9B5A-4104-846D-7A52D9E10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1069" name="BExZMRC09W87CY4B73NPZMNH21AH" descr="78CUMI0OVLYJRSDRQ3V2YX812" hidden="1">
          <a:extLst>
            <a:ext uri="{FF2B5EF4-FFF2-40B4-BE49-F238E27FC236}">
              <a16:creationId xmlns:a16="http://schemas.microsoft.com/office/drawing/2014/main" id="{BBA8C213-3859-4FE7-B130-611F5061E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89355</xdr:rowOff>
    </xdr:to>
    <xdr:pic>
      <xdr:nvPicPr>
        <xdr:cNvPr id="1070" name="BExZXVFJ4DY4I24AARDT4AMP6EN1" descr="TXSMH2MTH86CYKA26740RQPUC" hidden="1">
          <a:extLst>
            <a:ext uri="{FF2B5EF4-FFF2-40B4-BE49-F238E27FC236}">
              <a16:creationId xmlns:a16="http://schemas.microsoft.com/office/drawing/2014/main" id="{109EE0E9-4822-44FD-BD71-BA222757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166003</xdr:rowOff>
    </xdr:to>
    <xdr:pic>
      <xdr:nvPicPr>
        <xdr:cNvPr id="1071" name="BExOCUIOFQWUGTBU5ESTW3EYEP5C" descr="9BNF49V0R6VVYPHEVMJ3ABDQZ" hidden="1">
          <a:extLst>
            <a:ext uri="{FF2B5EF4-FFF2-40B4-BE49-F238E27FC236}">
              <a16:creationId xmlns:a16="http://schemas.microsoft.com/office/drawing/2014/main" id="{49944F4A-AE9B-4915-B513-0EA0DADF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13155</xdr:rowOff>
    </xdr:to>
    <xdr:pic>
      <xdr:nvPicPr>
        <xdr:cNvPr id="1072" name="BExU65O9OE4B4MQ2A3OYH13M8BZJ" descr="3INNIMMPDBB0JF37L81M6ID21" hidden="1">
          <a:extLst>
            <a:ext uri="{FF2B5EF4-FFF2-40B4-BE49-F238E27FC236}">
              <a16:creationId xmlns:a16="http://schemas.microsoft.com/office/drawing/2014/main" id="{7C021E98-5C1F-411B-8EAC-332F8132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101146</xdr:rowOff>
    </xdr:to>
    <xdr:pic>
      <xdr:nvPicPr>
        <xdr:cNvPr id="1073" name="BExOPRCR0UW7TKXSV5WDTL348FGL" descr="S9JM17GP1802LHN4GT14BJYIC" hidden="1">
          <a:extLst>
            <a:ext uri="{FF2B5EF4-FFF2-40B4-BE49-F238E27FC236}">
              <a16:creationId xmlns:a16="http://schemas.microsoft.com/office/drawing/2014/main" id="{CE49617C-D08C-40DD-9741-DCCF71B6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074" name="BEx5OESAY2W8SEGI3TSB65EHJ04B" descr="9CN2Y88X8WYV1HWZG1QILY9BK" hidden="1">
          <a:extLst>
            <a:ext uri="{FF2B5EF4-FFF2-40B4-BE49-F238E27FC236}">
              <a16:creationId xmlns:a16="http://schemas.microsoft.com/office/drawing/2014/main" id="{2CB1D9A5-A0C8-4885-A3DF-DB8E77AB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075" name="BExGMWEQ2BYRY9BAO5T1X850MJN1" descr="AZ9ST0XDIOP50HSUFO5V31BR0" hidden="1">
          <a:extLst>
            <a:ext uri="{FF2B5EF4-FFF2-40B4-BE49-F238E27FC236}">
              <a16:creationId xmlns:a16="http://schemas.microsoft.com/office/drawing/2014/main" id="{DD6D02B5-3081-4819-B1E3-C0A0AF52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10</xdr:col>
      <xdr:colOff>2355</xdr:colOff>
      <xdr:row>79</xdr:row>
      <xdr:rowOff>63046</xdr:rowOff>
    </xdr:to>
    <xdr:pic>
      <xdr:nvPicPr>
        <xdr:cNvPr id="1076" name="BExXRND8208TWULE9S50U89VKPB7" descr="ETUGZV0SKTQDQB8JOYY0DCX79" hidden="1">
          <a:extLst>
            <a:ext uri="{FF2B5EF4-FFF2-40B4-BE49-F238E27FC236}">
              <a16:creationId xmlns:a16="http://schemas.microsoft.com/office/drawing/2014/main" id="{707D4538-CEC5-4172-9B89-1BA9E97D8C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00468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77" name="BExMO7VFCN4EL59982UR4AJ25JNJ" descr="XX6TINEJADZGKR0CTM7ZRT0RA" hidden="1">
          <a:extLst>
            <a:ext uri="{FF2B5EF4-FFF2-40B4-BE49-F238E27FC236}">
              <a16:creationId xmlns:a16="http://schemas.microsoft.com/office/drawing/2014/main" id="{28082AAE-52AE-400D-B053-7D53DAA17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78" name="BExU3EX5JJCXCII4YKUJBFBGIJR2" descr="OF5ZI9PI5WH36VPANJ2DYLNMI" hidden="1">
          <a:extLst>
            <a:ext uri="{FF2B5EF4-FFF2-40B4-BE49-F238E27FC236}">
              <a16:creationId xmlns:a16="http://schemas.microsoft.com/office/drawing/2014/main" id="{8A056A65-2C2E-4FB5-A115-AB0BE6DC1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1079" name="BEx1KD7H6UB1VYCJ7O61P562EIUY" descr="IQGV9140X0K0UPBL8OGU3I44J" hidden="1">
          <a:extLst>
            <a:ext uri="{FF2B5EF4-FFF2-40B4-BE49-F238E27FC236}">
              <a16:creationId xmlns:a16="http://schemas.microsoft.com/office/drawing/2014/main" id="{C978BC7F-44CD-4901-B2EF-78C42A1F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80" name="BEx5BJQWS6YWHH4ZMSUAMD641V6Y" descr="ZTMFMXCIQSECDX38ALEFHUB00" hidden="1">
          <a:extLst>
            <a:ext uri="{FF2B5EF4-FFF2-40B4-BE49-F238E27FC236}">
              <a16:creationId xmlns:a16="http://schemas.microsoft.com/office/drawing/2014/main" id="{B3A8E8C4-5015-444A-96E5-30552090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1476375</xdr:colOff>
      <xdr:row>0</xdr:row>
      <xdr:rowOff>9525</xdr:rowOff>
    </xdr:from>
    <xdr:to>
      <xdr:col>3</xdr:col>
      <xdr:colOff>101145</xdr:colOff>
      <xdr:row>0</xdr:row>
      <xdr:rowOff>50799</xdr:rowOff>
    </xdr:to>
    <xdr:pic>
      <xdr:nvPicPr>
        <xdr:cNvPr id="1081" name="BExVTO5Q8G2M7BPL4B2584LQS0R0" descr="OB6Q8NA4LZFE4GM9Y3V56BPMQ" hidden="1">
          <a:extLst>
            <a:ext uri="{FF2B5EF4-FFF2-40B4-BE49-F238E27FC236}">
              <a16:creationId xmlns:a16="http://schemas.microsoft.com/office/drawing/2014/main" id="{06329F29-F120-4C07-BD18-8A9727CDB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1476375</xdr:colOff>
      <xdr:row>0</xdr:row>
      <xdr:rowOff>85725</xdr:rowOff>
    </xdr:from>
    <xdr:to>
      <xdr:col>3</xdr:col>
      <xdr:colOff>101145</xdr:colOff>
      <xdr:row>0</xdr:row>
      <xdr:rowOff>126999</xdr:rowOff>
    </xdr:to>
    <xdr:pic>
      <xdr:nvPicPr>
        <xdr:cNvPr id="1082" name="BExIFSCLN1G86X78PFLTSMRP0US5" descr="9JK4SPV4DG7VTCZIILWHXQU5J" hidden="1">
          <a:extLst>
            <a:ext uri="{FF2B5EF4-FFF2-40B4-BE49-F238E27FC236}">
              <a16:creationId xmlns:a16="http://schemas.microsoft.com/office/drawing/2014/main" id="{593A1F6A-9A4A-4AD2-9019-2EE91A6EE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83" name="BEx1I152WN2D3A85O2XN0DGXCWHN" descr="KHBZFMANRA4UMJR1AB4M5NJNT" hidden="1">
          <a:extLst>
            <a:ext uri="{FF2B5EF4-FFF2-40B4-BE49-F238E27FC236}">
              <a16:creationId xmlns:a16="http://schemas.microsoft.com/office/drawing/2014/main" id="{B8A9BA7D-B905-4B21-B9C5-F1E39E26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84" name="BExW9676P0SKCVKK25QCGHPA3PAD" descr="9A4PWZ20RMSRF0PNECCDM75CA" hidden="1">
          <a:extLst>
            <a:ext uri="{FF2B5EF4-FFF2-40B4-BE49-F238E27FC236}">
              <a16:creationId xmlns:a16="http://schemas.microsoft.com/office/drawing/2014/main" id="{40CBDAE6-0B4C-4423-9074-CEBFF6E82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1</xdr:row>
      <xdr:rowOff>66675</xdr:rowOff>
    </xdr:from>
    <xdr:to>
      <xdr:col>1</xdr:col>
      <xdr:colOff>162012</xdr:colOff>
      <xdr:row>2</xdr:row>
      <xdr:rowOff>24946</xdr:rowOff>
    </xdr:to>
    <xdr:pic>
      <xdr:nvPicPr>
        <xdr:cNvPr id="1085" name="BExW253QPOZK9KW8BJC3LBXGCG2N" descr="Y5HX37BEUWSN1NEFJKZJXI3SX" hidden="1">
          <a:extLst>
            <a:ext uri="{FF2B5EF4-FFF2-40B4-BE49-F238E27FC236}">
              <a16:creationId xmlns:a16="http://schemas.microsoft.com/office/drawing/2014/main" id="{5E1F006F-7AA0-492E-8490-475DC1928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86" name="BExS5CPQ8P8JOQPK7ANNKHLSGOKU" hidden="1">
          <a:extLst>
            <a:ext uri="{FF2B5EF4-FFF2-40B4-BE49-F238E27FC236}">
              <a16:creationId xmlns:a16="http://schemas.microsoft.com/office/drawing/2014/main" id="{AB7521BC-8DF7-4C17-98E1-8F0838F26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87" name="BExMM0AVUAIRNJLXB1FW8R0YB4ZZ" hidden="1">
          <a:extLst>
            <a:ext uri="{FF2B5EF4-FFF2-40B4-BE49-F238E27FC236}">
              <a16:creationId xmlns:a16="http://schemas.microsoft.com/office/drawing/2014/main" id="{9625B77D-29AF-4395-A638-4CB72FC8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19050</xdr:colOff>
      <xdr:row>0</xdr:row>
      <xdr:rowOff>9525</xdr:rowOff>
    </xdr:from>
    <xdr:to>
      <xdr:col>1</xdr:col>
      <xdr:colOff>51254</xdr:colOff>
      <xdr:row>0</xdr:row>
      <xdr:rowOff>50799</xdr:rowOff>
    </xdr:to>
    <xdr:pic>
      <xdr:nvPicPr>
        <xdr:cNvPr id="1088" name="BExXZ7Y09CBS0XA7IPB3IRJ8RJM4" hidden="1">
          <a:extLst>
            <a:ext uri="{FF2B5EF4-FFF2-40B4-BE49-F238E27FC236}">
              <a16:creationId xmlns:a16="http://schemas.microsoft.com/office/drawing/2014/main" id="{8CFD273D-C93E-456E-955D-A16003C3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19050</xdr:colOff>
      <xdr:row>0</xdr:row>
      <xdr:rowOff>85725</xdr:rowOff>
    </xdr:from>
    <xdr:to>
      <xdr:col>1</xdr:col>
      <xdr:colOff>51254</xdr:colOff>
      <xdr:row>0</xdr:row>
      <xdr:rowOff>126999</xdr:rowOff>
    </xdr:to>
    <xdr:pic>
      <xdr:nvPicPr>
        <xdr:cNvPr id="1089" name="BExQ7SXS9VUG7P6CACU2J7R2SGIZ" hidden="1">
          <a:extLst>
            <a:ext uri="{FF2B5EF4-FFF2-40B4-BE49-F238E27FC236}">
              <a16:creationId xmlns:a16="http://schemas.microsoft.com/office/drawing/2014/main" id="{3A8FCA96-FE71-4F98-BE62-7BE3D687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9525</xdr:rowOff>
    </xdr:from>
    <xdr:to>
      <xdr:col>1</xdr:col>
      <xdr:colOff>992960</xdr:colOff>
      <xdr:row>0</xdr:row>
      <xdr:rowOff>50799</xdr:rowOff>
    </xdr:to>
    <xdr:pic>
      <xdr:nvPicPr>
        <xdr:cNvPr id="1090" name="BEx5AQZ4ETQ9LMY5EBWVH20Z7VXQ" hidden="1">
          <a:extLst>
            <a:ext uri="{FF2B5EF4-FFF2-40B4-BE49-F238E27FC236}">
              <a16:creationId xmlns:a16="http://schemas.microsoft.com/office/drawing/2014/main" id="{4FF37324-0E49-42B8-92D3-6DBFACFCA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876300</xdr:colOff>
      <xdr:row>0</xdr:row>
      <xdr:rowOff>85725</xdr:rowOff>
    </xdr:from>
    <xdr:to>
      <xdr:col>1</xdr:col>
      <xdr:colOff>992960</xdr:colOff>
      <xdr:row>0</xdr:row>
      <xdr:rowOff>126999</xdr:rowOff>
    </xdr:to>
    <xdr:pic>
      <xdr:nvPicPr>
        <xdr:cNvPr id="1091" name="BExUBK0YZ5VYFY8TTITJGJU9S06A" hidden="1">
          <a:extLst>
            <a:ext uri="{FF2B5EF4-FFF2-40B4-BE49-F238E27FC236}">
              <a16:creationId xmlns:a16="http://schemas.microsoft.com/office/drawing/2014/main" id="{2A640A72-41F7-4D50-A27A-C474F61EB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9525</xdr:rowOff>
    </xdr:from>
    <xdr:to>
      <xdr:col>3</xdr:col>
      <xdr:colOff>66588</xdr:colOff>
      <xdr:row>0</xdr:row>
      <xdr:rowOff>50799</xdr:rowOff>
    </xdr:to>
    <xdr:pic>
      <xdr:nvPicPr>
        <xdr:cNvPr id="1092" name="BExUEZCSSJ7RN4J18I2NUIQR2FZS" hidden="1">
          <a:extLst>
            <a:ext uri="{FF2B5EF4-FFF2-40B4-BE49-F238E27FC236}">
              <a16:creationId xmlns:a16="http://schemas.microsoft.com/office/drawing/2014/main" id="{2A8BA46C-53CD-4CA3-9116-118B62ACD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1485900</xdr:colOff>
      <xdr:row>0</xdr:row>
      <xdr:rowOff>85725</xdr:rowOff>
    </xdr:from>
    <xdr:to>
      <xdr:col>3</xdr:col>
      <xdr:colOff>66588</xdr:colOff>
      <xdr:row>0</xdr:row>
      <xdr:rowOff>126999</xdr:rowOff>
    </xdr:to>
    <xdr:pic>
      <xdr:nvPicPr>
        <xdr:cNvPr id="1093" name="BExS3JDQWF7U3F5JTEVOE16ASIYK" hidden="1">
          <a:extLst>
            <a:ext uri="{FF2B5EF4-FFF2-40B4-BE49-F238E27FC236}">
              <a16:creationId xmlns:a16="http://schemas.microsoft.com/office/drawing/2014/main" id="{F63780FB-EC34-4EA8-8427-E7AA4FD2F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094" name="BEx973S463FCQVJ7QDFBUIU0WJ3F" descr="ZQTVYL8DCSADVT0QMRXFLU0TR" hidden="1">
          <a:extLst>
            <a:ext uri="{FF2B5EF4-FFF2-40B4-BE49-F238E27FC236}">
              <a16:creationId xmlns:a16="http://schemas.microsoft.com/office/drawing/2014/main" id="{FE85E9C8-C9EB-46DF-A248-CC0EEA3C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7</xdr:row>
      <xdr:rowOff>104775</xdr:rowOff>
    </xdr:from>
    <xdr:to>
      <xdr:col>1</xdr:col>
      <xdr:colOff>203199</xdr:colOff>
      <xdr:row>8</xdr:row>
      <xdr:rowOff>63045</xdr:rowOff>
    </xdr:to>
    <xdr:pic>
      <xdr:nvPicPr>
        <xdr:cNvPr id="1095" name="BExRZO0PLWWMCLGRH7EH6UXYWGAJ" descr="9D4GQ34QB727H10MA3SSAR2R9" hidden="1">
          <a:extLst>
            <a:ext uri="{FF2B5EF4-FFF2-40B4-BE49-F238E27FC236}">
              <a16:creationId xmlns:a16="http://schemas.microsoft.com/office/drawing/2014/main" id="{06E7F728-B8AD-4C7B-BC9A-2A096F95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165099</xdr:colOff>
      <xdr:row>8</xdr:row>
      <xdr:rowOff>176898</xdr:rowOff>
    </xdr:to>
    <xdr:pic>
      <xdr:nvPicPr>
        <xdr:cNvPr id="1096" name="BExBDP6HNAAJUM39SE5G2C8BKNRQ" descr="1TM64TL2QIMYV7WYSV2VLGXY4" hidden="1">
          <a:extLst>
            <a:ext uri="{FF2B5EF4-FFF2-40B4-BE49-F238E27FC236}">
              <a16:creationId xmlns:a16="http://schemas.microsoft.com/office/drawing/2014/main" id="{D9543A04-65BC-4EC3-A432-CC0FE579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522639"/>
          <a:ext cx="121105" cy="12836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1</xdr:col>
      <xdr:colOff>165099</xdr:colOff>
      <xdr:row>9</xdr:row>
      <xdr:rowOff>139246</xdr:rowOff>
    </xdr:to>
    <xdr:pic>
      <xdr:nvPicPr>
        <xdr:cNvPr id="1097" name="BExQEGJP61DL2NZY6LMBHBZ0J5YT" descr="D6ZNRZJ7EX4GZT9RO8LE0C905" hidden="1">
          <a:extLst>
            <a:ext uri="{FF2B5EF4-FFF2-40B4-BE49-F238E27FC236}">
              <a16:creationId xmlns:a16="http://schemas.microsoft.com/office/drawing/2014/main" id="{667EAF88-59C3-4D96-B55C-098C9205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9</xdr:row>
      <xdr:rowOff>123825</xdr:rowOff>
    </xdr:from>
    <xdr:to>
      <xdr:col>1</xdr:col>
      <xdr:colOff>165099</xdr:colOff>
      <xdr:row>10</xdr:row>
      <xdr:rowOff>51255</xdr:rowOff>
    </xdr:to>
    <xdr:pic>
      <xdr:nvPicPr>
        <xdr:cNvPr id="1098" name="BExTY1BCS6HZIF6HI5491FGHDVAE" descr="MJ6976KI2UH1IE8M227DUYXMJ" hidden="1">
          <a:extLst>
            <a:ext uri="{FF2B5EF4-FFF2-40B4-BE49-F238E27FC236}">
              <a16:creationId xmlns:a16="http://schemas.microsoft.com/office/drawing/2014/main" id="{5BF2346A-CC23-4277-810B-5E0F37B4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782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099" name="BEx5FXJGJOT93D0J2IRJ3985IUMI" hidden="1">
          <a:extLst>
            <a:ext uri="{FF2B5EF4-FFF2-40B4-BE49-F238E27FC236}">
              <a16:creationId xmlns:a16="http://schemas.microsoft.com/office/drawing/2014/main" id="{35F67CCC-071A-45AD-BD31-6EB70BBA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1100" name="BEx3RTMHAR35NUAAK49TV6NU7EPA" descr="QFXLG4ZCXTRQSJYFCKJ58G9N8" hidden="1">
          <a:extLst>
            <a:ext uri="{FF2B5EF4-FFF2-40B4-BE49-F238E27FC236}">
              <a16:creationId xmlns:a16="http://schemas.microsoft.com/office/drawing/2014/main" id="{2148E4EB-3B52-4A88-8A96-B3034601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2</xdr:row>
      <xdr:rowOff>142875</xdr:rowOff>
    </xdr:from>
    <xdr:to>
      <xdr:col>1</xdr:col>
      <xdr:colOff>203199</xdr:colOff>
      <xdr:row>3</xdr:row>
      <xdr:rowOff>101146</xdr:rowOff>
    </xdr:to>
    <xdr:pic>
      <xdr:nvPicPr>
        <xdr:cNvPr id="1101" name="BExS8T38WLC2R738ZC7BDJQAKJAJ" descr="MRI962L5PB0E0YWXCIBN82VJH" hidden="1">
          <a:extLst>
            <a:ext uri="{FF2B5EF4-FFF2-40B4-BE49-F238E27FC236}">
              <a16:creationId xmlns:a16="http://schemas.microsoft.com/office/drawing/2014/main" id="{494818C2-2123-48A2-96B3-7A44A844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102" name="BEx5F64BJ6DCM4EJH81D5ZFNPZ0V" descr="7DJ9FILZD2YPS6X1JBP9E76TU" hidden="1">
          <a:extLst>
            <a:ext uri="{FF2B5EF4-FFF2-40B4-BE49-F238E27FC236}">
              <a16:creationId xmlns:a16="http://schemas.microsoft.com/office/drawing/2014/main" id="{FBD5C81B-4324-4A4E-8DFE-6475AF3F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103" name="BExQEXXHA3EEXR44LT6RKCDWM6ZT" hidden="1">
          <a:extLst>
            <a:ext uri="{FF2B5EF4-FFF2-40B4-BE49-F238E27FC236}">
              <a16:creationId xmlns:a16="http://schemas.microsoft.com/office/drawing/2014/main" id="{2B5E7347-18D7-4F77-B0DD-CB83EBDF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85725</xdr:colOff>
      <xdr:row>4</xdr:row>
      <xdr:rowOff>28575</xdr:rowOff>
    </xdr:from>
    <xdr:to>
      <xdr:col>1</xdr:col>
      <xdr:colOff>203199</xdr:colOff>
      <xdr:row>4</xdr:row>
      <xdr:rowOff>166003</xdr:rowOff>
    </xdr:to>
    <xdr:pic>
      <xdr:nvPicPr>
        <xdr:cNvPr id="1104" name="BEx1X6AMHV6ZK3UJB2BXIJTJHYJU" descr="OALR4L95ELQLZ1Y1LETHM1CS9" hidden="1">
          <a:extLst>
            <a:ext uri="{FF2B5EF4-FFF2-40B4-BE49-F238E27FC236}">
              <a16:creationId xmlns:a16="http://schemas.microsoft.com/office/drawing/2014/main" id="{CD274D7F-6F60-4CC8-8E91-A5A8B7E3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9525</xdr:colOff>
      <xdr:row>0</xdr:row>
      <xdr:rowOff>123825</xdr:rowOff>
    </xdr:from>
    <xdr:to>
      <xdr:col>1</xdr:col>
      <xdr:colOff>126999</xdr:colOff>
      <xdr:row>1</xdr:row>
      <xdr:rowOff>51254</xdr:rowOff>
    </xdr:to>
    <xdr:pic>
      <xdr:nvPicPr>
        <xdr:cNvPr id="1105" name="BExSDIVCE09QKG3CT52PHCS6ZJ09" descr="9F076L7EQCF2COMMGCQG6BQGU" hidden="1">
          <a:extLst>
            <a:ext uri="{FF2B5EF4-FFF2-40B4-BE49-F238E27FC236}">
              <a16:creationId xmlns:a16="http://schemas.microsoft.com/office/drawing/2014/main" id="{43E9CE3B-915A-4E2A-86FA-946B71850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7</xdr:row>
      <xdr:rowOff>104775</xdr:rowOff>
    </xdr:from>
    <xdr:to>
      <xdr:col>1</xdr:col>
      <xdr:colOff>165099</xdr:colOff>
      <xdr:row>8</xdr:row>
      <xdr:rowOff>63045</xdr:rowOff>
    </xdr:to>
    <xdr:pic>
      <xdr:nvPicPr>
        <xdr:cNvPr id="1106" name="BEx1QZGQZBAWJ8591VXEIPUOVS7X" descr="MEW27CPIFG44B7E7HEQUUF5QF" hidden="1">
          <a:extLst>
            <a:ext uri="{FF2B5EF4-FFF2-40B4-BE49-F238E27FC236}">
              <a16:creationId xmlns:a16="http://schemas.microsoft.com/office/drawing/2014/main" id="{0F1D25AD-7DB1-4AB0-B79E-ED8FBFB7E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392011"/>
          <a:ext cx="121105" cy="13878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161925</xdr:rowOff>
    </xdr:from>
    <xdr:to>
      <xdr:col>1</xdr:col>
      <xdr:colOff>165099</xdr:colOff>
      <xdr:row>7</xdr:row>
      <xdr:rowOff>89355</xdr:rowOff>
    </xdr:to>
    <xdr:pic>
      <xdr:nvPicPr>
        <xdr:cNvPr id="1107" name="BExMF7LICJLPXSHM63A6EQ79YQKG" descr="U084VZL15IMB1OFRRAY6GVKAE" hidden="1">
          <a:extLst>
            <a:ext uri="{FF2B5EF4-FFF2-40B4-BE49-F238E27FC236}">
              <a16:creationId xmlns:a16="http://schemas.microsoft.com/office/drawing/2014/main" id="{29B9846B-C6AB-4048-BBAF-C03AED53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686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6</xdr:row>
      <xdr:rowOff>38100</xdr:rowOff>
    </xdr:from>
    <xdr:to>
      <xdr:col>1</xdr:col>
      <xdr:colOff>165099</xdr:colOff>
      <xdr:row>6</xdr:row>
      <xdr:rowOff>177346</xdr:rowOff>
    </xdr:to>
    <xdr:pic>
      <xdr:nvPicPr>
        <xdr:cNvPr id="1108" name="BExS343F8GCKP6HTF9Y97L133DX8" descr="ZRF0KB1IYQSNV63CTXT25G67G" hidden="1">
          <a:extLst>
            <a:ext uri="{FF2B5EF4-FFF2-40B4-BE49-F238E27FC236}">
              <a16:creationId xmlns:a16="http://schemas.microsoft.com/office/drawing/2014/main" id="{B3F15B27-C54D-4A12-A72F-7890CCAF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5</xdr:row>
      <xdr:rowOff>95250</xdr:rowOff>
    </xdr:from>
    <xdr:to>
      <xdr:col>1</xdr:col>
      <xdr:colOff>165099</xdr:colOff>
      <xdr:row>6</xdr:row>
      <xdr:rowOff>12699</xdr:rowOff>
    </xdr:to>
    <xdr:pic>
      <xdr:nvPicPr>
        <xdr:cNvPr id="1109" name="BExZMRC09W87CY4B73NPZMNH21AH" descr="78CUMI0OVLYJRSDRQ3V2YX812" hidden="1">
          <a:extLst>
            <a:ext uri="{FF2B5EF4-FFF2-40B4-BE49-F238E27FC236}">
              <a16:creationId xmlns:a16="http://schemas.microsoft.com/office/drawing/2014/main" id="{947C79AE-000F-49EF-840C-526694480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013279"/>
          <a:ext cx="121105" cy="1079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161925</xdr:rowOff>
    </xdr:from>
    <xdr:to>
      <xdr:col>1</xdr:col>
      <xdr:colOff>165099</xdr:colOff>
      <xdr:row>5</xdr:row>
      <xdr:rowOff>89355</xdr:rowOff>
    </xdr:to>
    <xdr:pic>
      <xdr:nvPicPr>
        <xdr:cNvPr id="1110" name="BExZXVFJ4DY4I24AARDT4AMP6EN1" descr="TXSMH2MTH86CYKA26740RQPUC" hidden="1">
          <a:extLst>
            <a:ext uri="{FF2B5EF4-FFF2-40B4-BE49-F238E27FC236}">
              <a16:creationId xmlns:a16="http://schemas.microsoft.com/office/drawing/2014/main" id="{B5DC9A27-8DBB-4F28-8FC5-D2B5C259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0033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4</xdr:row>
      <xdr:rowOff>28575</xdr:rowOff>
    </xdr:from>
    <xdr:to>
      <xdr:col>1</xdr:col>
      <xdr:colOff>165099</xdr:colOff>
      <xdr:row>4</xdr:row>
      <xdr:rowOff>166003</xdr:rowOff>
    </xdr:to>
    <xdr:pic>
      <xdr:nvPicPr>
        <xdr:cNvPr id="1111" name="BExOCUIOFQWUGTBU5ESTW3EYEP5C" descr="9BNF49V0R6VVYPHEVMJ3ABDQZ" hidden="1">
          <a:extLst>
            <a:ext uri="{FF2B5EF4-FFF2-40B4-BE49-F238E27FC236}">
              <a16:creationId xmlns:a16="http://schemas.microsoft.com/office/drawing/2014/main" id="{AE2695E6-9DB0-4AF0-88FC-D153FFB3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63361"/>
          <a:ext cx="121105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3</xdr:row>
      <xdr:rowOff>85725</xdr:rowOff>
    </xdr:from>
    <xdr:to>
      <xdr:col>1</xdr:col>
      <xdr:colOff>165099</xdr:colOff>
      <xdr:row>4</xdr:row>
      <xdr:rowOff>13155</xdr:rowOff>
    </xdr:to>
    <xdr:pic>
      <xdr:nvPicPr>
        <xdr:cNvPr id="1112" name="BExU65O9OE4B4MQ2A3OYH13M8BZJ" descr="3INNIMMPDBB0JF37L81M6ID21" hidden="1">
          <a:extLst>
            <a:ext uri="{FF2B5EF4-FFF2-40B4-BE49-F238E27FC236}">
              <a16:creationId xmlns:a16="http://schemas.microsoft.com/office/drawing/2014/main" id="{9DE12642-CF64-43CA-8CCE-01872FF5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639989"/>
          <a:ext cx="121105" cy="11793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142875</xdr:rowOff>
    </xdr:from>
    <xdr:to>
      <xdr:col>1</xdr:col>
      <xdr:colOff>165099</xdr:colOff>
      <xdr:row>3</xdr:row>
      <xdr:rowOff>101146</xdr:rowOff>
    </xdr:to>
    <xdr:pic>
      <xdr:nvPicPr>
        <xdr:cNvPr id="1113" name="BExOPRCR0UW7TKXSV5WDTL348FGL" descr="S9JM17GP1802LHN4GT14BJYIC" hidden="1">
          <a:extLst>
            <a:ext uri="{FF2B5EF4-FFF2-40B4-BE49-F238E27FC236}">
              <a16:creationId xmlns:a16="http://schemas.microsoft.com/office/drawing/2014/main" id="{D37126BF-0930-4C85-98D9-90FABF0E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2</xdr:row>
      <xdr:rowOff>9525</xdr:rowOff>
    </xdr:from>
    <xdr:to>
      <xdr:col>1</xdr:col>
      <xdr:colOff>165099</xdr:colOff>
      <xdr:row>2</xdr:row>
      <xdr:rowOff>121286</xdr:rowOff>
    </xdr:to>
    <xdr:pic>
      <xdr:nvPicPr>
        <xdr:cNvPr id="1114" name="BEx5OESAY2W8SEGI3TSB65EHJ04B" descr="9CN2Y88X8WYV1HWZG1QILY9BK" hidden="1">
          <a:extLst>
            <a:ext uri="{FF2B5EF4-FFF2-40B4-BE49-F238E27FC236}">
              <a16:creationId xmlns:a16="http://schemas.microsoft.com/office/drawing/2014/main" id="{D1BBC282-C2B2-45ED-B13F-DFAD5188F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065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47625</xdr:colOff>
      <xdr:row>1</xdr:row>
      <xdr:rowOff>66675</xdr:rowOff>
    </xdr:from>
    <xdr:to>
      <xdr:col>1</xdr:col>
      <xdr:colOff>165099</xdr:colOff>
      <xdr:row>2</xdr:row>
      <xdr:rowOff>24946</xdr:rowOff>
    </xdr:to>
    <xdr:pic>
      <xdr:nvPicPr>
        <xdr:cNvPr id="1115" name="BExGMWEQ2BYRY9BAO5T1X850MJN1" descr="AZ9ST0XDIOP50HSUFO5V31BR0" hidden="1">
          <a:extLst>
            <a:ext uri="{FF2B5EF4-FFF2-40B4-BE49-F238E27FC236}">
              <a16:creationId xmlns:a16="http://schemas.microsoft.com/office/drawing/2014/main" id="{C23ADD33-4162-4CB8-9066-AFEF12E35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10</xdr:col>
      <xdr:colOff>2355</xdr:colOff>
      <xdr:row>79</xdr:row>
      <xdr:rowOff>63046</xdr:rowOff>
    </xdr:to>
    <xdr:pic>
      <xdr:nvPicPr>
        <xdr:cNvPr id="1116" name="BExXRND8208TWULE9S50U89VKPB7" descr="ETUGZV0SKTQDQB8JOYY0DCX79" hidden="1">
          <a:extLst>
            <a:ext uri="{FF2B5EF4-FFF2-40B4-BE49-F238E27FC236}">
              <a16:creationId xmlns:a16="http://schemas.microsoft.com/office/drawing/2014/main" id="{A9ADD966-D26C-417B-811F-6415DC6D10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00468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117" name="BExMO7VFCN4EL59982UR4AJ25JNJ" descr="XX6TINEJADZGKR0CTM7ZRT0RA" hidden="1">
          <a:extLst>
            <a:ext uri="{FF2B5EF4-FFF2-40B4-BE49-F238E27FC236}">
              <a16:creationId xmlns:a16="http://schemas.microsoft.com/office/drawing/2014/main" id="{9E5C2589-963B-41CC-89C7-6730BCDD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118" name="BExU3EX5JJCXCII4YKUJBFBGIJR2" descr="OF5ZI9PI5WH36VPANJ2DYLNMI" hidden="1">
          <a:extLst>
            <a:ext uri="{FF2B5EF4-FFF2-40B4-BE49-F238E27FC236}">
              <a16:creationId xmlns:a16="http://schemas.microsoft.com/office/drawing/2014/main" id="{48CA1E42-F5AE-4EA1-8E3B-366F4B0CF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1119" name="BEx1KD7H6UB1VYCJ7O61P562EIUY" descr="IQGV9140X0K0UPBL8OGU3I44J" hidden="1">
          <a:extLst>
            <a:ext uri="{FF2B5EF4-FFF2-40B4-BE49-F238E27FC236}">
              <a16:creationId xmlns:a16="http://schemas.microsoft.com/office/drawing/2014/main" id="{5936925E-C177-46CD-9D68-453CEA736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1120" name="BEx5BJQWS6YWHH4ZMSUAMD641V6Y" descr="ZTMFMXCIQSECDX38ALEFHUB00" hidden="1">
          <a:extLst>
            <a:ext uri="{FF2B5EF4-FFF2-40B4-BE49-F238E27FC236}">
              <a16:creationId xmlns:a16="http://schemas.microsoft.com/office/drawing/2014/main" id="{9C1F1D2B-21E5-47A4-8F5F-06031940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1</xdr:row>
      <xdr:rowOff>9525</xdr:rowOff>
    </xdr:from>
    <xdr:ext cx="47625" cy="47625"/>
    <xdr:pic macro="[1]!DesignIconClicked">
      <xdr:nvPicPr>
        <xdr:cNvPr id="1121" name="BExVTO5Q8G2M7BPL4B2584LQS0R0" descr="OB6Q8NA4LZFE4GM9Y3V56BPMQ" hidden="1">
          <a:extLst>
            <a:ext uri="{FF2B5EF4-FFF2-40B4-BE49-F238E27FC236}">
              <a16:creationId xmlns:a16="http://schemas.microsoft.com/office/drawing/2014/main" id="{8B05E1AD-3ECA-473F-A7E9-3C9B953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1</xdr:row>
      <xdr:rowOff>85725</xdr:rowOff>
    </xdr:from>
    <xdr:ext cx="47625" cy="47625"/>
    <xdr:pic macro="[1]!DesignIconClicked">
      <xdr:nvPicPr>
        <xdr:cNvPr id="1122" name="BExIFSCLN1G86X78PFLTSMRP0US5" descr="9JK4SPV4DG7VTCZIILWHXQU5J" hidden="1">
          <a:extLst>
            <a:ext uri="{FF2B5EF4-FFF2-40B4-BE49-F238E27FC236}">
              <a16:creationId xmlns:a16="http://schemas.microsoft.com/office/drawing/2014/main" id="{72092685-D1FB-4AF4-AAEF-2ADF56F3D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123" name="BEx1I152WN2D3A85O2XN0DGXCWHN" descr="KHBZFMANRA4UMJR1AB4M5NJNT" hidden="1">
          <a:extLst>
            <a:ext uri="{FF2B5EF4-FFF2-40B4-BE49-F238E27FC236}">
              <a16:creationId xmlns:a16="http://schemas.microsoft.com/office/drawing/2014/main" id="{5087C29A-C3F9-4D86-A308-B2262DE4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124" name="BExW9676P0SKCVKK25QCGHPA3PAD" descr="9A4PWZ20RMSRF0PNECCDM75CA" hidden="1">
          <a:extLst>
            <a:ext uri="{FF2B5EF4-FFF2-40B4-BE49-F238E27FC236}">
              <a16:creationId xmlns:a16="http://schemas.microsoft.com/office/drawing/2014/main" id="{FFB53F6C-4066-4567-B869-B4B8D13F2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3</xdr:row>
      <xdr:rowOff>0</xdr:rowOff>
    </xdr:from>
    <xdr:ext cx="123825" cy="123825"/>
    <xdr:pic macro="[1]!DesignIconClicked">
      <xdr:nvPicPr>
        <xdr:cNvPr id="1125" name="BExW253QPOZK9KW8BJC3LBXGCG2N" descr="Y5HX37BEUWSN1NEFJKZJXI3SX" hidden="1">
          <a:extLst>
            <a:ext uri="{FF2B5EF4-FFF2-40B4-BE49-F238E27FC236}">
              <a16:creationId xmlns:a16="http://schemas.microsoft.com/office/drawing/2014/main" id="{2CF2D21C-0FA3-4F28-9089-629E29899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126" name="BExS5CPQ8P8JOQPK7ANNKHLSGOKU" hidden="1">
          <a:extLst>
            <a:ext uri="{FF2B5EF4-FFF2-40B4-BE49-F238E27FC236}">
              <a16:creationId xmlns:a16="http://schemas.microsoft.com/office/drawing/2014/main" id="{63E0F1C6-B3CF-4620-9DC5-809B8549D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127" name="BExMM0AVUAIRNJLXB1FW8R0YB4ZZ" hidden="1">
          <a:extLst>
            <a:ext uri="{FF2B5EF4-FFF2-40B4-BE49-F238E27FC236}">
              <a16:creationId xmlns:a16="http://schemas.microsoft.com/office/drawing/2014/main" id="{72424F5C-CCE9-437D-8338-0C1ECCAD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128" name="BExXZ7Y09CBS0XA7IPB3IRJ8RJM4" hidden="1">
          <a:extLst>
            <a:ext uri="{FF2B5EF4-FFF2-40B4-BE49-F238E27FC236}">
              <a16:creationId xmlns:a16="http://schemas.microsoft.com/office/drawing/2014/main" id="{1238F97B-8E1F-4362-9740-268BDF45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129" name="BExQ7SXS9VUG7P6CACU2J7R2SGIZ" hidden="1">
          <a:extLst>
            <a:ext uri="{FF2B5EF4-FFF2-40B4-BE49-F238E27FC236}">
              <a16:creationId xmlns:a16="http://schemas.microsoft.com/office/drawing/2014/main" id="{1FCEC844-833E-4D5C-9B43-9A697476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1130" name="BEx5AQZ4ETQ9LMY5EBWVH20Z7VXQ" hidden="1">
          <a:extLst>
            <a:ext uri="{FF2B5EF4-FFF2-40B4-BE49-F238E27FC236}">
              <a16:creationId xmlns:a16="http://schemas.microsoft.com/office/drawing/2014/main" id="{A02069C0-9DF6-49D2-91E7-BF54F098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1131" name="BExUBK0YZ5VYFY8TTITJGJU9S06A" hidden="1">
          <a:extLst>
            <a:ext uri="{FF2B5EF4-FFF2-40B4-BE49-F238E27FC236}">
              <a16:creationId xmlns:a16="http://schemas.microsoft.com/office/drawing/2014/main" id="{CEDCAE44-025B-4649-B972-304506DB1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9525</xdr:rowOff>
    </xdr:from>
    <xdr:ext cx="47625" cy="47625"/>
    <xdr:pic macro="[1]!DesignIconClicked">
      <xdr:nvPicPr>
        <xdr:cNvPr id="1132" name="BExUEZCSSJ7RN4J18I2NUIQR2FZS" hidden="1">
          <a:extLst>
            <a:ext uri="{FF2B5EF4-FFF2-40B4-BE49-F238E27FC236}">
              <a16:creationId xmlns:a16="http://schemas.microsoft.com/office/drawing/2014/main" id="{A812399D-9D4B-40A5-BD6C-CCD5A551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1</xdr:row>
      <xdr:rowOff>85725</xdr:rowOff>
    </xdr:from>
    <xdr:ext cx="47625" cy="47625"/>
    <xdr:pic macro="[1]!DesignIconClicked">
      <xdr:nvPicPr>
        <xdr:cNvPr id="1133" name="BExS3JDQWF7U3F5JTEVOE16ASIYK" hidden="1">
          <a:extLst>
            <a:ext uri="{FF2B5EF4-FFF2-40B4-BE49-F238E27FC236}">
              <a16:creationId xmlns:a16="http://schemas.microsoft.com/office/drawing/2014/main" id="{1140039C-99F3-4CF5-A9CC-5F66FA1DC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1134" name="BEx973S463FCQVJ7QDFBUIU0WJ3F" descr="ZQTVYL8DCSADVT0QMRXFLU0TR" hidden="1">
          <a:extLst>
            <a:ext uri="{FF2B5EF4-FFF2-40B4-BE49-F238E27FC236}">
              <a16:creationId xmlns:a16="http://schemas.microsoft.com/office/drawing/2014/main" id="{C340DE76-14CE-45A3-9AB4-2523B72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12</xdr:row>
      <xdr:rowOff>0</xdr:rowOff>
    </xdr:from>
    <xdr:ext cx="123825" cy="123825"/>
    <xdr:pic macro="[1]!DesignIconClicked">
      <xdr:nvPicPr>
        <xdr:cNvPr id="1135" name="BExRZO0PLWWMCLGRH7EH6UXYWGAJ" descr="9D4GQ34QB727H10MA3SSAR2R9" hidden="1">
          <a:extLst>
            <a:ext uri="{FF2B5EF4-FFF2-40B4-BE49-F238E27FC236}">
              <a16:creationId xmlns:a16="http://schemas.microsoft.com/office/drawing/2014/main" id="{FD3BE2F6-C6E1-4C64-8FCD-B580F0FF1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1136" name="BExBDP6HNAAJUM39SE5G2C8BKNRQ" descr="1TM64TL2QIMYV7WYSV2VLGXY4" hidden="1">
          <a:extLst>
            <a:ext uri="{FF2B5EF4-FFF2-40B4-BE49-F238E27FC236}">
              <a16:creationId xmlns:a16="http://schemas.microsoft.com/office/drawing/2014/main" id="{679B49C8-E327-41D0-AF97-F8641368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1137" name="BExQEGJP61DL2NZY6LMBHBZ0J5YT" descr="D6ZNRZJ7EX4GZT9RO8LE0C905" hidden="1">
          <a:extLst>
            <a:ext uri="{FF2B5EF4-FFF2-40B4-BE49-F238E27FC236}">
              <a16:creationId xmlns:a16="http://schemas.microsoft.com/office/drawing/2014/main" id="{D7042D91-13A2-4D75-9F63-CD1B8443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15</xdr:row>
      <xdr:rowOff>0</xdr:rowOff>
    </xdr:from>
    <xdr:ext cx="123825" cy="123825"/>
    <xdr:pic macro="[1]!DesignIconClicked">
      <xdr:nvPicPr>
        <xdr:cNvPr id="1138" name="BExTY1BCS6HZIF6HI5491FGHDVAE" descr="MJ6976KI2UH1IE8M227DUYXMJ" hidden="1">
          <a:extLst>
            <a:ext uri="{FF2B5EF4-FFF2-40B4-BE49-F238E27FC236}">
              <a16:creationId xmlns:a16="http://schemas.microsoft.com/office/drawing/2014/main" id="{CC4C65A2-3CA6-43C8-AA5C-E3C3BF6A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139" name="BEx5FXJGJOT93D0J2IRJ3985IUMI" hidden="1">
          <a:extLst>
            <a:ext uri="{FF2B5EF4-FFF2-40B4-BE49-F238E27FC236}">
              <a16:creationId xmlns:a16="http://schemas.microsoft.com/office/drawing/2014/main" id="{6482F5DF-2C90-449A-9E30-3AF7244C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1140" name="BEx3RTMHAR35NUAAK49TV6NU7EPA" descr="QFXLG4ZCXTRQSJYFCKJ58G9N8" hidden="1">
          <a:extLst>
            <a:ext uri="{FF2B5EF4-FFF2-40B4-BE49-F238E27FC236}">
              <a16:creationId xmlns:a16="http://schemas.microsoft.com/office/drawing/2014/main" id="{787F5704-D931-4792-8DB3-58163FF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5</xdr:row>
      <xdr:rowOff>0</xdr:rowOff>
    </xdr:from>
    <xdr:ext cx="123825" cy="123825"/>
    <xdr:pic macro="[1]!DesignIconClicked">
      <xdr:nvPicPr>
        <xdr:cNvPr id="1141" name="BExS8T38WLC2R738ZC7BDJQAKJAJ" descr="MRI962L5PB0E0YWXCIBN82VJH" hidden="1">
          <a:extLst>
            <a:ext uri="{FF2B5EF4-FFF2-40B4-BE49-F238E27FC236}">
              <a16:creationId xmlns:a16="http://schemas.microsoft.com/office/drawing/2014/main" id="{21E6000D-292C-4E7D-9340-11C950201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142" name="BEx5F64BJ6DCM4EJH81D5ZFNPZ0V" descr="7DJ9FILZD2YPS6X1JBP9E76TU" hidden="1">
          <a:extLst>
            <a:ext uri="{FF2B5EF4-FFF2-40B4-BE49-F238E27FC236}">
              <a16:creationId xmlns:a16="http://schemas.microsoft.com/office/drawing/2014/main" id="{FA52BE47-9B4B-41C1-BC87-6A4672DDB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143" name="BExQEXXHA3EEXR44LT6RKCDWM6ZT" hidden="1">
          <a:extLst>
            <a:ext uri="{FF2B5EF4-FFF2-40B4-BE49-F238E27FC236}">
              <a16:creationId xmlns:a16="http://schemas.microsoft.com/office/drawing/2014/main" id="{408227D7-8266-4872-A740-71ECC732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7</xdr:row>
      <xdr:rowOff>0</xdr:rowOff>
    </xdr:from>
    <xdr:ext cx="123825" cy="123825"/>
    <xdr:pic macro="[1]!DesignIconClicked">
      <xdr:nvPicPr>
        <xdr:cNvPr id="1144" name="BEx1X6AMHV6ZK3UJB2BXIJTJHYJU" descr="OALR4L95ELQLZ1Y1LETHM1CS9" hidden="1">
          <a:extLst>
            <a:ext uri="{FF2B5EF4-FFF2-40B4-BE49-F238E27FC236}">
              <a16:creationId xmlns:a16="http://schemas.microsoft.com/office/drawing/2014/main" id="{8FBED35C-D840-4608-A0F9-A0CC0C07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2</xdr:row>
      <xdr:rowOff>0</xdr:rowOff>
    </xdr:from>
    <xdr:ext cx="123825" cy="123825"/>
    <xdr:pic macro="[1]!DesignIconClicked">
      <xdr:nvPicPr>
        <xdr:cNvPr id="1145" name="BExSDIVCE09QKG3CT52PHCS6ZJ09" descr="9F076L7EQCF2COMMGCQG6BQGU" hidden="1">
          <a:extLst>
            <a:ext uri="{FF2B5EF4-FFF2-40B4-BE49-F238E27FC236}">
              <a16:creationId xmlns:a16="http://schemas.microsoft.com/office/drawing/2014/main" id="{5793C3CA-C778-4184-A449-4EFF9A85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1146" name="BEx1QZGQZBAWJ8591VXEIPUOVS7X" descr="MEW27CPIFG44B7E7HEQUUF5QF" hidden="1">
          <a:extLst>
            <a:ext uri="{FF2B5EF4-FFF2-40B4-BE49-F238E27FC236}">
              <a16:creationId xmlns:a16="http://schemas.microsoft.com/office/drawing/2014/main" id="{037792D0-71A3-4EC5-88C5-B38AF7F06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1147" name="BExMF7LICJLPXSHM63A6EQ79YQKG" descr="U084VZL15IMB1OFRRAY6GVKAE" hidden="1">
          <a:extLst>
            <a:ext uri="{FF2B5EF4-FFF2-40B4-BE49-F238E27FC236}">
              <a16:creationId xmlns:a16="http://schemas.microsoft.com/office/drawing/2014/main" id="{DB64D96E-24D4-46DD-946A-9981AB753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1148" name="BExS343F8GCKP6HTF9Y97L133DX8" descr="ZRF0KB1IYQSNV63CTXT25G67G" hidden="1">
          <a:extLst>
            <a:ext uri="{FF2B5EF4-FFF2-40B4-BE49-F238E27FC236}">
              <a16:creationId xmlns:a16="http://schemas.microsoft.com/office/drawing/2014/main" id="{7920344B-0BC5-4807-B30F-7C444650F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1149" name="BExZMRC09W87CY4B73NPZMNH21AH" descr="78CUMI0OVLYJRSDRQ3V2YX812" hidden="1">
          <a:extLst>
            <a:ext uri="{FF2B5EF4-FFF2-40B4-BE49-F238E27FC236}">
              <a16:creationId xmlns:a16="http://schemas.microsoft.com/office/drawing/2014/main" id="{10BEBCE3-7748-40DE-AA74-811AAE3B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9525</xdr:rowOff>
    </xdr:from>
    <xdr:ext cx="123825" cy="123825"/>
    <xdr:pic macro="[1]!DesignIconClicked">
      <xdr:nvPicPr>
        <xdr:cNvPr id="1150" name="BExZXVFJ4DY4I24AARDT4AMP6EN1" descr="TXSMH2MTH86CYKA26740RQPUC" hidden="1">
          <a:extLst>
            <a:ext uri="{FF2B5EF4-FFF2-40B4-BE49-F238E27FC236}">
              <a16:creationId xmlns:a16="http://schemas.microsoft.com/office/drawing/2014/main" id="{0C92CE28-EC5B-48E2-8E8A-FF3D3D0BB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0</xdr:rowOff>
    </xdr:from>
    <xdr:ext cx="123825" cy="123825"/>
    <xdr:pic macro="[1]!DesignIconClicked">
      <xdr:nvPicPr>
        <xdr:cNvPr id="1151" name="BExOCUIOFQWUGTBU5ESTW3EYEP5C" descr="9BNF49V0R6VVYPHEVMJ3ABDQZ" hidden="1">
          <a:extLst>
            <a:ext uri="{FF2B5EF4-FFF2-40B4-BE49-F238E27FC236}">
              <a16:creationId xmlns:a16="http://schemas.microsoft.com/office/drawing/2014/main" id="{5E4C90BC-BC51-4091-A2EF-6F9F125B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1152" name="BExU65O9OE4B4MQ2A3OYH13M8BZJ" descr="3INNIMMPDBB0JF37L81M6ID21" hidden="1">
          <a:extLst>
            <a:ext uri="{FF2B5EF4-FFF2-40B4-BE49-F238E27FC236}">
              <a16:creationId xmlns:a16="http://schemas.microsoft.com/office/drawing/2014/main" id="{9BC05B39-AF79-4506-8D26-36F999E3C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1153" name="BExOPRCR0UW7TKXSV5WDTL348FGL" descr="S9JM17GP1802LHN4GT14BJYIC" hidden="1">
          <a:extLst>
            <a:ext uri="{FF2B5EF4-FFF2-40B4-BE49-F238E27FC236}">
              <a16:creationId xmlns:a16="http://schemas.microsoft.com/office/drawing/2014/main" id="{CA137FE2-0B46-443B-8CE2-E974EBD01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1154" name="BEx5OESAY2W8SEGI3TSB65EHJ04B" descr="9CN2Y88X8WYV1HWZG1QILY9BK" hidden="1">
          <a:extLst>
            <a:ext uri="{FF2B5EF4-FFF2-40B4-BE49-F238E27FC236}">
              <a16:creationId xmlns:a16="http://schemas.microsoft.com/office/drawing/2014/main" id="{2D2D5C80-926C-4D7A-8069-152811CFE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155" name="BExGMWEQ2BYRY9BAO5T1X850MJN1" descr="AZ9ST0XDIOP50HSUFO5V31BR0" hidden="1">
          <a:extLst>
            <a:ext uri="{FF2B5EF4-FFF2-40B4-BE49-F238E27FC236}">
              <a16:creationId xmlns:a16="http://schemas.microsoft.com/office/drawing/2014/main" id="{0E611478-7F6E-431D-8A12-DC1017429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BE00CBA9-A55C-48F9-9E4F-9618960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70C85A92-880D-4C63-A57B-91F47234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DD1B77D9-ED9D-4E21-A534-96E696D5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9304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8C285131-82A1-4A11-A157-310ABA8B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304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28575</xdr:colOff>
      <xdr:row>0</xdr:row>
      <xdr:rowOff>9525</xdr:rowOff>
    </xdr:from>
    <xdr:to>
      <xdr:col>2</xdr:col>
      <xdr:colOff>76200</xdr:colOff>
      <xdr:row>0</xdr:row>
      <xdr:rowOff>57150</xdr:rowOff>
    </xdr:to>
    <xdr:pic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97D46B68-D61B-4FED-B34C-231FE7EAA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4189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85725</xdr:rowOff>
    </xdr:from>
    <xdr:to>
      <xdr:col>2</xdr:col>
      <xdr:colOff>76200</xdr:colOff>
      <xdr:row>0</xdr:row>
      <xdr:rowOff>133350</xdr:rowOff>
    </xdr:to>
    <xdr:pic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03453996-302F-403C-BF6F-E6A080443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4189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802813E0-0DA9-4BF6-BEBD-2C2E20A8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5C4CA01F-3D5A-46A8-A12E-AFCBBAF58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152400</xdr:colOff>
      <xdr:row>2</xdr:row>
      <xdr:rowOff>20862</xdr:rowOff>
    </xdr:to>
    <xdr:pic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922FDED4-3626-4792-9460-9835A65A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053C59E0-F913-4EA7-AD5F-E23C0A7D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B4E968DD-BB34-42D9-B4A4-90C29CFA0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C6B15520-4F15-4288-A7AD-8E5F9590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EFD49A7B-DE34-4B73-8F14-90A28015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337CF7B9-AEFB-4BB6-94B5-610F88DF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9304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4F5CF640-A344-4EC5-AAFB-540BFE989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304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9525</xdr:rowOff>
    </xdr:from>
    <xdr:to>
      <xdr:col>2</xdr:col>
      <xdr:colOff>96155</xdr:colOff>
      <xdr:row>0</xdr:row>
      <xdr:rowOff>57150</xdr:rowOff>
    </xdr:to>
    <xdr:pic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0628870B-E545-46BD-9923-8126B5D8A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3714" y="9525"/>
          <a:ext cx="5805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85725</xdr:rowOff>
    </xdr:from>
    <xdr:to>
      <xdr:col>2</xdr:col>
      <xdr:colOff>96155</xdr:colOff>
      <xdr:row>0</xdr:row>
      <xdr:rowOff>133350</xdr:rowOff>
    </xdr:to>
    <xdr:pic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603DF318-F303-4B3F-8AA2-98E2A44F1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3714" y="85725"/>
          <a:ext cx="5805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134258</xdr:rowOff>
    </xdr:to>
    <xdr:pic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56D86E28-B9FC-42F6-A114-4406325D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3825" cy="12926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209550</xdr:colOff>
      <xdr:row>8</xdr:row>
      <xdr:rowOff>55333</xdr:rowOff>
    </xdr:to>
    <xdr:pic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53BEF5D5-4513-4847-A30D-0321F84F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3825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171450</xdr:colOff>
      <xdr:row>8</xdr:row>
      <xdr:rowOff>179616</xdr:rowOff>
    </xdr:to>
    <xdr:pic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C52EE6F4-8C1F-497F-9183-1FD85588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3825" cy="1383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171450</xdr:colOff>
      <xdr:row>9</xdr:row>
      <xdr:rowOff>134255</xdr:rowOff>
    </xdr:to>
    <xdr:pic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47704E64-9EF7-4F41-81BF-9E3BF910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3825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171450</xdr:colOff>
      <xdr:row>10</xdr:row>
      <xdr:rowOff>57151</xdr:rowOff>
    </xdr:to>
    <xdr:pic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36674F7F-51E2-4D75-9228-44A91C77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3825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20862</xdr:rowOff>
    </xdr:to>
    <xdr:pic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F47A9C84-1AA6-4AAC-A6A7-0F54B9B9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FD83B0B5-CFE0-4FF1-A702-3C2312EB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382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209550</xdr:colOff>
      <xdr:row>3</xdr:row>
      <xdr:rowOff>97062</xdr:rowOff>
    </xdr:to>
    <xdr:pic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DB228F00-2A16-4734-A7F5-9D4584C8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20862</xdr:rowOff>
    </xdr:to>
    <xdr:pic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D2B286E5-917D-4759-A9A4-994E48EE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20862</xdr:rowOff>
    </xdr:to>
    <xdr:pic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E83A514E-AE8E-4C8E-BEC3-01550520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209550</xdr:colOff>
      <xdr:row>4</xdr:row>
      <xdr:rowOff>171902</xdr:rowOff>
    </xdr:to>
    <xdr:pic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23E54953-E422-474B-A050-C35700C4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3825" cy="14332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CED2A4A5-A107-4095-A8FC-96842A00B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382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171450</xdr:colOff>
      <xdr:row>8</xdr:row>
      <xdr:rowOff>55333</xdr:rowOff>
    </xdr:to>
    <xdr:pic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1ADD5744-F87F-4A2E-A32B-14D06411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3825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171450</xdr:colOff>
      <xdr:row>7</xdr:row>
      <xdr:rowOff>95251</xdr:rowOff>
    </xdr:to>
    <xdr:pic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CBB79483-2100-4899-B95B-C4C95D971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3825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171450</xdr:colOff>
      <xdr:row>6</xdr:row>
      <xdr:rowOff>172355</xdr:rowOff>
    </xdr:to>
    <xdr:pic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B0A295C8-E6DF-4CE4-B110-F64CC4D6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3825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171450</xdr:colOff>
      <xdr:row>6</xdr:row>
      <xdr:rowOff>19051</xdr:rowOff>
    </xdr:to>
    <xdr:pic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D70C2CE7-E3EF-4875-B186-E08EE3A3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3825" cy="10704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171450</xdr:colOff>
      <xdr:row>5</xdr:row>
      <xdr:rowOff>95251</xdr:rowOff>
    </xdr:to>
    <xdr:pic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F1F74F8C-3BE0-4861-9946-3057D75F6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3825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171450</xdr:colOff>
      <xdr:row>4</xdr:row>
      <xdr:rowOff>171902</xdr:rowOff>
    </xdr:to>
    <xdr:pic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DE17668C-4F3A-4C8C-90F7-90C75803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3825" cy="14332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171450</xdr:colOff>
      <xdr:row>4</xdr:row>
      <xdr:rowOff>19051</xdr:rowOff>
    </xdr:to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21053389-2928-49B0-BA94-F13FFC8D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3825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171450</xdr:colOff>
      <xdr:row>3</xdr:row>
      <xdr:rowOff>97062</xdr:rowOff>
    </xdr:to>
    <xdr:pic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29C8C3BF-6359-48FB-A713-D9C53BAF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134258</xdr:rowOff>
    </xdr:to>
    <xdr:pic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8A6F6656-FD6B-4FA3-B259-7353055F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3825" cy="12926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20862</xdr:rowOff>
    </xdr:to>
    <xdr:pic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03CA0861-B3A7-4830-96CE-A0289B57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3825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416484</xdr:colOff>
      <xdr:row>78</xdr:row>
      <xdr:rowOff>95250</xdr:rowOff>
    </xdr:to>
    <xdr:pic>
      <xdr:nvPicPr>
        <xdr:cNvPr id="41" name="BExXRND8208TWULE9S50U89VKPB7" descr="ETUGZV0SKTQDQB8JOYY0DCX79" hidden="1">
          <a:extLst>
            <a:ext uri="{FF2B5EF4-FFF2-40B4-BE49-F238E27FC236}">
              <a16:creationId xmlns:a16="http://schemas.microsoft.com/office/drawing/2014/main" id="{7233B9FD-81F2-4C1A-BE19-DE32FCCEC3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37770" cy="1452970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2" name="BExMO7VFCN4EL59982UR4AJ25JNJ" descr="XX6TINEJADZGKR0CTM7ZRT0RA" hidden="1">
          <a:extLst>
            <a:ext uri="{FF2B5EF4-FFF2-40B4-BE49-F238E27FC236}">
              <a16:creationId xmlns:a16="http://schemas.microsoft.com/office/drawing/2014/main" id="{F38C6896-7421-4DE3-B943-FE5D161DD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3" name="BExU3EX5JJCXCII4YKUJBFBGIJR2" descr="OF5ZI9PI5WH36VPANJ2DYLNMI" hidden="1">
          <a:extLst>
            <a:ext uri="{FF2B5EF4-FFF2-40B4-BE49-F238E27FC236}">
              <a16:creationId xmlns:a16="http://schemas.microsoft.com/office/drawing/2014/main" id="{0C3623BD-1CE7-4B89-B22F-2E65E8D8C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44" name="BEx1KD7H6UB1VYCJ7O61P562EIUY" descr="IQGV9140X0K0UPBL8OGU3I44J" hidden="1">
          <a:extLst>
            <a:ext uri="{FF2B5EF4-FFF2-40B4-BE49-F238E27FC236}">
              <a16:creationId xmlns:a16="http://schemas.microsoft.com/office/drawing/2014/main" id="{09A5168E-9131-4AA7-BC0C-022C111CD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45" name="BEx5BJQWS6YWHH4ZMSUAMD641V6Y" descr="ZTMFMXCIQSECDX38ALEFHUB00" hidden="1">
          <a:extLst>
            <a:ext uri="{FF2B5EF4-FFF2-40B4-BE49-F238E27FC236}">
              <a16:creationId xmlns:a16="http://schemas.microsoft.com/office/drawing/2014/main" id="{7ED1BE38-6655-496C-A261-4DE36152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54881</xdr:colOff>
      <xdr:row>0</xdr:row>
      <xdr:rowOff>58965</xdr:rowOff>
    </xdr:to>
    <xdr:pic>
      <xdr:nvPicPr>
        <xdr:cNvPr id="46" name="BExVTO5Q8G2M7BPL4B2584LQS0R0" descr="OB6Q8NA4LZFE4GM9Y3V56BPMQ" hidden="1">
          <a:extLst>
            <a:ext uri="{FF2B5EF4-FFF2-40B4-BE49-F238E27FC236}">
              <a16:creationId xmlns:a16="http://schemas.microsoft.com/office/drawing/2014/main" id="{18A6D990-1DBE-432F-9E9D-4B81E321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11339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54881</xdr:colOff>
      <xdr:row>0</xdr:row>
      <xdr:rowOff>135165</xdr:rowOff>
    </xdr:to>
    <xdr:pic>
      <xdr:nvPicPr>
        <xdr:cNvPr id="47" name="BExIFSCLN1G86X78PFLTSMRP0US5" descr="9JK4SPV4DG7VTCZIILWHXQU5J" hidden="1">
          <a:extLst>
            <a:ext uri="{FF2B5EF4-FFF2-40B4-BE49-F238E27FC236}">
              <a16:creationId xmlns:a16="http://schemas.microsoft.com/office/drawing/2014/main" id="{2132BC6B-9AD8-407D-BB42-C505BE7F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11339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8" name="BEx1I152WN2D3A85O2XN0DGXCWHN" descr="KHBZFMANRA4UMJR1AB4M5NJNT" hidden="1">
          <a:extLst>
            <a:ext uri="{FF2B5EF4-FFF2-40B4-BE49-F238E27FC236}">
              <a16:creationId xmlns:a16="http://schemas.microsoft.com/office/drawing/2014/main" id="{76592F9B-F866-40E3-B3A8-AD9F465F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9" name="BExW9676P0SKCVKK25QCGHPA3PAD" descr="9A4PWZ20RMSRF0PNECCDM75CA" hidden="1">
          <a:extLst>
            <a:ext uri="{FF2B5EF4-FFF2-40B4-BE49-F238E27FC236}">
              <a16:creationId xmlns:a16="http://schemas.microsoft.com/office/drawing/2014/main" id="{ED33582F-1358-4D9C-B720-4160AE6F6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20862</xdr:rowOff>
    </xdr:to>
    <xdr:pic>
      <xdr:nvPicPr>
        <xdr:cNvPr id="50" name="BExW253QPOZK9KW8BJC3LBXGCG2N" descr="Y5HX37BEUWSN1NEFJKZJXI3SX" hidden="1">
          <a:extLst>
            <a:ext uri="{FF2B5EF4-FFF2-40B4-BE49-F238E27FC236}">
              <a16:creationId xmlns:a16="http://schemas.microsoft.com/office/drawing/2014/main" id="{831C69AF-17C4-49B8-8F8A-83439CD6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1" name="BExS5CPQ8P8JOQPK7ANNKHLSGOKU" hidden="1">
          <a:extLst>
            <a:ext uri="{FF2B5EF4-FFF2-40B4-BE49-F238E27FC236}">
              <a16:creationId xmlns:a16="http://schemas.microsoft.com/office/drawing/2014/main" id="{F61C95B7-5622-4405-8C0E-9C6AFF80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2" name="BExMM0AVUAIRNJLXB1FW8R0YB4ZZ" hidden="1">
          <a:extLst>
            <a:ext uri="{FF2B5EF4-FFF2-40B4-BE49-F238E27FC236}">
              <a16:creationId xmlns:a16="http://schemas.microsoft.com/office/drawing/2014/main" id="{2D743A5A-DC61-4AC5-8B73-3C89A001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3" name="BExXZ7Y09CBS0XA7IPB3IRJ8RJM4" hidden="1">
          <a:extLst>
            <a:ext uri="{FF2B5EF4-FFF2-40B4-BE49-F238E27FC236}">
              <a16:creationId xmlns:a16="http://schemas.microsoft.com/office/drawing/2014/main" id="{4FFD4FA3-38AE-4FD9-9E8E-15E9FD99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4" name="BExQ7SXS9VUG7P6CACU2J7R2SGIZ" hidden="1">
          <a:extLst>
            <a:ext uri="{FF2B5EF4-FFF2-40B4-BE49-F238E27FC236}">
              <a16:creationId xmlns:a16="http://schemas.microsoft.com/office/drawing/2014/main" id="{A52EFFB8-7706-41FA-A5B2-77DA0588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55" name="BEx5AQZ4ETQ9LMY5EBWVH20Z7VXQ" hidden="1">
          <a:extLst>
            <a:ext uri="{FF2B5EF4-FFF2-40B4-BE49-F238E27FC236}">
              <a16:creationId xmlns:a16="http://schemas.microsoft.com/office/drawing/2014/main" id="{D68A9560-E1E5-4077-88C4-EE19B669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56" name="BExUBK0YZ5VYFY8TTITJGJU9S06A" hidden="1">
          <a:extLst>
            <a:ext uri="{FF2B5EF4-FFF2-40B4-BE49-F238E27FC236}">
              <a16:creationId xmlns:a16="http://schemas.microsoft.com/office/drawing/2014/main" id="{462B59D5-1777-4C6F-B16D-81C4310B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57" name="BExUEZCSSJ7RN4J18I2NUIQR2FZS" hidden="1">
          <a:extLst>
            <a:ext uri="{FF2B5EF4-FFF2-40B4-BE49-F238E27FC236}">
              <a16:creationId xmlns:a16="http://schemas.microsoft.com/office/drawing/2014/main" id="{D07E884D-6701-448F-8DDF-828E8459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58" name="BExS3JDQWF7U3F5JTEVOE16ASIYK" hidden="1">
          <a:extLst>
            <a:ext uri="{FF2B5EF4-FFF2-40B4-BE49-F238E27FC236}">
              <a16:creationId xmlns:a16="http://schemas.microsoft.com/office/drawing/2014/main" id="{A717D804-45F1-4391-8B97-7DC4B345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59" name="BEx973S463FCQVJ7QDFBUIU0WJ3F" descr="ZQTVYL8DCSADVT0QMRXFLU0TR" hidden="1">
          <a:extLst>
            <a:ext uri="{FF2B5EF4-FFF2-40B4-BE49-F238E27FC236}">
              <a16:creationId xmlns:a16="http://schemas.microsoft.com/office/drawing/2014/main" id="{6386D859-597F-4410-95E6-18C7493F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55333</xdr:rowOff>
    </xdr:to>
    <xdr:pic>
      <xdr:nvPicPr>
        <xdr:cNvPr id="60" name="BExRZO0PLWWMCLGRH7EH6UXYWGAJ" descr="9D4GQ34QB727H10MA3SSAR2R9" hidden="1">
          <a:extLst>
            <a:ext uri="{FF2B5EF4-FFF2-40B4-BE49-F238E27FC236}">
              <a16:creationId xmlns:a16="http://schemas.microsoft.com/office/drawing/2014/main" id="{EE56F699-78AB-4ED4-96CD-5FEC688EC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178254</xdr:rowOff>
    </xdr:to>
    <xdr:pic>
      <xdr:nvPicPr>
        <xdr:cNvPr id="61" name="BExBDP6HNAAJUM39SE5G2C8BKNRQ" descr="1TM64TL2QIMYV7WYSV2VLGXY4" hidden="1">
          <a:extLst>
            <a:ext uri="{FF2B5EF4-FFF2-40B4-BE49-F238E27FC236}">
              <a16:creationId xmlns:a16="http://schemas.microsoft.com/office/drawing/2014/main" id="{D6303A96-4BBD-4322-A57F-31765A2A9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24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62" name="BExQEGJP61DL2NZY6LMBHBZ0J5YT" descr="D6ZNRZJ7EX4GZT9RO8LE0C905" hidden="1">
          <a:extLst>
            <a:ext uri="{FF2B5EF4-FFF2-40B4-BE49-F238E27FC236}">
              <a16:creationId xmlns:a16="http://schemas.microsoft.com/office/drawing/2014/main" id="{C43143DB-7B32-4EAD-A836-800E36BB5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57151</xdr:rowOff>
    </xdr:to>
    <xdr:pic>
      <xdr:nvPicPr>
        <xdr:cNvPr id="63" name="BExTY1BCS6HZIF6HI5491FGHDVAE" descr="MJ6976KI2UH1IE8M227DUYXMJ" hidden="1">
          <a:extLst>
            <a:ext uri="{FF2B5EF4-FFF2-40B4-BE49-F238E27FC236}">
              <a16:creationId xmlns:a16="http://schemas.microsoft.com/office/drawing/2014/main" id="{F2BAD995-BA60-448B-9673-9821438F7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64" name="BEx5FXJGJOT93D0J2IRJ3985IUMI" hidden="1">
          <a:extLst>
            <a:ext uri="{FF2B5EF4-FFF2-40B4-BE49-F238E27FC236}">
              <a16:creationId xmlns:a16="http://schemas.microsoft.com/office/drawing/2014/main" id="{CA309F77-7E97-4485-8906-1F48A5F2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65" name="BEx3RTMHAR35NUAAK49TV6NU7EPA" descr="QFXLG4ZCXTRQSJYFCKJ58G9N8" hidden="1">
          <a:extLst>
            <a:ext uri="{FF2B5EF4-FFF2-40B4-BE49-F238E27FC236}">
              <a16:creationId xmlns:a16="http://schemas.microsoft.com/office/drawing/2014/main" id="{785229EF-0A23-47A9-A6F0-574F4A97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97062</xdr:rowOff>
    </xdr:to>
    <xdr:pic>
      <xdr:nvPicPr>
        <xdr:cNvPr id="66" name="BExS8T38WLC2R738ZC7BDJQAKJAJ" descr="MRI962L5PB0E0YWXCIBN82VJH" hidden="1">
          <a:extLst>
            <a:ext uri="{FF2B5EF4-FFF2-40B4-BE49-F238E27FC236}">
              <a16:creationId xmlns:a16="http://schemas.microsoft.com/office/drawing/2014/main" id="{0EC1F8F9-3A0A-43A9-A3C6-D85F7D9DD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67" name="BEx5F64BJ6DCM4EJH81D5ZFNPZ0V" descr="7DJ9FILZD2YPS6X1JBP9E76TU" hidden="1">
          <a:extLst>
            <a:ext uri="{FF2B5EF4-FFF2-40B4-BE49-F238E27FC236}">
              <a16:creationId xmlns:a16="http://schemas.microsoft.com/office/drawing/2014/main" id="{0795B8EE-F07E-4FD9-B9FB-2FBB03098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68" name="BExQEXXHA3EEXR44LT6RKCDWM6ZT" hidden="1">
          <a:extLst>
            <a:ext uri="{FF2B5EF4-FFF2-40B4-BE49-F238E27FC236}">
              <a16:creationId xmlns:a16="http://schemas.microsoft.com/office/drawing/2014/main" id="{6FB22676-0ACD-422A-BEF1-A13131DF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162831</xdr:rowOff>
    </xdr:to>
    <xdr:pic>
      <xdr:nvPicPr>
        <xdr:cNvPr id="69" name="BEx1X6AMHV6ZK3UJB2BXIJTJHYJU" descr="OALR4L95ELQLZ1Y1LETHM1CS9" hidden="1">
          <a:extLst>
            <a:ext uri="{FF2B5EF4-FFF2-40B4-BE49-F238E27FC236}">
              <a16:creationId xmlns:a16="http://schemas.microsoft.com/office/drawing/2014/main" id="{3A1300C4-4EFE-4939-9E40-52B870CE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70" name="BExSDIVCE09QKG3CT52PHCS6ZJ09" descr="9F076L7EQCF2COMMGCQG6BQGU" hidden="1">
          <a:extLst>
            <a:ext uri="{FF2B5EF4-FFF2-40B4-BE49-F238E27FC236}">
              <a16:creationId xmlns:a16="http://schemas.microsoft.com/office/drawing/2014/main" id="{2FA34945-EE85-4E8B-A956-3B54B3D9E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55333</xdr:rowOff>
    </xdr:to>
    <xdr:pic>
      <xdr:nvPicPr>
        <xdr:cNvPr id="71" name="BEx1QZGQZBAWJ8591VXEIPUOVS7X" descr="MEW27CPIFG44B7E7HEQUUF5QF" hidden="1">
          <a:extLst>
            <a:ext uri="{FF2B5EF4-FFF2-40B4-BE49-F238E27FC236}">
              <a16:creationId xmlns:a16="http://schemas.microsoft.com/office/drawing/2014/main" id="{B88D280A-DCEC-4B2A-A2CF-7C61BD2C8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95251</xdr:rowOff>
    </xdr:to>
    <xdr:pic>
      <xdr:nvPicPr>
        <xdr:cNvPr id="72" name="BExMF7LICJLPXSHM63A6EQ79YQKG" descr="U084VZL15IMB1OFRRAY6GVKAE" hidden="1">
          <a:extLst>
            <a:ext uri="{FF2B5EF4-FFF2-40B4-BE49-F238E27FC236}">
              <a16:creationId xmlns:a16="http://schemas.microsoft.com/office/drawing/2014/main" id="{E84A6A66-186F-4CEB-A698-CD689A9F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73" name="BExS343F8GCKP6HTF9Y97L133DX8" descr="ZRF0KB1IYQSNV63CTXT25G67G" hidden="1">
          <a:extLst>
            <a:ext uri="{FF2B5EF4-FFF2-40B4-BE49-F238E27FC236}">
              <a16:creationId xmlns:a16="http://schemas.microsoft.com/office/drawing/2014/main" id="{862092D6-F3ED-4162-8768-780E7964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74" name="BExZMRC09W87CY4B73NPZMNH21AH" descr="78CUMI0OVLYJRSDRQ3V2YX812" hidden="1">
          <a:extLst>
            <a:ext uri="{FF2B5EF4-FFF2-40B4-BE49-F238E27FC236}">
              <a16:creationId xmlns:a16="http://schemas.microsoft.com/office/drawing/2014/main" id="{D63722C6-31AF-412B-B39B-EA401769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95251</xdr:rowOff>
    </xdr:to>
    <xdr:pic>
      <xdr:nvPicPr>
        <xdr:cNvPr id="75" name="BExZXVFJ4DY4I24AARDT4AMP6EN1" descr="TXSMH2MTH86CYKA26740RQPUC" hidden="1">
          <a:extLst>
            <a:ext uri="{FF2B5EF4-FFF2-40B4-BE49-F238E27FC236}">
              <a16:creationId xmlns:a16="http://schemas.microsoft.com/office/drawing/2014/main" id="{9476C047-F741-4338-8E74-E8BC6A18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162831</xdr:rowOff>
    </xdr:to>
    <xdr:pic>
      <xdr:nvPicPr>
        <xdr:cNvPr id="76" name="BExOCUIOFQWUGTBU5ESTW3EYEP5C" descr="9BNF49V0R6VVYPHEVMJ3ABDQZ" hidden="1">
          <a:extLst>
            <a:ext uri="{FF2B5EF4-FFF2-40B4-BE49-F238E27FC236}">
              <a16:creationId xmlns:a16="http://schemas.microsoft.com/office/drawing/2014/main" id="{824A3C18-EC65-409C-B9D3-6E84445C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19051</xdr:rowOff>
    </xdr:to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5A325A98-B7F3-4E20-BFCE-733E25B2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97062</xdr:rowOff>
    </xdr:to>
    <xdr:pic>
      <xdr:nvPicPr>
        <xdr:cNvPr id="78" name="BExOPRCR0UW7TKXSV5WDTL348FGL" descr="S9JM17GP1802LHN4GT14BJYIC" hidden="1">
          <a:extLst>
            <a:ext uri="{FF2B5EF4-FFF2-40B4-BE49-F238E27FC236}">
              <a16:creationId xmlns:a16="http://schemas.microsoft.com/office/drawing/2014/main" id="{49D378AF-8D77-4370-BECC-F7BE51C0B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79" name="BEx5OESAY2W8SEGI3TSB65EHJ04B" descr="9CN2Y88X8WYV1HWZG1QILY9BK" hidden="1">
          <a:extLst>
            <a:ext uri="{FF2B5EF4-FFF2-40B4-BE49-F238E27FC236}">
              <a16:creationId xmlns:a16="http://schemas.microsoft.com/office/drawing/2014/main" id="{4F438FE3-C819-45EC-B701-708C9FA0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80" name="BExGMWEQ2BYRY9BAO5T1X850MJN1" descr="AZ9ST0XDIOP50HSUFO5V31BR0" hidden="1">
          <a:extLst>
            <a:ext uri="{FF2B5EF4-FFF2-40B4-BE49-F238E27FC236}">
              <a16:creationId xmlns:a16="http://schemas.microsoft.com/office/drawing/2014/main" id="{A21A22A1-70E4-4756-967C-D2C51717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1" name="BExMO7VFCN4EL59982UR4AJ25JNJ" descr="XX6TINEJADZGKR0CTM7ZRT0RA" hidden="1">
          <a:extLst>
            <a:ext uri="{FF2B5EF4-FFF2-40B4-BE49-F238E27FC236}">
              <a16:creationId xmlns:a16="http://schemas.microsoft.com/office/drawing/2014/main" id="{C673143D-EEFD-4987-9232-B0E88014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2" name="BExU3EX5JJCXCII4YKUJBFBGIJR2" descr="OF5ZI9PI5WH36VPANJ2DYLNMI" hidden="1">
          <a:extLst>
            <a:ext uri="{FF2B5EF4-FFF2-40B4-BE49-F238E27FC236}">
              <a16:creationId xmlns:a16="http://schemas.microsoft.com/office/drawing/2014/main" id="{78F88CB0-208F-4DC4-B12A-B0ED7DB8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83" name="BEx1KD7H6UB1VYCJ7O61P562EIUY" descr="IQGV9140X0K0UPBL8OGU3I44J" hidden="1">
          <a:extLst>
            <a:ext uri="{FF2B5EF4-FFF2-40B4-BE49-F238E27FC236}">
              <a16:creationId xmlns:a16="http://schemas.microsoft.com/office/drawing/2014/main" id="{96949657-5126-4D62-8BA0-918AFBAC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84" name="BEx5BJQWS6YWHH4ZMSUAMD641V6Y" descr="ZTMFMXCIQSECDX38ALEFHUB00" hidden="1">
          <a:extLst>
            <a:ext uri="{FF2B5EF4-FFF2-40B4-BE49-F238E27FC236}">
              <a16:creationId xmlns:a16="http://schemas.microsoft.com/office/drawing/2014/main" id="{8415D3A6-CEEE-4FC6-A05D-E329B49D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85" name="BExVTO5Q8G2M7BPL4B2584LQS0R0" descr="OB6Q8NA4LZFE4GM9Y3V56BPMQ" hidden="1">
          <a:extLst>
            <a:ext uri="{FF2B5EF4-FFF2-40B4-BE49-F238E27FC236}">
              <a16:creationId xmlns:a16="http://schemas.microsoft.com/office/drawing/2014/main" id="{D00721E3-74ED-489E-9EF5-B535DF957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116564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86" name="BExIFSCLN1G86X78PFLTSMRP0US5" descr="9JK4SPV4DG7VTCZIILWHXQU5J" hidden="1">
          <a:extLst>
            <a:ext uri="{FF2B5EF4-FFF2-40B4-BE49-F238E27FC236}">
              <a16:creationId xmlns:a16="http://schemas.microsoft.com/office/drawing/2014/main" id="{4E08980E-2D7D-4A4F-9941-75A8674E0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116564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7" name="BEx1I152WN2D3A85O2XN0DGXCWHN" descr="KHBZFMANRA4UMJR1AB4M5NJNT" hidden="1">
          <a:extLst>
            <a:ext uri="{FF2B5EF4-FFF2-40B4-BE49-F238E27FC236}">
              <a16:creationId xmlns:a16="http://schemas.microsoft.com/office/drawing/2014/main" id="{464AFE87-A318-4B1B-96D7-B6CB5B17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8" name="BExW9676P0SKCVKK25QCGHPA3PAD" descr="9A4PWZ20RMSRF0PNECCDM75CA" hidden="1">
          <a:extLst>
            <a:ext uri="{FF2B5EF4-FFF2-40B4-BE49-F238E27FC236}">
              <a16:creationId xmlns:a16="http://schemas.microsoft.com/office/drawing/2014/main" id="{BD0CA6A5-38C0-4F62-8B84-7E8269EB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89" name="BExW253QPOZK9KW8BJC3LBXGCG2N" descr="Y5HX37BEUWSN1NEFJKZJXI3SX" hidden="1">
          <a:extLst>
            <a:ext uri="{FF2B5EF4-FFF2-40B4-BE49-F238E27FC236}">
              <a16:creationId xmlns:a16="http://schemas.microsoft.com/office/drawing/2014/main" id="{BB7704D5-9769-4DAC-9147-13C71F30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0" name="BExS5CPQ8P8JOQPK7ANNKHLSGOKU" hidden="1">
          <a:extLst>
            <a:ext uri="{FF2B5EF4-FFF2-40B4-BE49-F238E27FC236}">
              <a16:creationId xmlns:a16="http://schemas.microsoft.com/office/drawing/2014/main" id="{84847B16-167C-4A9B-8E5D-2DBD5DE2E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1" name="BExMM0AVUAIRNJLXB1FW8R0YB4ZZ" hidden="1">
          <a:extLst>
            <a:ext uri="{FF2B5EF4-FFF2-40B4-BE49-F238E27FC236}">
              <a16:creationId xmlns:a16="http://schemas.microsoft.com/office/drawing/2014/main" id="{A5C3D613-4A22-4A44-9650-3210FA97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2" name="BExXZ7Y09CBS0XA7IPB3IRJ8RJM4" hidden="1">
          <a:extLst>
            <a:ext uri="{FF2B5EF4-FFF2-40B4-BE49-F238E27FC236}">
              <a16:creationId xmlns:a16="http://schemas.microsoft.com/office/drawing/2014/main" id="{FEED4446-8474-4135-99D6-39A14DD4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3" name="BExQ7SXS9VUG7P6CACU2J7R2SGIZ" hidden="1">
          <a:extLst>
            <a:ext uri="{FF2B5EF4-FFF2-40B4-BE49-F238E27FC236}">
              <a16:creationId xmlns:a16="http://schemas.microsoft.com/office/drawing/2014/main" id="{40F7E31F-F24C-48C3-B238-81F3E258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94" name="BEx5AQZ4ETQ9LMY5EBWVH20Z7VXQ" hidden="1">
          <a:extLst>
            <a:ext uri="{FF2B5EF4-FFF2-40B4-BE49-F238E27FC236}">
              <a16:creationId xmlns:a16="http://schemas.microsoft.com/office/drawing/2014/main" id="{5F7529FF-5E4C-4CEC-9C26-A3FE98FB1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95" name="BExUBK0YZ5VYFY8TTITJGJU9S06A" hidden="1">
          <a:extLst>
            <a:ext uri="{FF2B5EF4-FFF2-40B4-BE49-F238E27FC236}">
              <a16:creationId xmlns:a16="http://schemas.microsoft.com/office/drawing/2014/main" id="{0AA51BE1-CA18-4758-ACD5-094BD7B41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96" name="BExUEZCSSJ7RN4J18I2NUIQR2FZS" hidden="1">
          <a:extLst>
            <a:ext uri="{FF2B5EF4-FFF2-40B4-BE49-F238E27FC236}">
              <a16:creationId xmlns:a16="http://schemas.microsoft.com/office/drawing/2014/main" id="{3B8C0558-D7CB-41EE-9551-94106A1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97" name="BExS3JDQWF7U3F5JTEVOE16ASIYK" hidden="1">
          <a:extLst>
            <a:ext uri="{FF2B5EF4-FFF2-40B4-BE49-F238E27FC236}">
              <a16:creationId xmlns:a16="http://schemas.microsoft.com/office/drawing/2014/main" id="{ACD367BA-3CFD-4A6A-AFDD-5CA0B0C3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98" name="BEx973S463FCQVJ7QDFBUIU0WJ3F" descr="ZQTVYL8DCSADVT0QMRXFLU0TR" hidden="1">
          <a:extLst>
            <a:ext uri="{FF2B5EF4-FFF2-40B4-BE49-F238E27FC236}">
              <a16:creationId xmlns:a16="http://schemas.microsoft.com/office/drawing/2014/main" id="{3DDBC04A-5577-4700-BC75-18A55439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54879</xdr:rowOff>
    </xdr:to>
    <xdr:pic>
      <xdr:nvPicPr>
        <xdr:cNvPr id="99" name="BExRZO0PLWWMCLGRH7EH6UXYWGAJ" descr="9D4GQ34QB727H10MA3SSAR2R9" hidden="1">
          <a:extLst>
            <a:ext uri="{FF2B5EF4-FFF2-40B4-BE49-F238E27FC236}">
              <a16:creationId xmlns:a16="http://schemas.microsoft.com/office/drawing/2014/main" id="{7B09E5D8-0B0F-4602-9955-48031596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178254</xdr:rowOff>
    </xdr:to>
    <xdr:pic>
      <xdr:nvPicPr>
        <xdr:cNvPr id="100" name="BExBDP6HNAAJUM39SE5G2C8BKNRQ" descr="1TM64TL2QIMYV7WYSV2VLGXY4" hidden="1">
          <a:extLst>
            <a:ext uri="{FF2B5EF4-FFF2-40B4-BE49-F238E27FC236}">
              <a16:creationId xmlns:a16="http://schemas.microsoft.com/office/drawing/2014/main" id="{88AEA94C-0907-4B92-B1CD-F1A1B928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24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01" name="BExQEGJP61DL2NZY6LMBHBZ0J5YT" descr="D6ZNRZJ7EX4GZT9RO8LE0C905" hidden="1">
          <a:extLst>
            <a:ext uri="{FF2B5EF4-FFF2-40B4-BE49-F238E27FC236}">
              <a16:creationId xmlns:a16="http://schemas.microsoft.com/office/drawing/2014/main" id="{767CC46C-D484-4617-9E4B-75EDF946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62142</xdr:rowOff>
    </xdr:to>
    <xdr:pic>
      <xdr:nvPicPr>
        <xdr:cNvPr id="102" name="BExTY1BCS6HZIF6HI5491FGHDVAE" descr="MJ6976KI2UH1IE8M227DUYXMJ" hidden="1">
          <a:extLst>
            <a:ext uri="{FF2B5EF4-FFF2-40B4-BE49-F238E27FC236}">
              <a16:creationId xmlns:a16="http://schemas.microsoft.com/office/drawing/2014/main" id="{B2C1BDBB-B3D9-44E0-A26B-A282746DA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3" name="BEx5FXJGJOT93D0J2IRJ3985IUMI" hidden="1">
          <a:extLst>
            <a:ext uri="{FF2B5EF4-FFF2-40B4-BE49-F238E27FC236}">
              <a16:creationId xmlns:a16="http://schemas.microsoft.com/office/drawing/2014/main" id="{BD81463C-FC6A-455D-AEC8-2F0987BE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4" name="BEx3RTMHAR35NUAAK49TV6NU7EPA" descr="QFXLG4ZCXTRQSJYFCKJ58G9N8" hidden="1">
          <a:extLst>
            <a:ext uri="{FF2B5EF4-FFF2-40B4-BE49-F238E27FC236}">
              <a16:creationId xmlns:a16="http://schemas.microsoft.com/office/drawing/2014/main" id="{9FBCAFEF-6906-4209-A459-5E32D8C4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05" name="BExS8T38WLC2R738ZC7BDJQAKJAJ" descr="MRI962L5PB0E0YWXCIBN82VJH" hidden="1">
          <a:extLst>
            <a:ext uri="{FF2B5EF4-FFF2-40B4-BE49-F238E27FC236}">
              <a16:creationId xmlns:a16="http://schemas.microsoft.com/office/drawing/2014/main" id="{46891E2E-27BF-4AC9-9B67-DBE163AB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6" name="BEx5F64BJ6DCM4EJH81D5ZFNPZ0V" descr="7DJ9FILZD2YPS6X1JBP9E76TU" hidden="1">
          <a:extLst>
            <a:ext uri="{FF2B5EF4-FFF2-40B4-BE49-F238E27FC236}">
              <a16:creationId xmlns:a16="http://schemas.microsoft.com/office/drawing/2014/main" id="{382BEA8A-8C8E-4BC8-ABD5-412D1400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7" name="BExQEXXHA3EEXR44LT6RKCDWM6ZT" hidden="1">
          <a:extLst>
            <a:ext uri="{FF2B5EF4-FFF2-40B4-BE49-F238E27FC236}">
              <a16:creationId xmlns:a16="http://schemas.microsoft.com/office/drawing/2014/main" id="{E3BB426F-A0CD-46FC-BBA8-D41ED14D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162831</xdr:rowOff>
    </xdr:to>
    <xdr:pic>
      <xdr:nvPicPr>
        <xdr:cNvPr id="108" name="BEx1X6AMHV6ZK3UJB2BXIJTJHYJU" descr="OALR4L95ELQLZ1Y1LETHM1CS9" hidden="1">
          <a:extLst>
            <a:ext uri="{FF2B5EF4-FFF2-40B4-BE49-F238E27FC236}">
              <a16:creationId xmlns:a16="http://schemas.microsoft.com/office/drawing/2014/main" id="{0462D955-E35A-4DA0-A69A-8F3FDAB59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9" name="BExSDIVCE09QKG3CT52PHCS6ZJ09" descr="9F076L7EQCF2COMMGCQG6BQGU" hidden="1">
          <a:extLst>
            <a:ext uri="{FF2B5EF4-FFF2-40B4-BE49-F238E27FC236}">
              <a16:creationId xmlns:a16="http://schemas.microsoft.com/office/drawing/2014/main" id="{995B5CB6-23D5-45B7-8E26-3F1C27F3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54879</xdr:rowOff>
    </xdr:to>
    <xdr:pic>
      <xdr:nvPicPr>
        <xdr:cNvPr id="110" name="BEx1QZGQZBAWJ8591VXEIPUOVS7X" descr="MEW27CPIFG44B7E7HEQUUF5QF" hidden="1">
          <a:extLst>
            <a:ext uri="{FF2B5EF4-FFF2-40B4-BE49-F238E27FC236}">
              <a16:creationId xmlns:a16="http://schemas.microsoft.com/office/drawing/2014/main" id="{F17BF717-274A-47D8-B350-77A367A35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100242</xdr:rowOff>
    </xdr:to>
    <xdr:pic>
      <xdr:nvPicPr>
        <xdr:cNvPr id="111" name="BExMF7LICJLPXSHM63A6EQ79YQKG" descr="U084VZL15IMB1OFRRAY6GVKAE" hidden="1">
          <a:extLst>
            <a:ext uri="{FF2B5EF4-FFF2-40B4-BE49-F238E27FC236}">
              <a16:creationId xmlns:a16="http://schemas.microsoft.com/office/drawing/2014/main" id="{611798E5-3BB6-4232-B54F-2C775B3D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12" name="BExS343F8GCKP6HTF9Y97L133DX8" descr="ZRF0KB1IYQSNV63CTXT25G67G" hidden="1">
          <a:extLst>
            <a:ext uri="{FF2B5EF4-FFF2-40B4-BE49-F238E27FC236}">
              <a16:creationId xmlns:a16="http://schemas.microsoft.com/office/drawing/2014/main" id="{43910D52-1A3E-42A3-8DF2-0FF671AC0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113" name="BExZMRC09W87CY4B73NPZMNH21AH" descr="78CUMI0OVLYJRSDRQ3V2YX812" hidden="1">
          <a:extLst>
            <a:ext uri="{FF2B5EF4-FFF2-40B4-BE49-F238E27FC236}">
              <a16:creationId xmlns:a16="http://schemas.microsoft.com/office/drawing/2014/main" id="{EE0DB08E-C7FB-430F-895D-980A0A120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100242</xdr:rowOff>
    </xdr:to>
    <xdr:pic>
      <xdr:nvPicPr>
        <xdr:cNvPr id="114" name="BExZXVFJ4DY4I24AARDT4AMP6EN1" descr="TXSMH2MTH86CYKA26740RQPUC" hidden="1">
          <a:extLst>
            <a:ext uri="{FF2B5EF4-FFF2-40B4-BE49-F238E27FC236}">
              <a16:creationId xmlns:a16="http://schemas.microsoft.com/office/drawing/2014/main" id="{DDC6ADDA-EE01-45E6-981E-D241D9B3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162831</xdr:rowOff>
    </xdr:to>
    <xdr:pic>
      <xdr:nvPicPr>
        <xdr:cNvPr id="115" name="BExOCUIOFQWUGTBU5ESTW3EYEP5C" descr="9BNF49V0R6VVYPHEVMJ3ABDQZ" hidden="1">
          <a:extLst>
            <a:ext uri="{FF2B5EF4-FFF2-40B4-BE49-F238E27FC236}">
              <a16:creationId xmlns:a16="http://schemas.microsoft.com/office/drawing/2014/main" id="{3BF03998-95F9-4F99-ABE0-D3F76E22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24042</xdr:rowOff>
    </xdr:to>
    <xdr:pic>
      <xdr:nvPicPr>
        <xdr:cNvPr id="116" name="BExU65O9OE4B4MQ2A3OYH13M8BZJ" descr="3INNIMMPDBB0JF37L81M6ID21" hidden="1">
          <a:extLst>
            <a:ext uri="{FF2B5EF4-FFF2-40B4-BE49-F238E27FC236}">
              <a16:creationId xmlns:a16="http://schemas.microsoft.com/office/drawing/2014/main" id="{953756E2-9665-4638-B1FB-15F295C5A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17" name="BExOPRCR0UW7TKXSV5WDTL348FGL" descr="S9JM17GP1802LHN4GT14BJYIC" hidden="1">
          <a:extLst>
            <a:ext uri="{FF2B5EF4-FFF2-40B4-BE49-F238E27FC236}">
              <a16:creationId xmlns:a16="http://schemas.microsoft.com/office/drawing/2014/main" id="{8F91A665-1636-4AB8-8CC3-0B5353EC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118" name="BEx5OESAY2W8SEGI3TSB65EHJ04B" descr="9CN2Y88X8WYV1HWZG1QILY9BK" hidden="1">
          <a:extLst>
            <a:ext uri="{FF2B5EF4-FFF2-40B4-BE49-F238E27FC236}">
              <a16:creationId xmlns:a16="http://schemas.microsoft.com/office/drawing/2014/main" id="{3C42235F-B01A-46C1-A539-C2697E9B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19" name="BExGMWEQ2BYRY9BAO5T1X850MJN1" descr="AZ9ST0XDIOP50HSUFO5V31BR0" hidden="1">
          <a:extLst>
            <a:ext uri="{FF2B5EF4-FFF2-40B4-BE49-F238E27FC236}">
              <a16:creationId xmlns:a16="http://schemas.microsoft.com/office/drawing/2014/main" id="{A6EFE6E0-58AC-44DD-A1B2-DA08F248D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0" name="BExMO7VFCN4EL59982UR4AJ25JNJ" descr="XX6TINEJADZGKR0CTM7ZRT0RA" hidden="1">
          <a:extLst>
            <a:ext uri="{FF2B5EF4-FFF2-40B4-BE49-F238E27FC236}">
              <a16:creationId xmlns:a16="http://schemas.microsoft.com/office/drawing/2014/main" id="{4D5B0B24-8337-43F6-9060-165A6A97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1" name="BExU3EX5JJCXCII4YKUJBFBGIJR2" descr="OF5ZI9PI5WH36VPANJ2DYLNMI" hidden="1">
          <a:extLst>
            <a:ext uri="{FF2B5EF4-FFF2-40B4-BE49-F238E27FC236}">
              <a16:creationId xmlns:a16="http://schemas.microsoft.com/office/drawing/2014/main" id="{0F6E9A24-BC33-49B3-A8A4-1BF82FF22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122" name="BEx1KD7H6UB1VYCJ7O61P562EIUY" descr="IQGV9140X0K0UPBL8OGU3I44J" hidden="1">
          <a:extLst>
            <a:ext uri="{FF2B5EF4-FFF2-40B4-BE49-F238E27FC236}">
              <a16:creationId xmlns:a16="http://schemas.microsoft.com/office/drawing/2014/main" id="{43CAF36C-8871-4F96-8850-4B7368FD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123" name="BEx5BJQWS6YWHH4ZMSUAMD641V6Y" descr="ZTMFMXCIQSECDX38ALEFHUB00" hidden="1">
          <a:extLst>
            <a:ext uri="{FF2B5EF4-FFF2-40B4-BE49-F238E27FC236}">
              <a16:creationId xmlns:a16="http://schemas.microsoft.com/office/drawing/2014/main" id="{1E2808FB-4EEE-4950-9541-6F000CC0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24" name="BExVTO5Q8G2M7BPL4B2584LQS0R0" descr="OB6Q8NA4LZFE4GM9Y3V56BPMQ" hidden="1">
          <a:extLst>
            <a:ext uri="{FF2B5EF4-FFF2-40B4-BE49-F238E27FC236}">
              <a16:creationId xmlns:a16="http://schemas.microsoft.com/office/drawing/2014/main" id="{64A3D073-2E62-4B5B-A3B3-1CD64B57B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116564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25" name="BExIFSCLN1G86X78PFLTSMRP0US5" descr="9JK4SPV4DG7VTCZIILWHXQU5J" hidden="1">
          <a:extLst>
            <a:ext uri="{FF2B5EF4-FFF2-40B4-BE49-F238E27FC236}">
              <a16:creationId xmlns:a16="http://schemas.microsoft.com/office/drawing/2014/main" id="{364DFD58-23C3-4624-9793-E7EC46D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116564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6" name="BEx1I152WN2D3A85O2XN0DGXCWHN" descr="KHBZFMANRA4UMJR1AB4M5NJNT" hidden="1">
          <a:extLst>
            <a:ext uri="{FF2B5EF4-FFF2-40B4-BE49-F238E27FC236}">
              <a16:creationId xmlns:a16="http://schemas.microsoft.com/office/drawing/2014/main" id="{B945BB05-3FA8-40CB-AF13-A08FF9C0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7" name="BExW9676P0SKCVKK25QCGHPA3PAD" descr="9A4PWZ20RMSRF0PNECCDM75CA" hidden="1">
          <a:extLst>
            <a:ext uri="{FF2B5EF4-FFF2-40B4-BE49-F238E27FC236}">
              <a16:creationId xmlns:a16="http://schemas.microsoft.com/office/drawing/2014/main" id="{8C3DBB0D-754F-41B5-B4A6-D5F0B0FD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128" name="BExW253QPOZK9KW8BJC3LBXGCG2N" descr="Y5HX37BEUWSN1NEFJKZJXI3SX" hidden="1">
          <a:extLst>
            <a:ext uri="{FF2B5EF4-FFF2-40B4-BE49-F238E27FC236}">
              <a16:creationId xmlns:a16="http://schemas.microsoft.com/office/drawing/2014/main" id="{D61B8755-CACE-4DD5-AD8B-148D9698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9" name="BExS5CPQ8P8JOQPK7ANNKHLSGOKU" hidden="1">
          <a:extLst>
            <a:ext uri="{FF2B5EF4-FFF2-40B4-BE49-F238E27FC236}">
              <a16:creationId xmlns:a16="http://schemas.microsoft.com/office/drawing/2014/main" id="{ADE7F2A4-2147-410F-A9BF-8161EAA8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0" name="BExMM0AVUAIRNJLXB1FW8R0YB4ZZ" hidden="1">
          <a:extLst>
            <a:ext uri="{FF2B5EF4-FFF2-40B4-BE49-F238E27FC236}">
              <a16:creationId xmlns:a16="http://schemas.microsoft.com/office/drawing/2014/main" id="{DDC086B8-A2BC-460A-A94E-9209D7A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31" name="BExXZ7Y09CBS0XA7IPB3IRJ8RJM4" hidden="1">
          <a:extLst>
            <a:ext uri="{FF2B5EF4-FFF2-40B4-BE49-F238E27FC236}">
              <a16:creationId xmlns:a16="http://schemas.microsoft.com/office/drawing/2014/main" id="{78DABD05-6924-489C-9FDC-6A733C37E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2" name="BExQ7SXS9VUG7P6CACU2J7R2SGIZ" hidden="1">
          <a:extLst>
            <a:ext uri="{FF2B5EF4-FFF2-40B4-BE49-F238E27FC236}">
              <a16:creationId xmlns:a16="http://schemas.microsoft.com/office/drawing/2014/main" id="{CE65A08D-4A09-4B6F-BABC-A02D302B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133" name="BEx5AQZ4ETQ9LMY5EBWVH20Z7VXQ" hidden="1">
          <a:extLst>
            <a:ext uri="{FF2B5EF4-FFF2-40B4-BE49-F238E27FC236}">
              <a16:creationId xmlns:a16="http://schemas.microsoft.com/office/drawing/2014/main" id="{206FE6E4-16E9-47C5-839E-FCAAAFB84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134" name="BExUBK0YZ5VYFY8TTITJGJU9S06A" hidden="1">
          <a:extLst>
            <a:ext uri="{FF2B5EF4-FFF2-40B4-BE49-F238E27FC236}">
              <a16:creationId xmlns:a16="http://schemas.microsoft.com/office/drawing/2014/main" id="{E8936C40-AE28-4EBF-A3E0-B73D155E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10935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35" name="BExUEZCSSJ7RN4J18I2NUIQR2FZS" hidden="1">
          <a:extLst>
            <a:ext uri="{FF2B5EF4-FFF2-40B4-BE49-F238E27FC236}">
              <a16:creationId xmlns:a16="http://schemas.microsoft.com/office/drawing/2014/main" id="{A9863B47-4164-4D8A-B870-9856D0885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36" name="BExS3JDQWF7U3F5JTEVOE16ASIYK" hidden="1">
          <a:extLst>
            <a:ext uri="{FF2B5EF4-FFF2-40B4-BE49-F238E27FC236}">
              <a16:creationId xmlns:a16="http://schemas.microsoft.com/office/drawing/2014/main" id="{5CF5964D-B4CA-4DDB-A34C-FC04E795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10703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137" name="BEx973S463FCQVJ7QDFBUIU0WJ3F" descr="ZQTVYL8DCSADVT0QMRXFLU0TR" hidden="1">
          <a:extLst>
            <a:ext uri="{FF2B5EF4-FFF2-40B4-BE49-F238E27FC236}">
              <a16:creationId xmlns:a16="http://schemas.microsoft.com/office/drawing/2014/main" id="{AAEA9133-5DD2-4FFC-80CD-0B7F7E85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54879</xdr:rowOff>
    </xdr:to>
    <xdr:pic>
      <xdr:nvPicPr>
        <xdr:cNvPr id="138" name="BExRZO0PLWWMCLGRH7EH6UXYWGAJ" descr="9D4GQ34QB727H10MA3SSAR2R9" hidden="1">
          <a:extLst>
            <a:ext uri="{FF2B5EF4-FFF2-40B4-BE49-F238E27FC236}">
              <a16:creationId xmlns:a16="http://schemas.microsoft.com/office/drawing/2014/main" id="{7BB54182-1480-4D84-B624-3A04459D7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178254</xdr:rowOff>
    </xdr:to>
    <xdr:pic>
      <xdr:nvPicPr>
        <xdr:cNvPr id="139" name="BExBDP6HNAAJUM39SE5G2C8BKNRQ" descr="1TM64TL2QIMYV7WYSV2VLGXY4" hidden="1">
          <a:extLst>
            <a:ext uri="{FF2B5EF4-FFF2-40B4-BE49-F238E27FC236}">
              <a16:creationId xmlns:a16="http://schemas.microsoft.com/office/drawing/2014/main" id="{D815D5D5-8485-437C-993E-1AC80326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244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40" name="BExQEGJP61DL2NZY6LMBHBZ0J5YT" descr="D6ZNRZJ7EX4GZT9RO8LE0C905" hidden="1">
          <a:extLst>
            <a:ext uri="{FF2B5EF4-FFF2-40B4-BE49-F238E27FC236}">
              <a16:creationId xmlns:a16="http://schemas.microsoft.com/office/drawing/2014/main" id="{27F2122C-5185-45F7-9EA4-4FBD0C09F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62142</xdr:rowOff>
    </xdr:to>
    <xdr:pic>
      <xdr:nvPicPr>
        <xdr:cNvPr id="141" name="BExTY1BCS6HZIF6HI5491FGHDVAE" descr="MJ6976KI2UH1IE8M227DUYXMJ" hidden="1">
          <a:extLst>
            <a:ext uri="{FF2B5EF4-FFF2-40B4-BE49-F238E27FC236}">
              <a16:creationId xmlns:a16="http://schemas.microsoft.com/office/drawing/2014/main" id="{ED18FA68-4294-4B05-BABA-1053877D8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2" name="BEx5FXJGJOT93D0J2IRJ3985IUMI" hidden="1">
          <a:extLst>
            <a:ext uri="{FF2B5EF4-FFF2-40B4-BE49-F238E27FC236}">
              <a16:creationId xmlns:a16="http://schemas.microsoft.com/office/drawing/2014/main" id="{12D04640-4E6D-46D1-8A50-846A59A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3" name="BEx3RTMHAR35NUAAK49TV6NU7EPA" descr="QFXLG4ZCXTRQSJYFCKJ58G9N8" hidden="1">
          <a:extLst>
            <a:ext uri="{FF2B5EF4-FFF2-40B4-BE49-F238E27FC236}">
              <a16:creationId xmlns:a16="http://schemas.microsoft.com/office/drawing/2014/main" id="{B4365776-3F1C-4D40-B62F-CC2910F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44" name="BExS8T38WLC2R738ZC7BDJQAKJAJ" descr="MRI962L5PB0E0YWXCIBN82VJH" hidden="1">
          <a:extLst>
            <a:ext uri="{FF2B5EF4-FFF2-40B4-BE49-F238E27FC236}">
              <a16:creationId xmlns:a16="http://schemas.microsoft.com/office/drawing/2014/main" id="{F0E2530E-8850-41FD-988A-9EA9BB0A5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5" name="BEx5F64BJ6DCM4EJH81D5ZFNPZ0V" descr="7DJ9FILZD2YPS6X1JBP9E76TU" hidden="1">
          <a:extLst>
            <a:ext uri="{FF2B5EF4-FFF2-40B4-BE49-F238E27FC236}">
              <a16:creationId xmlns:a16="http://schemas.microsoft.com/office/drawing/2014/main" id="{56952FEE-E2CD-4211-A4FF-D34A047D5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6" name="BExQEXXHA3EEXR44LT6RKCDWM6ZT" hidden="1">
          <a:extLst>
            <a:ext uri="{FF2B5EF4-FFF2-40B4-BE49-F238E27FC236}">
              <a16:creationId xmlns:a16="http://schemas.microsoft.com/office/drawing/2014/main" id="{519C3841-9A84-4AC3-9985-9198DB24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162831</xdr:rowOff>
    </xdr:to>
    <xdr:pic>
      <xdr:nvPicPr>
        <xdr:cNvPr id="147" name="BEx1X6AMHV6ZK3UJB2BXIJTJHYJU" descr="OALR4L95ELQLZ1Y1LETHM1CS9" hidden="1">
          <a:extLst>
            <a:ext uri="{FF2B5EF4-FFF2-40B4-BE49-F238E27FC236}">
              <a16:creationId xmlns:a16="http://schemas.microsoft.com/office/drawing/2014/main" id="{0572EBD1-AFDA-47D3-9A3B-B67EE0D8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8" name="BExSDIVCE09QKG3CT52PHCS6ZJ09" descr="9F076L7EQCF2COMMGCQG6BQGU" hidden="1">
          <a:extLst>
            <a:ext uri="{FF2B5EF4-FFF2-40B4-BE49-F238E27FC236}">
              <a16:creationId xmlns:a16="http://schemas.microsoft.com/office/drawing/2014/main" id="{F9A86254-D241-4F15-A45C-C9F604740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54879</xdr:rowOff>
    </xdr:to>
    <xdr:pic>
      <xdr:nvPicPr>
        <xdr:cNvPr id="149" name="BEx1QZGQZBAWJ8591VXEIPUOVS7X" descr="MEW27CPIFG44B7E7HEQUUF5QF" hidden="1">
          <a:extLst>
            <a:ext uri="{FF2B5EF4-FFF2-40B4-BE49-F238E27FC236}">
              <a16:creationId xmlns:a16="http://schemas.microsoft.com/office/drawing/2014/main" id="{B89A9A6A-DFE6-4AF9-BD44-C20654940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100242</xdr:rowOff>
    </xdr:to>
    <xdr:pic>
      <xdr:nvPicPr>
        <xdr:cNvPr id="150" name="BExMF7LICJLPXSHM63A6EQ79YQKG" descr="U084VZL15IMB1OFRRAY6GVKAE" hidden="1">
          <a:extLst>
            <a:ext uri="{FF2B5EF4-FFF2-40B4-BE49-F238E27FC236}">
              <a16:creationId xmlns:a16="http://schemas.microsoft.com/office/drawing/2014/main" id="{1B57AE16-F88E-403C-A5D9-0218175D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51" name="BExS343F8GCKP6HTF9Y97L133DX8" descr="ZRF0KB1IYQSNV63CTXT25G67G" hidden="1">
          <a:extLst>
            <a:ext uri="{FF2B5EF4-FFF2-40B4-BE49-F238E27FC236}">
              <a16:creationId xmlns:a16="http://schemas.microsoft.com/office/drawing/2014/main" id="{10E32A17-8653-42DF-AB51-841D326C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152" name="BExZMRC09W87CY4B73NPZMNH21AH" descr="78CUMI0OVLYJRSDRQ3V2YX812" hidden="1">
          <a:extLst>
            <a:ext uri="{FF2B5EF4-FFF2-40B4-BE49-F238E27FC236}">
              <a16:creationId xmlns:a16="http://schemas.microsoft.com/office/drawing/2014/main" id="{9C6ED218-8E27-4855-96C5-3FD92FAA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100242</xdr:rowOff>
    </xdr:to>
    <xdr:pic>
      <xdr:nvPicPr>
        <xdr:cNvPr id="153" name="BExZXVFJ4DY4I24AARDT4AMP6EN1" descr="TXSMH2MTH86CYKA26740RQPUC" hidden="1">
          <a:extLst>
            <a:ext uri="{FF2B5EF4-FFF2-40B4-BE49-F238E27FC236}">
              <a16:creationId xmlns:a16="http://schemas.microsoft.com/office/drawing/2014/main" id="{F662441A-9FEF-492B-B31A-325BE9030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162831</xdr:rowOff>
    </xdr:to>
    <xdr:pic>
      <xdr:nvPicPr>
        <xdr:cNvPr id="154" name="BExOCUIOFQWUGTBU5ESTW3EYEP5C" descr="9BNF49V0R6VVYPHEVMJ3ABDQZ" hidden="1">
          <a:extLst>
            <a:ext uri="{FF2B5EF4-FFF2-40B4-BE49-F238E27FC236}">
              <a16:creationId xmlns:a16="http://schemas.microsoft.com/office/drawing/2014/main" id="{56C333D6-5563-4918-A5C2-316EB1E0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3334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24042</xdr:rowOff>
    </xdr:to>
    <xdr:pic>
      <xdr:nvPicPr>
        <xdr:cNvPr id="155" name="BExU65O9OE4B4MQ2A3OYH13M8BZJ" descr="3INNIMMPDBB0JF37L81M6ID21" hidden="1">
          <a:extLst>
            <a:ext uri="{FF2B5EF4-FFF2-40B4-BE49-F238E27FC236}">
              <a16:creationId xmlns:a16="http://schemas.microsoft.com/office/drawing/2014/main" id="{E2D091B3-301F-4712-92CD-38A81768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56" name="BExOPRCR0UW7TKXSV5WDTL348FGL" descr="S9JM17GP1802LHN4GT14BJYIC" hidden="1">
          <a:extLst>
            <a:ext uri="{FF2B5EF4-FFF2-40B4-BE49-F238E27FC236}">
              <a16:creationId xmlns:a16="http://schemas.microsoft.com/office/drawing/2014/main" id="{44866A30-573B-46D1-B663-A5527E558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130629</xdr:rowOff>
    </xdr:to>
    <xdr:pic>
      <xdr:nvPicPr>
        <xdr:cNvPr id="157" name="BEx5OESAY2W8SEGI3TSB65EHJ04B" descr="9CN2Y88X8WYV1HWZG1QILY9BK" hidden="1">
          <a:extLst>
            <a:ext uri="{FF2B5EF4-FFF2-40B4-BE49-F238E27FC236}">
              <a16:creationId xmlns:a16="http://schemas.microsoft.com/office/drawing/2014/main" id="{1ACB44B7-E360-4A6D-9282-10E200B6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654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58" name="BExGMWEQ2BYRY9BAO5T1X850MJN1" descr="AZ9ST0XDIOP50HSUFO5V31BR0" hidden="1">
          <a:extLst>
            <a:ext uri="{FF2B5EF4-FFF2-40B4-BE49-F238E27FC236}">
              <a16:creationId xmlns:a16="http://schemas.microsoft.com/office/drawing/2014/main" id="{7F4C43A0-271A-4ACA-9F6F-1CD1BB45E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59" name="BExMO7VFCN4EL59982UR4AJ25JNJ" descr="XX6TINEJADZGKR0CTM7ZRT0RA" hidden="1">
          <a:extLst>
            <a:ext uri="{FF2B5EF4-FFF2-40B4-BE49-F238E27FC236}">
              <a16:creationId xmlns:a16="http://schemas.microsoft.com/office/drawing/2014/main" id="{CE202F39-EBF7-41C3-99B1-BB8C3FA2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0" name="BExU3EX5JJCXCII4YKUJBFBGIJR2" descr="OF5ZI9PI5WH36VPANJ2DYLNMI" hidden="1">
          <a:extLst>
            <a:ext uri="{FF2B5EF4-FFF2-40B4-BE49-F238E27FC236}">
              <a16:creationId xmlns:a16="http://schemas.microsoft.com/office/drawing/2014/main" id="{F6AA25AD-5B35-4B81-9BDB-5A4B35A8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61" name="BEx1KD7H6UB1VYCJ7O61P562EIUY" descr="IQGV9140X0K0UPBL8OGU3I44J" hidden="1">
          <a:extLst>
            <a:ext uri="{FF2B5EF4-FFF2-40B4-BE49-F238E27FC236}">
              <a16:creationId xmlns:a16="http://schemas.microsoft.com/office/drawing/2014/main" id="{8CB305AB-07C9-47D9-9BB0-5B4A7A88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62" name="BEx5BJQWS6YWHH4ZMSUAMD641V6Y" descr="ZTMFMXCIQSECDX38ALEFHUB00" hidden="1">
          <a:extLst>
            <a:ext uri="{FF2B5EF4-FFF2-40B4-BE49-F238E27FC236}">
              <a16:creationId xmlns:a16="http://schemas.microsoft.com/office/drawing/2014/main" id="{3375586D-803D-4D90-B3EC-31ACFBDAC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163" name="BExVTO5Q8G2M7BPL4B2584LQS0R0" descr="OB6Q8NA4LZFE4GM9Y3V56BPMQ" hidden="1">
          <a:extLst>
            <a:ext uri="{FF2B5EF4-FFF2-40B4-BE49-F238E27FC236}">
              <a16:creationId xmlns:a16="http://schemas.microsoft.com/office/drawing/2014/main" id="{66DBABB8-7A9C-4EA1-BDF4-B0C6BA01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664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164" name="BExIFSCLN1G86X78PFLTSMRP0US5" descr="9JK4SPV4DG7VTCZIILWHXQU5J" hidden="1">
          <a:extLst>
            <a:ext uri="{FF2B5EF4-FFF2-40B4-BE49-F238E27FC236}">
              <a16:creationId xmlns:a16="http://schemas.microsoft.com/office/drawing/2014/main" id="{F1F2C6FB-8EC2-4393-9BCD-EF440568F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4664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5" name="BEx1I152WN2D3A85O2XN0DGXCWHN" descr="KHBZFMANRA4UMJR1AB4M5NJNT" hidden="1">
          <a:extLst>
            <a:ext uri="{FF2B5EF4-FFF2-40B4-BE49-F238E27FC236}">
              <a16:creationId xmlns:a16="http://schemas.microsoft.com/office/drawing/2014/main" id="{497BEE4A-5850-4E90-B1CA-AE1A91100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6" name="BExW9676P0SKCVKK25QCGHPA3PAD" descr="9A4PWZ20RMSRF0PNECCDM75CA" hidden="1">
          <a:extLst>
            <a:ext uri="{FF2B5EF4-FFF2-40B4-BE49-F238E27FC236}">
              <a16:creationId xmlns:a16="http://schemas.microsoft.com/office/drawing/2014/main" id="{83756C1A-8812-4F07-B120-CA6BEDA36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167" name="BExW253QPOZK9KW8BJC3LBXGCG2N" descr="Y5HX37BEUWSN1NEFJKZJXI3SX" hidden="1">
          <a:extLst>
            <a:ext uri="{FF2B5EF4-FFF2-40B4-BE49-F238E27FC236}">
              <a16:creationId xmlns:a16="http://schemas.microsoft.com/office/drawing/2014/main" id="{970D8057-8CCA-45BB-890F-545D6CA9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8" name="BExS5CPQ8P8JOQPK7ANNKHLSGOKU" hidden="1">
          <a:extLst>
            <a:ext uri="{FF2B5EF4-FFF2-40B4-BE49-F238E27FC236}">
              <a16:creationId xmlns:a16="http://schemas.microsoft.com/office/drawing/2014/main" id="{E7E05480-68C6-4287-82FD-7AE7F8EC3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9" name="BExMM0AVUAIRNJLXB1FW8R0YB4ZZ" hidden="1">
          <a:extLst>
            <a:ext uri="{FF2B5EF4-FFF2-40B4-BE49-F238E27FC236}">
              <a16:creationId xmlns:a16="http://schemas.microsoft.com/office/drawing/2014/main" id="{40BACD15-88ED-484F-B601-5ECEBCEF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70" name="BExXZ7Y09CBS0XA7IPB3IRJ8RJM4" hidden="1">
          <a:extLst>
            <a:ext uri="{FF2B5EF4-FFF2-40B4-BE49-F238E27FC236}">
              <a16:creationId xmlns:a16="http://schemas.microsoft.com/office/drawing/2014/main" id="{B382DC2B-5F5C-4DF5-B50C-51017B36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71" name="BExQ7SXS9VUG7P6CACU2J7R2SGIZ" hidden="1">
          <a:extLst>
            <a:ext uri="{FF2B5EF4-FFF2-40B4-BE49-F238E27FC236}">
              <a16:creationId xmlns:a16="http://schemas.microsoft.com/office/drawing/2014/main" id="{0AA7673A-667D-4018-8E3D-A00FD8C88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72" name="BEx5AQZ4ETQ9LMY5EBWVH20Z7VXQ" hidden="1">
          <a:extLst>
            <a:ext uri="{FF2B5EF4-FFF2-40B4-BE49-F238E27FC236}">
              <a16:creationId xmlns:a16="http://schemas.microsoft.com/office/drawing/2014/main" id="{EF195DC0-3486-45DC-8125-CCED23407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73" name="BExUBK0YZ5VYFY8TTITJGJU9S06A" hidden="1">
          <a:extLst>
            <a:ext uri="{FF2B5EF4-FFF2-40B4-BE49-F238E27FC236}">
              <a16:creationId xmlns:a16="http://schemas.microsoft.com/office/drawing/2014/main" id="{C4B36D81-D4D6-489F-887C-B1739E31B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174" name="BExUEZCSSJ7RN4J18I2NUIQR2FZS" hidden="1">
          <a:extLst>
            <a:ext uri="{FF2B5EF4-FFF2-40B4-BE49-F238E27FC236}">
              <a16:creationId xmlns:a16="http://schemas.microsoft.com/office/drawing/2014/main" id="{0AD071CB-52DD-4A97-8D00-822B78B2F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418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175" name="BExS3JDQWF7U3F5JTEVOE16ASIYK" hidden="1">
          <a:extLst>
            <a:ext uri="{FF2B5EF4-FFF2-40B4-BE49-F238E27FC236}">
              <a16:creationId xmlns:a16="http://schemas.microsoft.com/office/drawing/2014/main" id="{BAC84ADA-D071-4438-8304-E45C9008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418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76" name="BEx973S463FCQVJ7QDFBUIU0WJ3F" descr="ZQTVYL8DCSADVT0QMRXFLU0TR" hidden="1">
          <a:extLst>
            <a:ext uri="{FF2B5EF4-FFF2-40B4-BE49-F238E27FC236}">
              <a16:creationId xmlns:a16="http://schemas.microsoft.com/office/drawing/2014/main" id="{811D54BF-3121-4DFF-97BB-BC3F5EC5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177" name="BExRZO0PLWWMCLGRH7EH6UXYWGAJ" descr="9D4GQ34QB727H10MA3SSAR2R9" hidden="1">
          <a:extLst>
            <a:ext uri="{FF2B5EF4-FFF2-40B4-BE49-F238E27FC236}">
              <a16:creationId xmlns:a16="http://schemas.microsoft.com/office/drawing/2014/main" id="{594742F7-104D-4FD0-9071-8A28DFA55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178" name="BExBDP6HNAAJUM39SE5G2C8BKNRQ" descr="1TM64TL2QIMYV7WYSV2VLGXY4" hidden="1">
          <a:extLst>
            <a:ext uri="{FF2B5EF4-FFF2-40B4-BE49-F238E27FC236}">
              <a16:creationId xmlns:a16="http://schemas.microsoft.com/office/drawing/2014/main" id="{FA658092-6705-4C19-8705-F52DB4B0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57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179" name="BExQEGJP61DL2NZY6LMBHBZ0J5YT" descr="D6ZNRZJ7EX4GZT9RO8LE0C905" hidden="1">
          <a:extLst>
            <a:ext uri="{FF2B5EF4-FFF2-40B4-BE49-F238E27FC236}">
              <a16:creationId xmlns:a16="http://schemas.microsoft.com/office/drawing/2014/main" id="{F109C744-2D47-4332-B41C-147CE7FAF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90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180" name="BExTY1BCS6HZIF6HI5491FGHDVAE" descr="MJ6976KI2UH1IE8M227DUYXMJ" hidden="1">
          <a:extLst>
            <a:ext uri="{FF2B5EF4-FFF2-40B4-BE49-F238E27FC236}">
              <a16:creationId xmlns:a16="http://schemas.microsoft.com/office/drawing/2014/main" id="{BD93E921-7C35-42C5-BA8F-3E5EE7DB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75857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1" name="BEx5FXJGJOT93D0J2IRJ3985IUMI" hidden="1">
          <a:extLst>
            <a:ext uri="{FF2B5EF4-FFF2-40B4-BE49-F238E27FC236}">
              <a16:creationId xmlns:a16="http://schemas.microsoft.com/office/drawing/2014/main" id="{8563E66E-D115-4270-969E-10842688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2" name="BEx3RTMHAR35NUAAK49TV6NU7EPA" descr="QFXLG4ZCXTRQSJYFCKJ58G9N8" hidden="1">
          <a:extLst>
            <a:ext uri="{FF2B5EF4-FFF2-40B4-BE49-F238E27FC236}">
              <a16:creationId xmlns:a16="http://schemas.microsoft.com/office/drawing/2014/main" id="{F6058E5D-BC34-4361-A97F-C4A259E1B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83" name="BExS8T38WLC2R738ZC7BDJQAKJAJ" descr="MRI962L5PB0E0YWXCIBN82VJH" hidden="1">
          <a:extLst>
            <a:ext uri="{FF2B5EF4-FFF2-40B4-BE49-F238E27FC236}">
              <a16:creationId xmlns:a16="http://schemas.microsoft.com/office/drawing/2014/main" id="{BBA72BA3-0EE8-4155-9528-ED4C498D5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4" name="BEx5F64BJ6DCM4EJH81D5ZFNPZ0V" descr="7DJ9FILZD2YPS6X1JBP9E76TU" hidden="1">
          <a:extLst>
            <a:ext uri="{FF2B5EF4-FFF2-40B4-BE49-F238E27FC236}">
              <a16:creationId xmlns:a16="http://schemas.microsoft.com/office/drawing/2014/main" id="{6013BC20-AECF-4B48-919E-72962512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5" name="BExQEXXHA3EEXR44LT6RKCDWM6ZT" hidden="1">
          <a:extLst>
            <a:ext uri="{FF2B5EF4-FFF2-40B4-BE49-F238E27FC236}">
              <a16:creationId xmlns:a16="http://schemas.microsoft.com/office/drawing/2014/main" id="{0069232E-407C-4E9A-9AA3-AC3B9EE7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186" name="BEx1X6AMHV6ZK3UJB2BXIJTJHYJU" descr="OALR4L95ELQLZ1Y1LETHM1CS9" hidden="1">
          <a:extLst>
            <a:ext uri="{FF2B5EF4-FFF2-40B4-BE49-F238E27FC236}">
              <a16:creationId xmlns:a16="http://schemas.microsoft.com/office/drawing/2014/main" id="{6F8C3ADC-042E-4A38-8E44-5A1E62680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7" name="BExSDIVCE09QKG3CT52PHCS6ZJ09" descr="9F076L7EQCF2COMMGCQG6BQGU" hidden="1">
          <a:extLst>
            <a:ext uri="{FF2B5EF4-FFF2-40B4-BE49-F238E27FC236}">
              <a16:creationId xmlns:a16="http://schemas.microsoft.com/office/drawing/2014/main" id="{B81DA969-D9A1-4BA6-AA30-02B3EE47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188" name="BEx1QZGQZBAWJ8591VXEIPUOVS7X" descr="MEW27CPIFG44B7E7HEQUUF5QF" hidden="1">
          <a:extLst>
            <a:ext uri="{FF2B5EF4-FFF2-40B4-BE49-F238E27FC236}">
              <a16:creationId xmlns:a16="http://schemas.microsoft.com/office/drawing/2014/main" id="{9D87437B-ADE2-4481-A44E-3428413AA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189" name="BExMF7LICJLPXSHM63A6EQ79YQKG" descr="U084VZL15IMB1OFRRAY6GVKAE" hidden="1">
          <a:extLst>
            <a:ext uri="{FF2B5EF4-FFF2-40B4-BE49-F238E27FC236}">
              <a16:creationId xmlns:a16="http://schemas.microsoft.com/office/drawing/2014/main" id="{62F6CCF6-486C-4421-AAA0-04620768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356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90" name="BExS343F8GCKP6HTF9Y97L133DX8" descr="ZRF0KB1IYQSNV63CTXT25G67G" hidden="1">
          <a:extLst>
            <a:ext uri="{FF2B5EF4-FFF2-40B4-BE49-F238E27FC236}">
              <a16:creationId xmlns:a16="http://schemas.microsoft.com/office/drawing/2014/main" id="{AD62DFB1-5A91-4BB7-BD8B-A32DD4439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505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91" name="BExZMRC09W87CY4B73NPZMNH21AH" descr="78CUMI0OVLYJRSDRQ3V2YX812" hidden="1">
          <a:extLst>
            <a:ext uri="{FF2B5EF4-FFF2-40B4-BE49-F238E27FC236}">
              <a16:creationId xmlns:a16="http://schemas.microsoft.com/office/drawing/2014/main" id="{51C47AA8-B983-4F55-9315-08CBA69B8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192" name="BExZXVFJ4DY4I24AARDT4AMP6EN1" descr="TXSMH2MTH86CYKA26740RQPUC" hidden="1">
          <a:extLst>
            <a:ext uri="{FF2B5EF4-FFF2-40B4-BE49-F238E27FC236}">
              <a16:creationId xmlns:a16="http://schemas.microsoft.com/office/drawing/2014/main" id="{239860CA-69AA-40CE-8C03-783DFBFAC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9982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93" name="BExOCUIOFQWUGTBU5ESTW3EYEP5C" descr="9BNF49V0R6VVYPHEVMJ3ABDQZ" hidden="1">
          <a:extLst>
            <a:ext uri="{FF2B5EF4-FFF2-40B4-BE49-F238E27FC236}">
              <a16:creationId xmlns:a16="http://schemas.microsoft.com/office/drawing/2014/main" id="{4D4A5E47-EC77-41AE-8892-6B88FDC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194" name="BExU65O9OE4B4MQ2A3OYH13M8BZJ" descr="3INNIMMPDBB0JF37L81M6ID21" hidden="1">
          <a:extLst>
            <a:ext uri="{FF2B5EF4-FFF2-40B4-BE49-F238E27FC236}">
              <a16:creationId xmlns:a16="http://schemas.microsoft.com/office/drawing/2014/main" id="{93EDDA0F-0763-4FE7-ACCB-3E5AE6163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103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195" name="BExOPRCR0UW7TKXSV5WDTL348FGL" descr="S9JM17GP1802LHN4GT14BJYIC" hidden="1">
          <a:extLst>
            <a:ext uri="{FF2B5EF4-FFF2-40B4-BE49-F238E27FC236}">
              <a16:creationId xmlns:a16="http://schemas.microsoft.com/office/drawing/2014/main" id="{0A34E469-AF07-4027-9080-C5E85C60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96" name="BEx5OESAY2W8SEGI3TSB65EHJ04B" descr="9CN2Y88X8WYV1HWZG1QILY9BK" hidden="1">
          <a:extLst>
            <a:ext uri="{FF2B5EF4-FFF2-40B4-BE49-F238E27FC236}">
              <a16:creationId xmlns:a16="http://schemas.microsoft.com/office/drawing/2014/main" id="{9A659C29-63CD-4208-A915-015D859B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97" name="BExGMWEQ2BYRY9BAO5T1X850MJN1" descr="AZ9ST0XDIOP50HSUFO5V31BR0" hidden="1">
          <a:extLst>
            <a:ext uri="{FF2B5EF4-FFF2-40B4-BE49-F238E27FC236}">
              <a16:creationId xmlns:a16="http://schemas.microsoft.com/office/drawing/2014/main" id="{D5754035-2344-4BE3-B42E-F058E00E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98" name="BExMO7VFCN4EL59982UR4AJ25JNJ" descr="XX6TINEJADZGKR0CTM7ZRT0RA" hidden="1">
          <a:extLst>
            <a:ext uri="{FF2B5EF4-FFF2-40B4-BE49-F238E27FC236}">
              <a16:creationId xmlns:a16="http://schemas.microsoft.com/office/drawing/2014/main" id="{142E00B7-BFB5-4CF8-AEC7-1F45832E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99" name="BExU3EX5JJCXCII4YKUJBFBGIJR2" descr="OF5ZI9PI5WH36VPANJ2DYLNMI" hidden="1">
          <a:extLst>
            <a:ext uri="{FF2B5EF4-FFF2-40B4-BE49-F238E27FC236}">
              <a16:creationId xmlns:a16="http://schemas.microsoft.com/office/drawing/2014/main" id="{3702701A-64F1-469E-8CDF-6DAB46810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00" name="BEx1KD7H6UB1VYCJ7O61P562EIUY" descr="IQGV9140X0K0UPBL8OGU3I44J" hidden="1">
          <a:extLst>
            <a:ext uri="{FF2B5EF4-FFF2-40B4-BE49-F238E27FC236}">
              <a16:creationId xmlns:a16="http://schemas.microsoft.com/office/drawing/2014/main" id="{13EC04F4-CE90-4750-A1FA-8DADCEEC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01" name="BEx5BJQWS6YWHH4ZMSUAMD641V6Y" descr="ZTMFMXCIQSECDX38ALEFHUB00" hidden="1">
          <a:extLst>
            <a:ext uri="{FF2B5EF4-FFF2-40B4-BE49-F238E27FC236}">
              <a16:creationId xmlns:a16="http://schemas.microsoft.com/office/drawing/2014/main" id="{B43BE7BD-371C-4E70-8A3A-9D21EED6A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02" name="BExVTO5Q8G2M7BPL4B2584LQS0R0" descr="OB6Q8NA4LZFE4GM9Y3V56BPMQ" hidden="1">
          <a:extLst>
            <a:ext uri="{FF2B5EF4-FFF2-40B4-BE49-F238E27FC236}">
              <a16:creationId xmlns:a16="http://schemas.microsoft.com/office/drawing/2014/main" id="{EC068307-25DB-4592-A9EB-96E3FB724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664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03" name="BExIFSCLN1G86X78PFLTSMRP0US5" descr="9JK4SPV4DG7VTCZIILWHXQU5J" hidden="1">
          <a:extLst>
            <a:ext uri="{FF2B5EF4-FFF2-40B4-BE49-F238E27FC236}">
              <a16:creationId xmlns:a16="http://schemas.microsoft.com/office/drawing/2014/main" id="{8E86EC4E-C188-482D-8893-70995AF19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4664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4" name="BEx1I152WN2D3A85O2XN0DGXCWHN" descr="KHBZFMANRA4UMJR1AB4M5NJNT" hidden="1">
          <a:extLst>
            <a:ext uri="{FF2B5EF4-FFF2-40B4-BE49-F238E27FC236}">
              <a16:creationId xmlns:a16="http://schemas.microsoft.com/office/drawing/2014/main" id="{2F117AFD-9D5B-4A1D-9ED5-FEA71E8CE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5" name="BExW9676P0SKCVKK25QCGHPA3PAD" descr="9A4PWZ20RMSRF0PNECCDM75CA" hidden="1">
          <a:extLst>
            <a:ext uri="{FF2B5EF4-FFF2-40B4-BE49-F238E27FC236}">
              <a16:creationId xmlns:a16="http://schemas.microsoft.com/office/drawing/2014/main" id="{420D2F8C-98A6-4108-A8D9-958D08EB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06" name="BExW253QPOZK9KW8BJC3LBXGCG2N" descr="Y5HX37BEUWSN1NEFJKZJXI3SX" hidden="1">
          <a:extLst>
            <a:ext uri="{FF2B5EF4-FFF2-40B4-BE49-F238E27FC236}">
              <a16:creationId xmlns:a16="http://schemas.microsoft.com/office/drawing/2014/main" id="{C9CD7A98-CFF2-4B6D-ACC2-2FB20ABF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7" name="BExS5CPQ8P8JOQPK7ANNKHLSGOKU" hidden="1">
          <a:extLst>
            <a:ext uri="{FF2B5EF4-FFF2-40B4-BE49-F238E27FC236}">
              <a16:creationId xmlns:a16="http://schemas.microsoft.com/office/drawing/2014/main" id="{F011D558-79F2-4F46-A138-0C7D93B1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8" name="BExMM0AVUAIRNJLXB1FW8R0YB4ZZ" hidden="1">
          <a:extLst>
            <a:ext uri="{FF2B5EF4-FFF2-40B4-BE49-F238E27FC236}">
              <a16:creationId xmlns:a16="http://schemas.microsoft.com/office/drawing/2014/main" id="{EFD573A3-7E43-444C-983A-825316AD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9" name="BExXZ7Y09CBS0XA7IPB3IRJ8RJM4" hidden="1">
          <a:extLst>
            <a:ext uri="{FF2B5EF4-FFF2-40B4-BE49-F238E27FC236}">
              <a16:creationId xmlns:a16="http://schemas.microsoft.com/office/drawing/2014/main" id="{2BF41BD1-5332-4338-97BF-CB278A6D3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10" name="BExQ7SXS9VUG7P6CACU2J7R2SGIZ" hidden="1">
          <a:extLst>
            <a:ext uri="{FF2B5EF4-FFF2-40B4-BE49-F238E27FC236}">
              <a16:creationId xmlns:a16="http://schemas.microsoft.com/office/drawing/2014/main" id="{C8D92EF4-6031-4EB0-996E-4F03DD88E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11" name="BEx5AQZ4ETQ9LMY5EBWVH20Z7VXQ" hidden="1">
          <a:extLst>
            <a:ext uri="{FF2B5EF4-FFF2-40B4-BE49-F238E27FC236}">
              <a16:creationId xmlns:a16="http://schemas.microsoft.com/office/drawing/2014/main" id="{FFA426CC-2616-466F-9355-029B4C6D2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12" name="BExUBK0YZ5VYFY8TTITJGJU9S06A" hidden="1">
          <a:extLst>
            <a:ext uri="{FF2B5EF4-FFF2-40B4-BE49-F238E27FC236}">
              <a16:creationId xmlns:a16="http://schemas.microsoft.com/office/drawing/2014/main" id="{E8C94113-B2BC-41AC-96CE-FE295EF5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13" name="BExUEZCSSJ7RN4J18I2NUIQR2FZS" hidden="1">
          <a:extLst>
            <a:ext uri="{FF2B5EF4-FFF2-40B4-BE49-F238E27FC236}">
              <a16:creationId xmlns:a16="http://schemas.microsoft.com/office/drawing/2014/main" id="{3E5C0915-F4F1-4F94-9553-6053BBA2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418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14" name="BExS3JDQWF7U3F5JTEVOE16ASIYK" hidden="1">
          <a:extLst>
            <a:ext uri="{FF2B5EF4-FFF2-40B4-BE49-F238E27FC236}">
              <a16:creationId xmlns:a16="http://schemas.microsoft.com/office/drawing/2014/main" id="{69FA95BA-0FCC-432A-99A9-D30D1B20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418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5" name="BEx973S463FCQVJ7QDFBUIU0WJ3F" descr="ZQTVYL8DCSADVT0QMRXFLU0TR" hidden="1">
          <a:extLst>
            <a:ext uri="{FF2B5EF4-FFF2-40B4-BE49-F238E27FC236}">
              <a16:creationId xmlns:a16="http://schemas.microsoft.com/office/drawing/2014/main" id="{DAC7F443-3DAC-4F25-B827-C50DBF63F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16" name="BExRZO0PLWWMCLGRH7EH6UXYWGAJ" descr="9D4GQ34QB727H10MA3SSAR2R9" hidden="1">
          <a:extLst>
            <a:ext uri="{FF2B5EF4-FFF2-40B4-BE49-F238E27FC236}">
              <a16:creationId xmlns:a16="http://schemas.microsoft.com/office/drawing/2014/main" id="{E285E325-1F95-46E9-A9F4-03FEDFA8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17" name="BExBDP6HNAAJUM39SE5G2C8BKNRQ" descr="1TM64TL2QIMYV7WYSV2VLGXY4" hidden="1">
          <a:extLst>
            <a:ext uri="{FF2B5EF4-FFF2-40B4-BE49-F238E27FC236}">
              <a16:creationId xmlns:a16="http://schemas.microsoft.com/office/drawing/2014/main" id="{47711521-B7C6-44E0-8F4E-029D82545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57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18" name="BExQEGJP61DL2NZY6LMBHBZ0J5YT" descr="D6ZNRZJ7EX4GZT9RO8LE0C905" hidden="1">
          <a:extLst>
            <a:ext uri="{FF2B5EF4-FFF2-40B4-BE49-F238E27FC236}">
              <a16:creationId xmlns:a16="http://schemas.microsoft.com/office/drawing/2014/main" id="{26461A86-9E30-4069-97CA-DF7583BE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90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19" name="BExTY1BCS6HZIF6HI5491FGHDVAE" descr="MJ6976KI2UH1IE8M227DUYXMJ" hidden="1">
          <a:extLst>
            <a:ext uri="{FF2B5EF4-FFF2-40B4-BE49-F238E27FC236}">
              <a16:creationId xmlns:a16="http://schemas.microsoft.com/office/drawing/2014/main" id="{6498674A-B412-4846-A61D-F4AE6C7F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75857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0" name="BEx5FXJGJOT93D0J2IRJ3985IUMI" hidden="1">
          <a:extLst>
            <a:ext uri="{FF2B5EF4-FFF2-40B4-BE49-F238E27FC236}">
              <a16:creationId xmlns:a16="http://schemas.microsoft.com/office/drawing/2014/main" id="{C551E7C1-B4AB-4C75-915D-07C9AD41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1" name="BEx3RTMHAR35NUAAK49TV6NU7EPA" descr="QFXLG4ZCXTRQSJYFCKJ58G9N8" hidden="1">
          <a:extLst>
            <a:ext uri="{FF2B5EF4-FFF2-40B4-BE49-F238E27FC236}">
              <a16:creationId xmlns:a16="http://schemas.microsoft.com/office/drawing/2014/main" id="{92C425DD-5467-4CD9-BC10-D586E7EA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22" name="BExS8T38WLC2R738ZC7BDJQAKJAJ" descr="MRI962L5PB0E0YWXCIBN82VJH" hidden="1">
          <a:extLst>
            <a:ext uri="{FF2B5EF4-FFF2-40B4-BE49-F238E27FC236}">
              <a16:creationId xmlns:a16="http://schemas.microsoft.com/office/drawing/2014/main" id="{FBEC27F0-EBD4-46B9-8014-C4C5CA66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3" name="BEx5F64BJ6DCM4EJH81D5ZFNPZ0V" descr="7DJ9FILZD2YPS6X1JBP9E76TU" hidden="1">
          <a:extLst>
            <a:ext uri="{FF2B5EF4-FFF2-40B4-BE49-F238E27FC236}">
              <a16:creationId xmlns:a16="http://schemas.microsoft.com/office/drawing/2014/main" id="{02332DC3-9AC4-4308-9033-1221F103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4" name="BExQEXXHA3EEXR44LT6RKCDWM6ZT" hidden="1">
          <a:extLst>
            <a:ext uri="{FF2B5EF4-FFF2-40B4-BE49-F238E27FC236}">
              <a16:creationId xmlns:a16="http://schemas.microsoft.com/office/drawing/2014/main" id="{E2A4CC02-C13F-45F4-A931-590E3921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25" name="BEx1X6AMHV6ZK3UJB2BXIJTJHYJU" descr="OALR4L95ELQLZ1Y1LETHM1CS9" hidden="1">
          <a:extLst>
            <a:ext uri="{FF2B5EF4-FFF2-40B4-BE49-F238E27FC236}">
              <a16:creationId xmlns:a16="http://schemas.microsoft.com/office/drawing/2014/main" id="{A8DBE1F8-1CC9-4BAD-96AF-C9DF56E06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6" name="BExSDIVCE09QKG3CT52PHCS6ZJ09" descr="9F076L7EQCF2COMMGCQG6BQGU" hidden="1">
          <a:extLst>
            <a:ext uri="{FF2B5EF4-FFF2-40B4-BE49-F238E27FC236}">
              <a16:creationId xmlns:a16="http://schemas.microsoft.com/office/drawing/2014/main" id="{647345E3-4F79-4556-828A-E96A75F1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27" name="BEx1QZGQZBAWJ8591VXEIPUOVS7X" descr="MEW27CPIFG44B7E7HEQUUF5QF" hidden="1">
          <a:extLst>
            <a:ext uri="{FF2B5EF4-FFF2-40B4-BE49-F238E27FC236}">
              <a16:creationId xmlns:a16="http://schemas.microsoft.com/office/drawing/2014/main" id="{8F7F1A51-BA3A-4050-9A1B-D7F18C8FA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28" name="BExMF7LICJLPXSHM63A6EQ79YQKG" descr="U084VZL15IMB1OFRRAY6GVKAE" hidden="1">
          <a:extLst>
            <a:ext uri="{FF2B5EF4-FFF2-40B4-BE49-F238E27FC236}">
              <a16:creationId xmlns:a16="http://schemas.microsoft.com/office/drawing/2014/main" id="{574ADB47-6C43-48BE-BBCF-E2B1B295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356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29" name="BExS343F8GCKP6HTF9Y97L133DX8" descr="ZRF0KB1IYQSNV63CTXT25G67G" hidden="1">
          <a:extLst>
            <a:ext uri="{FF2B5EF4-FFF2-40B4-BE49-F238E27FC236}">
              <a16:creationId xmlns:a16="http://schemas.microsoft.com/office/drawing/2014/main" id="{6B6CF35C-D71A-43A8-9205-011E5D8F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505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30" name="BExZMRC09W87CY4B73NPZMNH21AH" descr="78CUMI0OVLYJRSDRQ3V2YX812" hidden="1">
          <a:extLst>
            <a:ext uri="{FF2B5EF4-FFF2-40B4-BE49-F238E27FC236}">
              <a16:creationId xmlns:a16="http://schemas.microsoft.com/office/drawing/2014/main" id="{1F672A14-2389-4A60-8EED-72AE113FB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31" name="BExZXVFJ4DY4I24AARDT4AMP6EN1" descr="TXSMH2MTH86CYKA26740RQPUC" hidden="1">
          <a:extLst>
            <a:ext uri="{FF2B5EF4-FFF2-40B4-BE49-F238E27FC236}">
              <a16:creationId xmlns:a16="http://schemas.microsoft.com/office/drawing/2014/main" id="{1F233744-2E6E-4EFE-9A49-D377AB58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9982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32" name="BExOCUIOFQWUGTBU5ESTW3EYEP5C" descr="9BNF49V0R6VVYPHEVMJ3ABDQZ" hidden="1">
          <a:extLst>
            <a:ext uri="{FF2B5EF4-FFF2-40B4-BE49-F238E27FC236}">
              <a16:creationId xmlns:a16="http://schemas.microsoft.com/office/drawing/2014/main" id="{9B925F64-AF5C-495F-BD51-C5385DA9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33" name="BExU65O9OE4B4MQ2A3OYH13M8BZJ" descr="3INNIMMPDBB0JF37L81M6ID21" hidden="1">
          <a:extLst>
            <a:ext uri="{FF2B5EF4-FFF2-40B4-BE49-F238E27FC236}">
              <a16:creationId xmlns:a16="http://schemas.microsoft.com/office/drawing/2014/main" id="{51995FA9-6C39-4738-BEFB-098CC473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103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34" name="BExOPRCR0UW7TKXSV5WDTL348FGL" descr="S9JM17GP1802LHN4GT14BJYIC" hidden="1">
          <a:extLst>
            <a:ext uri="{FF2B5EF4-FFF2-40B4-BE49-F238E27FC236}">
              <a16:creationId xmlns:a16="http://schemas.microsoft.com/office/drawing/2014/main" id="{9711E62B-BE20-4FDD-ACBF-5FC9C6F9B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35" name="BEx5OESAY2W8SEGI3TSB65EHJ04B" descr="9CN2Y88X8WYV1HWZG1QILY9BK" hidden="1">
          <a:extLst>
            <a:ext uri="{FF2B5EF4-FFF2-40B4-BE49-F238E27FC236}">
              <a16:creationId xmlns:a16="http://schemas.microsoft.com/office/drawing/2014/main" id="{8188A49D-FB41-4D89-9F6D-AB674A03B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36" name="BExGMWEQ2BYRY9BAO5T1X850MJN1" descr="AZ9ST0XDIOP50HSUFO5V31BR0" hidden="1">
          <a:extLst>
            <a:ext uri="{FF2B5EF4-FFF2-40B4-BE49-F238E27FC236}">
              <a16:creationId xmlns:a16="http://schemas.microsoft.com/office/drawing/2014/main" id="{A0A2811C-E07E-4098-8CEC-1E366CAE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37" name="BExMO7VFCN4EL59982UR4AJ25JNJ" descr="XX6TINEJADZGKR0CTM7ZRT0RA" hidden="1">
          <a:extLst>
            <a:ext uri="{FF2B5EF4-FFF2-40B4-BE49-F238E27FC236}">
              <a16:creationId xmlns:a16="http://schemas.microsoft.com/office/drawing/2014/main" id="{D2AE0A9D-C190-4E3A-BC8A-092C3D779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38" name="BExU3EX5JJCXCII4YKUJBFBGIJR2" descr="OF5ZI9PI5WH36VPANJ2DYLNMI" hidden="1">
          <a:extLst>
            <a:ext uri="{FF2B5EF4-FFF2-40B4-BE49-F238E27FC236}">
              <a16:creationId xmlns:a16="http://schemas.microsoft.com/office/drawing/2014/main" id="{C56BCEFC-91CC-4C5F-A627-9E708425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39" name="BEx1KD7H6UB1VYCJ7O61P562EIUY" descr="IQGV9140X0K0UPBL8OGU3I44J" hidden="1">
          <a:extLst>
            <a:ext uri="{FF2B5EF4-FFF2-40B4-BE49-F238E27FC236}">
              <a16:creationId xmlns:a16="http://schemas.microsoft.com/office/drawing/2014/main" id="{D2F2AC50-316B-4699-9542-6CE7B920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40" name="BEx5BJQWS6YWHH4ZMSUAMD641V6Y" descr="ZTMFMXCIQSECDX38ALEFHUB00" hidden="1">
          <a:extLst>
            <a:ext uri="{FF2B5EF4-FFF2-40B4-BE49-F238E27FC236}">
              <a16:creationId xmlns:a16="http://schemas.microsoft.com/office/drawing/2014/main" id="{A2F270F6-4332-46BF-B841-4F9CBFEEC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41" name="BExVTO5Q8G2M7BPL4B2584LQS0R0" descr="OB6Q8NA4LZFE4GM9Y3V56BPMQ" hidden="1">
          <a:extLst>
            <a:ext uri="{FF2B5EF4-FFF2-40B4-BE49-F238E27FC236}">
              <a16:creationId xmlns:a16="http://schemas.microsoft.com/office/drawing/2014/main" id="{2647F325-6D41-43D6-ADE3-21F161488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664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42" name="BExIFSCLN1G86X78PFLTSMRP0US5" descr="9JK4SPV4DG7VTCZIILWHXQU5J" hidden="1">
          <a:extLst>
            <a:ext uri="{FF2B5EF4-FFF2-40B4-BE49-F238E27FC236}">
              <a16:creationId xmlns:a16="http://schemas.microsoft.com/office/drawing/2014/main" id="{034E4332-4A00-4F75-9FE5-B4B214124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4664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3" name="BEx1I152WN2D3A85O2XN0DGXCWHN" descr="KHBZFMANRA4UMJR1AB4M5NJNT" hidden="1">
          <a:extLst>
            <a:ext uri="{FF2B5EF4-FFF2-40B4-BE49-F238E27FC236}">
              <a16:creationId xmlns:a16="http://schemas.microsoft.com/office/drawing/2014/main" id="{5179ED6D-A3DF-4D09-8F0F-2800AB8B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4" name="BExW9676P0SKCVKK25QCGHPA3PAD" descr="9A4PWZ20RMSRF0PNECCDM75CA" hidden="1">
          <a:extLst>
            <a:ext uri="{FF2B5EF4-FFF2-40B4-BE49-F238E27FC236}">
              <a16:creationId xmlns:a16="http://schemas.microsoft.com/office/drawing/2014/main" id="{89376072-3382-417F-A8B8-A5DC622A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45" name="BExW253QPOZK9KW8BJC3LBXGCG2N" descr="Y5HX37BEUWSN1NEFJKZJXI3SX" hidden="1">
          <a:extLst>
            <a:ext uri="{FF2B5EF4-FFF2-40B4-BE49-F238E27FC236}">
              <a16:creationId xmlns:a16="http://schemas.microsoft.com/office/drawing/2014/main" id="{B8FA2B01-F161-4258-968E-DC4340510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6" name="BExS5CPQ8P8JOQPK7ANNKHLSGOKU" hidden="1">
          <a:extLst>
            <a:ext uri="{FF2B5EF4-FFF2-40B4-BE49-F238E27FC236}">
              <a16:creationId xmlns:a16="http://schemas.microsoft.com/office/drawing/2014/main" id="{F8CAF13F-9139-44DB-B035-50CD2ABC4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7" name="BExMM0AVUAIRNJLXB1FW8R0YB4ZZ" hidden="1">
          <a:extLst>
            <a:ext uri="{FF2B5EF4-FFF2-40B4-BE49-F238E27FC236}">
              <a16:creationId xmlns:a16="http://schemas.microsoft.com/office/drawing/2014/main" id="{DA59332F-FD0A-48CE-9BB8-7C145C0D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8" name="BExXZ7Y09CBS0XA7IPB3IRJ8RJM4" hidden="1">
          <a:extLst>
            <a:ext uri="{FF2B5EF4-FFF2-40B4-BE49-F238E27FC236}">
              <a16:creationId xmlns:a16="http://schemas.microsoft.com/office/drawing/2014/main" id="{BB233526-5792-43AC-900C-E1CC52477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9" name="BExQ7SXS9VUG7P6CACU2J7R2SGIZ" hidden="1">
          <a:extLst>
            <a:ext uri="{FF2B5EF4-FFF2-40B4-BE49-F238E27FC236}">
              <a16:creationId xmlns:a16="http://schemas.microsoft.com/office/drawing/2014/main" id="{C44DEEF0-E9B5-463F-B2B7-7473F4246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50" name="BEx5AQZ4ETQ9LMY5EBWVH20Z7VXQ" hidden="1">
          <a:extLst>
            <a:ext uri="{FF2B5EF4-FFF2-40B4-BE49-F238E27FC236}">
              <a16:creationId xmlns:a16="http://schemas.microsoft.com/office/drawing/2014/main" id="{B3A5E25B-2A8F-4500-8C12-FC1E72345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51" name="BExUBK0YZ5VYFY8TTITJGJU9S06A" hidden="1">
          <a:extLst>
            <a:ext uri="{FF2B5EF4-FFF2-40B4-BE49-F238E27FC236}">
              <a16:creationId xmlns:a16="http://schemas.microsoft.com/office/drawing/2014/main" id="{0EB27204-82FE-4EF5-BD1E-75568C1AE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52" name="BExUEZCSSJ7RN4J18I2NUIQR2FZS" hidden="1">
          <a:extLst>
            <a:ext uri="{FF2B5EF4-FFF2-40B4-BE49-F238E27FC236}">
              <a16:creationId xmlns:a16="http://schemas.microsoft.com/office/drawing/2014/main" id="{EEBBFCDF-C6DE-4B91-AB1A-B1169F70D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418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53" name="BExS3JDQWF7U3F5JTEVOE16ASIYK" hidden="1">
          <a:extLst>
            <a:ext uri="{FF2B5EF4-FFF2-40B4-BE49-F238E27FC236}">
              <a16:creationId xmlns:a16="http://schemas.microsoft.com/office/drawing/2014/main" id="{56CEF033-0319-4785-A74F-D7A8D484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418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54" name="BEx973S463FCQVJ7QDFBUIU0WJ3F" descr="ZQTVYL8DCSADVT0QMRXFLU0TR" hidden="1">
          <a:extLst>
            <a:ext uri="{FF2B5EF4-FFF2-40B4-BE49-F238E27FC236}">
              <a16:creationId xmlns:a16="http://schemas.microsoft.com/office/drawing/2014/main" id="{FDB85A99-7E4D-4979-B1C3-65F19FF1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55" name="BExRZO0PLWWMCLGRH7EH6UXYWGAJ" descr="9D4GQ34QB727H10MA3SSAR2R9" hidden="1">
          <a:extLst>
            <a:ext uri="{FF2B5EF4-FFF2-40B4-BE49-F238E27FC236}">
              <a16:creationId xmlns:a16="http://schemas.microsoft.com/office/drawing/2014/main" id="{4497723E-6B4E-4A90-B888-91316816B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56" name="BExBDP6HNAAJUM39SE5G2C8BKNRQ" descr="1TM64TL2QIMYV7WYSV2VLGXY4" hidden="1">
          <a:extLst>
            <a:ext uri="{FF2B5EF4-FFF2-40B4-BE49-F238E27FC236}">
              <a16:creationId xmlns:a16="http://schemas.microsoft.com/office/drawing/2014/main" id="{F80D2860-6063-446D-8104-2E3027D3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57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57" name="BExQEGJP61DL2NZY6LMBHBZ0J5YT" descr="D6ZNRZJ7EX4GZT9RO8LE0C905" hidden="1">
          <a:extLst>
            <a:ext uri="{FF2B5EF4-FFF2-40B4-BE49-F238E27FC236}">
              <a16:creationId xmlns:a16="http://schemas.microsoft.com/office/drawing/2014/main" id="{8491FF41-EFE0-454F-8679-F50F7ECD3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90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58" name="BExTY1BCS6HZIF6HI5491FGHDVAE" descr="MJ6976KI2UH1IE8M227DUYXMJ" hidden="1">
          <a:extLst>
            <a:ext uri="{FF2B5EF4-FFF2-40B4-BE49-F238E27FC236}">
              <a16:creationId xmlns:a16="http://schemas.microsoft.com/office/drawing/2014/main" id="{FE49A164-5777-48C8-83D8-0EBD6C455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75857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59" name="BEx5FXJGJOT93D0J2IRJ3985IUMI" hidden="1">
          <a:extLst>
            <a:ext uri="{FF2B5EF4-FFF2-40B4-BE49-F238E27FC236}">
              <a16:creationId xmlns:a16="http://schemas.microsoft.com/office/drawing/2014/main" id="{119F3CEE-53F9-4226-AC06-8354D5A3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0" name="BEx3RTMHAR35NUAAK49TV6NU7EPA" descr="QFXLG4ZCXTRQSJYFCKJ58G9N8" hidden="1">
          <a:extLst>
            <a:ext uri="{FF2B5EF4-FFF2-40B4-BE49-F238E27FC236}">
              <a16:creationId xmlns:a16="http://schemas.microsoft.com/office/drawing/2014/main" id="{75BB7E77-30C1-4366-BE4B-2BD05918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61" name="BExS8T38WLC2R738ZC7BDJQAKJAJ" descr="MRI962L5PB0E0YWXCIBN82VJH" hidden="1">
          <a:extLst>
            <a:ext uri="{FF2B5EF4-FFF2-40B4-BE49-F238E27FC236}">
              <a16:creationId xmlns:a16="http://schemas.microsoft.com/office/drawing/2014/main" id="{1E1E47DA-E629-49FA-A75B-E4CF67A6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2" name="BEx5F64BJ6DCM4EJH81D5ZFNPZ0V" descr="7DJ9FILZD2YPS6X1JBP9E76TU" hidden="1">
          <a:extLst>
            <a:ext uri="{FF2B5EF4-FFF2-40B4-BE49-F238E27FC236}">
              <a16:creationId xmlns:a16="http://schemas.microsoft.com/office/drawing/2014/main" id="{B47905EC-F39F-40EF-95A3-42A249032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3" name="BExQEXXHA3EEXR44LT6RKCDWM6ZT" hidden="1">
          <a:extLst>
            <a:ext uri="{FF2B5EF4-FFF2-40B4-BE49-F238E27FC236}">
              <a16:creationId xmlns:a16="http://schemas.microsoft.com/office/drawing/2014/main" id="{795505EA-DD70-4CDE-83E6-5D6B5615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64" name="BEx1X6AMHV6ZK3UJB2BXIJTJHYJU" descr="OALR4L95ELQLZ1Y1LETHM1CS9" hidden="1">
          <a:extLst>
            <a:ext uri="{FF2B5EF4-FFF2-40B4-BE49-F238E27FC236}">
              <a16:creationId xmlns:a16="http://schemas.microsoft.com/office/drawing/2014/main" id="{AEDCC821-3FD8-426E-B5A7-FD937640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5" name="BExSDIVCE09QKG3CT52PHCS6ZJ09" descr="9F076L7EQCF2COMMGCQG6BQGU" hidden="1">
          <a:extLst>
            <a:ext uri="{FF2B5EF4-FFF2-40B4-BE49-F238E27FC236}">
              <a16:creationId xmlns:a16="http://schemas.microsoft.com/office/drawing/2014/main" id="{A9D1CE66-BAA2-4875-9781-0EE8886E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66" name="BEx1QZGQZBAWJ8591VXEIPUOVS7X" descr="MEW27CPIFG44B7E7HEQUUF5QF" hidden="1">
          <a:extLst>
            <a:ext uri="{FF2B5EF4-FFF2-40B4-BE49-F238E27FC236}">
              <a16:creationId xmlns:a16="http://schemas.microsoft.com/office/drawing/2014/main" id="{19396874-F66C-403A-BB5B-9D14D37F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67" name="BExMF7LICJLPXSHM63A6EQ79YQKG" descr="U084VZL15IMB1OFRRAY6GVKAE" hidden="1">
          <a:extLst>
            <a:ext uri="{FF2B5EF4-FFF2-40B4-BE49-F238E27FC236}">
              <a16:creationId xmlns:a16="http://schemas.microsoft.com/office/drawing/2014/main" id="{3203EFB6-E358-4A85-8FC3-A95EF985D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356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68" name="BExS343F8GCKP6HTF9Y97L133DX8" descr="ZRF0KB1IYQSNV63CTXT25G67G" hidden="1">
          <a:extLst>
            <a:ext uri="{FF2B5EF4-FFF2-40B4-BE49-F238E27FC236}">
              <a16:creationId xmlns:a16="http://schemas.microsoft.com/office/drawing/2014/main" id="{43D8BF01-5602-4AF1-89D8-8A89156E2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505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69" name="BExZMRC09W87CY4B73NPZMNH21AH" descr="78CUMI0OVLYJRSDRQ3V2YX812" hidden="1">
          <a:extLst>
            <a:ext uri="{FF2B5EF4-FFF2-40B4-BE49-F238E27FC236}">
              <a16:creationId xmlns:a16="http://schemas.microsoft.com/office/drawing/2014/main" id="{B3C4F55B-2293-4306-B701-46CF62E5B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70" name="BExZXVFJ4DY4I24AARDT4AMP6EN1" descr="TXSMH2MTH86CYKA26740RQPUC" hidden="1">
          <a:extLst>
            <a:ext uri="{FF2B5EF4-FFF2-40B4-BE49-F238E27FC236}">
              <a16:creationId xmlns:a16="http://schemas.microsoft.com/office/drawing/2014/main" id="{336208C2-4CF0-4550-A942-17A42C39A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9982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71" name="BExOCUIOFQWUGTBU5ESTW3EYEP5C" descr="9BNF49V0R6VVYPHEVMJ3ABDQZ" hidden="1">
          <a:extLst>
            <a:ext uri="{FF2B5EF4-FFF2-40B4-BE49-F238E27FC236}">
              <a16:creationId xmlns:a16="http://schemas.microsoft.com/office/drawing/2014/main" id="{BF1BF2BA-1E73-4060-AFA0-DE6C04B7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72" name="BExU65O9OE4B4MQ2A3OYH13M8BZJ" descr="3INNIMMPDBB0JF37L81M6ID21" hidden="1">
          <a:extLst>
            <a:ext uri="{FF2B5EF4-FFF2-40B4-BE49-F238E27FC236}">
              <a16:creationId xmlns:a16="http://schemas.microsoft.com/office/drawing/2014/main" id="{75312627-658A-4527-B24D-D1D21FAA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103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73" name="BExOPRCR0UW7TKXSV5WDTL348FGL" descr="S9JM17GP1802LHN4GT14BJYIC" hidden="1">
          <a:extLst>
            <a:ext uri="{FF2B5EF4-FFF2-40B4-BE49-F238E27FC236}">
              <a16:creationId xmlns:a16="http://schemas.microsoft.com/office/drawing/2014/main" id="{47784CFE-0EAE-4FC7-9BF1-F3B3E207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74" name="BEx5OESAY2W8SEGI3TSB65EHJ04B" descr="9CN2Y88X8WYV1HWZG1QILY9BK" hidden="1">
          <a:extLst>
            <a:ext uri="{FF2B5EF4-FFF2-40B4-BE49-F238E27FC236}">
              <a16:creationId xmlns:a16="http://schemas.microsoft.com/office/drawing/2014/main" id="{FCA6CFA7-CB07-4671-9D43-4A1A90837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75" name="BExGMWEQ2BYRY9BAO5T1X850MJN1" descr="AZ9ST0XDIOP50HSUFO5V31BR0" hidden="1">
          <a:extLst>
            <a:ext uri="{FF2B5EF4-FFF2-40B4-BE49-F238E27FC236}">
              <a16:creationId xmlns:a16="http://schemas.microsoft.com/office/drawing/2014/main" id="{739F76FD-16E9-4E74-AF87-273B03D0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76" name="BExMO7VFCN4EL59982UR4AJ25JNJ" descr="XX6TINEJADZGKR0CTM7ZRT0RA" hidden="1">
          <a:extLst>
            <a:ext uri="{FF2B5EF4-FFF2-40B4-BE49-F238E27FC236}">
              <a16:creationId xmlns:a16="http://schemas.microsoft.com/office/drawing/2014/main" id="{5A397DB4-4B5C-4382-8CC7-E0504AF6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77" name="BExU3EX5JJCXCII4YKUJBFBGIJR2" descr="OF5ZI9PI5WH36VPANJ2DYLNMI" hidden="1">
          <a:extLst>
            <a:ext uri="{FF2B5EF4-FFF2-40B4-BE49-F238E27FC236}">
              <a16:creationId xmlns:a16="http://schemas.microsoft.com/office/drawing/2014/main" id="{49779F37-1D86-4CAF-B743-5385A866F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78" name="BEx1KD7H6UB1VYCJ7O61P562EIUY" descr="IQGV9140X0K0UPBL8OGU3I44J" hidden="1">
          <a:extLst>
            <a:ext uri="{FF2B5EF4-FFF2-40B4-BE49-F238E27FC236}">
              <a16:creationId xmlns:a16="http://schemas.microsoft.com/office/drawing/2014/main" id="{C4E34758-B35D-4955-8EC4-A25C24B2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79" name="BEx5BJQWS6YWHH4ZMSUAMD641V6Y" descr="ZTMFMXCIQSECDX38ALEFHUB00" hidden="1">
          <a:extLst>
            <a:ext uri="{FF2B5EF4-FFF2-40B4-BE49-F238E27FC236}">
              <a16:creationId xmlns:a16="http://schemas.microsoft.com/office/drawing/2014/main" id="{220AEEAD-DBDD-4156-BBC9-483D7E70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1361</xdr:colOff>
      <xdr:row>0</xdr:row>
      <xdr:rowOff>58965</xdr:rowOff>
    </xdr:to>
    <xdr:pic>
      <xdr:nvPicPr>
        <xdr:cNvPr id="280" name="BExVTO5Q8G2M7BPL4B2584LQS0R0" descr="OB6Q8NA4LZFE4GM9Y3V56BPMQ" hidden="1">
          <a:extLst>
            <a:ext uri="{FF2B5EF4-FFF2-40B4-BE49-F238E27FC236}">
              <a16:creationId xmlns:a16="http://schemas.microsoft.com/office/drawing/2014/main" id="{391E022C-0711-4201-8CCA-6AE0A24B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5987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1361</xdr:colOff>
      <xdr:row>0</xdr:row>
      <xdr:rowOff>135165</xdr:rowOff>
    </xdr:to>
    <xdr:pic>
      <xdr:nvPicPr>
        <xdr:cNvPr id="281" name="BExIFSCLN1G86X78PFLTSMRP0US5" descr="9JK4SPV4DG7VTCZIILWHXQU5J" hidden="1">
          <a:extLst>
            <a:ext uri="{FF2B5EF4-FFF2-40B4-BE49-F238E27FC236}">
              <a16:creationId xmlns:a16="http://schemas.microsoft.com/office/drawing/2014/main" id="{59950509-358D-4DB1-81C5-0DC813DC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59871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2" name="BEx1I152WN2D3A85O2XN0DGXCWHN" descr="KHBZFMANRA4UMJR1AB4M5NJNT" hidden="1">
          <a:extLst>
            <a:ext uri="{FF2B5EF4-FFF2-40B4-BE49-F238E27FC236}">
              <a16:creationId xmlns:a16="http://schemas.microsoft.com/office/drawing/2014/main" id="{725BE88F-A8C3-4158-B397-BC38E5BA9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3" name="BExW9676P0SKCVKK25QCGHPA3PAD" descr="9A4PWZ20RMSRF0PNECCDM75CA" hidden="1">
          <a:extLst>
            <a:ext uri="{FF2B5EF4-FFF2-40B4-BE49-F238E27FC236}">
              <a16:creationId xmlns:a16="http://schemas.microsoft.com/office/drawing/2014/main" id="{04B383CB-CDDD-4955-B65B-9F930A5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20862</xdr:rowOff>
    </xdr:to>
    <xdr:pic>
      <xdr:nvPicPr>
        <xdr:cNvPr id="284" name="BExW253QPOZK9KW8BJC3LBXGCG2N" descr="Y5HX37BEUWSN1NEFJKZJXI3SX" hidden="1">
          <a:extLst>
            <a:ext uri="{FF2B5EF4-FFF2-40B4-BE49-F238E27FC236}">
              <a16:creationId xmlns:a16="http://schemas.microsoft.com/office/drawing/2014/main" id="{2CD6DA63-BA55-4831-9000-9DA44B62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5" name="BExS5CPQ8P8JOQPK7ANNKHLSGOKU" hidden="1">
          <a:extLst>
            <a:ext uri="{FF2B5EF4-FFF2-40B4-BE49-F238E27FC236}">
              <a16:creationId xmlns:a16="http://schemas.microsoft.com/office/drawing/2014/main" id="{E0AF6BAB-5A50-4049-87FB-24A66A46E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6" name="BExMM0AVUAIRNJLXB1FW8R0YB4ZZ" hidden="1">
          <a:extLst>
            <a:ext uri="{FF2B5EF4-FFF2-40B4-BE49-F238E27FC236}">
              <a16:creationId xmlns:a16="http://schemas.microsoft.com/office/drawing/2014/main" id="{7EF0F555-4974-4E0D-AB4E-F2DD7901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7" name="BExXZ7Y09CBS0XA7IPB3IRJ8RJM4" hidden="1">
          <a:extLst>
            <a:ext uri="{FF2B5EF4-FFF2-40B4-BE49-F238E27FC236}">
              <a16:creationId xmlns:a16="http://schemas.microsoft.com/office/drawing/2014/main" id="{2031C82C-41CF-4600-A4D8-72440851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8" name="BExQ7SXS9VUG7P6CACU2J7R2SGIZ" hidden="1">
          <a:extLst>
            <a:ext uri="{FF2B5EF4-FFF2-40B4-BE49-F238E27FC236}">
              <a16:creationId xmlns:a16="http://schemas.microsoft.com/office/drawing/2014/main" id="{B2F11FC0-70C3-46AE-91AB-FAAA1E75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39915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89" name="BEx5AQZ4ETQ9LMY5EBWVH20Z7VXQ" hidden="1">
          <a:extLst>
            <a:ext uri="{FF2B5EF4-FFF2-40B4-BE49-F238E27FC236}">
              <a16:creationId xmlns:a16="http://schemas.microsoft.com/office/drawing/2014/main" id="{DD1BE021-92A8-468C-A096-C341F595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90" name="BExUBK0YZ5VYFY8TTITJGJU9S06A" hidden="1">
          <a:extLst>
            <a:ext uri="{FF2B5EF4-FFF2-40B4-BE49-F238E27FC236}">
              <a16:creationId xmlns:a16="http://schemas.microsoft.com/office/drawing/2014/main" id="{E6AAD961-444B-4E63-8BCE-BA08A29B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291" name="BExUEZCSSJ7RN4J18I2NUIQR2FZS" hidden="1">
          <a:extLst>
            <a:ext uri="{FF2B5EF4-FFF2-40B4-BE49-F238E27FC236}">
              <a16:creationId xmlns:a16="http://schemas.microsoft.com/office/drawing/2014/main" id="{42DCE0C9-B96C-483F-8BF3-4BBFCA12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292" name="BExS3JDQWF7U3F5JTEVOE16ASIYK" hidden="1">
          <a:extLst>
            <a:ext uri="{FF2B5EF4-FFF2-40B4-BE49-F238E27FC236}">
              <a16:creationId xmlns:a16="http://schemas.microsoft.com/office/drawing/2014/main" id="{98DF23D4-3FF0-4935-832F-C4A89706B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293" name="BEx973S463FCQVJ7QDFBUIU0WJ3F" descr="ZQTVYL8DCSADVT0QMRXFLU0TR" hidden="1">
          <a:extLst>
            <a:ext uri="{FF2B5EF4-FFF2-40B4-BE49-F238E27FC236}">
              <a16:creationId xmlns:a16="http://schemas.microsoft.com/office/drawing/2014/main" id="{23613992-6199-4015-AD93-F9239DE3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55333</xdr:rowOff>
    </xdr:to>
    <xdr:pic>
      <xdr:nvPicPr>
        <xdr:cNvPr id="294" name="BExRZO0PLWWMCLGRH7EH6UXYWGAJ" descr="9D4GQ34QB727H10MA3SSAR2R9" hidden="1">
          <a:extLst>
            <a:ext uri="{FF2B5EF4-FFF2-40B4-BE49-F238E27FC236}">
              <a16:creationId xmlns:a16="http://schemas.microsoft.com/office/drawing/2014/main" id="{7697267F-E16A-4104-A56D-B3A39A75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179616</xdr:rowOff>
    </xdr:to>
    <xdr:pic>
      <xdr:nvPicPr>
        <xdr:cNvPr id="295" name="BExBDP6HNAAJUM39SE5G2C8BKNRQ" descr="1TM64TL2QIMYV7WYSV2VLGXY4" hidden="1">
          <a:extLst>
            <a:ext uri="{FF2B5EF4-FFF2-40B4-BE49-F238E27FC236}">
              <a16:creationId xmlns:a16="http://schemas.microsoft.com/office/drawing/2014/main" id="{225C04AD-44E5-4B1D-9A53-A26034B28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83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296" name="BExQEGJP61DL2NZY6LMBHBZ0J5YT" descr="D6ZNRZJ7EX4GZT9RO8LE0C905" hidden="1">
          <a:extLst>
            <a:ext uri="{FF2B5EF4-FFF2-40B4-BE49-F238E27FC236}">
              <a16:creationId xmlns:a16="http://schemas.microsoft.com/office/drawing/2014/main" id="{5A2B7FEE-598B-4967-86C1-291D864A4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57151</xdr:rowOff>
    </xdr:to>
    <xdr:pic>
      <xdr:nvPicPr>
        <xdr:cNvPr id="297" name="BExTY1BCS6HZIF6HI5491FGHDVAE" descr="MJ6976KI2UH1IE8M227DUYXMJ" hidden="1">
          <a:extLst>
            <a:ext uri="{FF2B5EF4-FFF2-40B4-BE49-F238E27FC236}">
              <a16:creationId xmlns:a16="http://schemas.microsoft.com/office/drawing/2014/main" id="{35C8FD00-2782-412E-936A-6165440C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298" name="BEx5FXJGJOT93D0J2IRJ3985IUMI" hidden="1">
          <a:extLst>
            <a:ext uri="{FF2B5EF4-FFF2-40B4-BE49-F238E27FC236}">
              <a16:creationId xmlns:a16="http://schemas.microsoft.com/office/drawing/2014/main" id="{8C7646F3-AC89-470C-B937-FBC0D0669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299" name="BEx3RTMHAR35NUAAK49TV6NU7EPA" descr="QFXLG4ZCXTRQSJYFCKJ58G9N8" hidden="1">
          <a:extLst>
            <a:ext uri="{FF2B5EF4-FFF2-40B4-BE49-F238E27FC236}">
              <a16:creationId xmlns:a16="http://schemas.microsoft.com/office/drawing/2014/main" id="{C1DBA831-186A-48B2-BC03-FB553FCE2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97062</xdr:rowOff>
    </xdr:to>
    <xdr:pic>
      <xdr:nvPicPr>
        <xdr:cNvPr id="300" name="BExS8T38WLC2R738ZC7BDJQAKJAJ" descr="MRI962L5PB0E0YWXCIBN82VJH" hidden="1">
          <a:extLst>
            <a:ext uri="{FF2B5EF4-FFF2-40B4-BE49-F238E27FC236}">
              <a16:creationId xmlns:a16="http://schemas.microsoft.com/office/drawing/2014/main" id="{F0A9A32F-2A20-46D4-BA92-D22A664F4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301" name="BEx5F64BJ6DCM4EJH81D5ZFNPZ0V" descr="7DJ9FILZD2YPS6X1JBP9E76TU" hidden="1">
          <a:extLst>
            <a:ext uri="{FF2B5EF4-FFF2-40B4-BE49-F238E27FC236}">
              <a16:creationId xmlns:a16="http://schemas.microsoft.com/office/drawing/2014/main" id="{3DAA7620-9A49-44A2-BE8E-AFF89902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302" name="BExQEXXHA3EEXR44LT6RKCDWM6ZT" hidden="1">
          <a:extLst>
            <a:ext uri="{FF2B5EF4-FFF2-40B4-BE49-F238E27FC236}">
              <a16:creationId xmlns:a16="http://schemas.microsoft.com/office/drawing/2014/main" id="{3B381400-F9ED-47C8-A0B4-122F6507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03" name="BEx1X6AMHV6ZK3UJB2BXIJTJHYJU" descr="OALR4L95ELQLZ1Y1LETHM1CS9" hidden="1">
          <a:extLst>
            <a:ext uri="{FF2B5EF4-FFF2-40B4-BE49-F238E27FC236}">
              <a16:creationId xmlns:a16="http://schemas.microsoft.com/office/drawing/2014/main" id="{43C4A829-AB1D-49AF-AD9A-12B2F54F2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304" name="BExSDIVCE09QKG3CT52PHCS6ZJ09" descr="9F076L7EQCF2COMMGCQG6BQGU" hidden="1">
          <a:extLst>
            <a:ext uri="{FF2B5EF4-FFF2-40B4-BE49-F238E27FC236}">
              <a16:creationId xmlns:a16="http://schemas.microsoft.com/office/drawing/2014/main" id="{0B6E59FC-3751-4554-A560-43515221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55333</xdr:rowOff>
    </xdr:to>
    <xdr:pic>
      <xdr:nvPicPr>
        <xdr:cNvPr id="305" name="BEx1QZGQZBAWJ8591VXEIPUOVS7X" descr="MEW27CPIFG44B7E7HEQUUF5QF" hidden="1">
          <a:extLst>
            <a:ext uri="{FF2B5EF4-FFF2-40B4-BE49-F238E27FC236}">
              <a16:creationId xmlns:a16="http://schemas.microsoft.com/office/drawing/2014/main" id="{AF885B08-3BEC-43D8-8E4B-D30756FA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95251</xdr:rowOff>
    </xdr:to>
    <xdr:pic>
      <xdr:nvPicPr>
        <xdr:cNvPr id="306" name="BExMF7LICJLPXSHM63A6EQ79YQKG" descr="U084VZL15IMB1OFRRAY6GVKAE" hidden="1">
          <a:extLst>
            <a:ext uri="{FF2B5EF4-FFF2-40B4-BE49-F238E27FC236}">
              <a16:creationId xmlns:a16="http://schemas.microsoft.com/office/drawing/2014/main" id="{D124FFBA-4FC0-4E1E-8CF0-F31DF6F9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307" name="BExS343F8GCKP6HTF9Y97L133DX8" descr="ZRF0KB1IYQSNV63CTXT25G67G" hidden="1">
          <a:extLst>
            <a:ext uri="{FF2B5EF4-FFF2-40B4-BE49-F238E27FC236}">
              <a16:creationId xmlns:a16="http://schemas.microsoft.com/office/drawing/2014/main" id="{B91CE6A3-8241-4AA2-A4B6-EF58E7CE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42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308" name="BExZMRC09W87CY4B73NPZMNH21AH" descr="78CUMI0OVLYJRSDRQ3V2YX812" hidden="1">
          <a:extLst>
            <a:ext uri="{FF2B5EF4-FFF2-40B4-BE49-F238E27FC236}">
              <a16:creationId xmlns:a16="http://schemas.microsoft.com/office/drawing/2014/main" id="{C05D597A-E329-4F7D-869B-6E9D6F5F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95251</xdr:rowOff>
    </xdr:to>
    <xdr:pic>
      <xdr:nvPicPr>
        <xdr:cNvPr id="309" name="BExZXVFJ4DY4I24AARDT4AMP6EN1" descr="TXSMH2MTH86CYKA26740RQPUC" hidden="1">
          <a:extLst>
            <a:ext uri="{FF2B5EF4-FFF2-40B4-BE49-F238E27FC236}">
              <a16:creationId xmlns:a16="http://schemas.microsoft.com/office/drawing/2014/main" id="{909283C8-A77D-4A6B-964C-F09DA6A1D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10" name="BExOCUIOFQWUGTBU5ESTW3EYEP5C" descr="9BNF49V0R6VVYPHEVMJ3ABDQZ" hidden="1">
          <a:extLst>
            <a:ext uri="{FF2B5EF4-FFF2-40B4-BE49-F238E27FC236}">
              <a16:creationId xmlns:a16="http://schemas.microsoft.com/office/drawing/2014/main" id="{9ACD0246-AC62-4F64-A0BD-FDE8080E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19051</xdr:rowOff>
    </xdr:to>
    <xdr:pic>
      <xdr:nvPicPr>
        <xdr:cNvPr id="311" name="BExU65O9OE4B4MQ2A3OYH13M8BZJ" descr="3INNIMMPDBB0JF37L81M6ID21" hidden="1">
          <a:extLst>
            <a:ext uri="{FF2B5EF4-FFF2-40B4-BE49-F238E27FC236}">
              <a16:creationId xmlns:a16="http://schemas.microsoft.com/office/drawing/2014/main" id="{FE6F9487-8FCB-465B-A8AD-CF67B198D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156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97062</xdr:rowOff>
    </xdr:to>
    <xdr:pic>
      <xdr:nvPicPr>
        <xdr:cNvPr id="312" name="BExOPRCR0UW7TKXSV5WDTL348FGL" descr="S9JM17GP1802LHN4GT14BJYIC" hidden="1">
          <a:extLst>
            <a:ext uri="{FF2B5EF4-FFF2-40B4-BE49-F238E27FC236}">
              <a16:creationId xmlns:a16="http://schemas.microsoft.com/office/drawing/2014/main" id="{31CD3159-8288-44C4-87C3-EEF7426F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313" name="BEx5OESAY2W8SEGI3TSB65EHJ04B" descr="9CN2Y88X8WYV1HWZG1QILY9BK" hidden="1">
          <a:extLst>
            <a:ext uri="{FF2B5EF4-FFF2-40B4-BE49-F238E27FC236}">
              <a16:creationId xmlns:a16="http://schemas.microsoft.com/office/drawing/2014/main" id="{91823028-EEF1-4B52-BB90-5DA6197A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20862</xdr:rowOff>
    </xdr:to>
    <xdr:pic>
      <xdr:nvPicPr>
        <xdr:cNvPr id="314" name="BExGMWEQ2BYRY9BAO5T1X850MJN1" descr="AZ9ST0XDIOP50HSUFO5V31BR0" hidden="1">
          <a:extLst>
            <a:ext uri="{FF2B5EF4-FFF2-40B4-BE49-F238E27FC236}">
              <a16:creationId xmlns:a16="http://schemas.microsoft.com/office/drawing/2014/main" id="{6A19CE90-FC66-4081-839E-EA2B0D67D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38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342447</xdr:colOff>
      <xdr:row>79</xdr:row>
      <xdr:rowOff>54880</xdr:rowOff>
    </xdr:to>
    <xdr:pic>
      <xdr:nvPicPr>
        <xdr:cNvPr id="315" name="BExXRND8208TWULE9S50U89VKPB7" descr="ETUGZV0SKTQDQB8JOYY0DCX79" hidden="1">
          <a:extLst>
            <a:ext uri="{FF2B5EF4-FFF2-40B4-BE49-F238E27FC236}">
              <a16:creationId xmlns:a16="http://schemas.microsoft.com/office/drawing/2014/main" id="{60C7FB35-F8D5-43B7-B306-F7AC0DCE4D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63733" cy="1467439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16" name="BExMO7VFCN4EL59982UR4AJ25JNJ" descr="XX6TINEJADZGKR0CTM7ZRT0RA" hidden="1">
          <a:extLst>
            <a:ext uri="{FF2B5EF4-FFF2-40B4-BE49-F238E27FC236}">
              <a16:creationId xmlns:a16="http://schemas.microsoft.com/office/drawing/2014/main" id="{65E1D768-DA4F-495D-8310-A7645DD2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17" name="BExU3EX5JJCXCII4YKUJBFBGIJR2" descr="OF5ZI9PI5WH36VPANJ2DYLNMI" hidden="1">
          <a:extLst>
            <a:ext uri="{FF2B5EF4-FFF2-40B4-BE49-F238E27FC236}">
              <a16:creationId xmlns:a16="http://schemas.microsoft.com/office/drawing/2014/main" id="{709F074C-CADE-4C9D-83BF-4EE8BC973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18" name="BEx1KD7H6UB1VYCJ7O61P562EIUY" descr="IQGV9140X0K0UPBL8OGU3I44J" hidden="1">
          <a:extLst>
            <a:ext uri="{FF2B5EF4-FFF2-40B4-BE49-F238E27FC236}">
              <a16:creationId xmlns:a16="http://schemas.microsoft.com/office/drawing/2014/main" id="{5686EA87-5AAC-46F3-AA89-60CE00F7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19" name="BEx5BJQWS6YWHH4ZMSUAMD641V6Y" descr="ZTMFMXCIQSECDX38ALEFHUB00" hidden="1">
          <a:extLst>
            <a:ext uri="{FF2B5EF4-FFF2-40B4-BE49-F238E27FC236}">
              <a16:creationId xmlns:a16="http://schemas.microsoft.com/office/drawing/2014/main" id="{53861034-536F-45DC-A4D6-716DFF1F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20" name="BExVTO5Q8G2M7BPL4B2584LQS0R0" descr="OB6Q8NA4LZFE4GM9Y3V56BPMQ" hidden="1">
          <a:extLst>
            <a:ext uri="{FF2B5EF4-FFF2-40B4-BE49-F238E27FC236}">
              <a16:creationId xmlns:a16="http://schemas.microsoft.com/office/drawing/2014/main" id="{81409B26-F18C-436E-A96C-802457BE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76198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21" name="BExIFSCLN1G86X78PFLTSMRP0US5" descr="9JK4SPV4DG7VTCZIILWHXQU5J" hidden="1">
          <a:extLst>
            <a:ext uri="{FF2B5EF4-FFF2-40B4-BE49-F238E27FC236}">
              <a16:creationId xmlns:a16="http://schemas.microsoft.com/office/drawing/2014/main" id="{D4E03712-0331-417D-9A85-C8C24D070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76198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2" name="BEx1I152WN2D3A85O2XN0DGXCWHN" descr="KHBZFMANRA4UMJR1AB4M5NJNT" hidden="1">
          <a:extLst>
            <a:ext uri="{FF2B5EF4-FFF2-40B4-BE49-F238E27FC236}">
              <a16:creationId xmlns:a16="http://schemas.microsoft.com/office/drawing/2014/main" id="{122DDF3D-73BA-4926-BD73-D1DDA0075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3" name="BExW9676P0SKCVKK25QCGHPA3PAD" descr="9A4PWZ20RMSRF0PNECCDM75CA" hidden="1">
          <a:extLst>
            <a:ext uri="{FF2B5EF4-FFF2-40B4-BE49-F238E27FC236}">
              <a16:creationId xmlns:a16="http://schemas.microsoft.com/office/drawing/2014/main" id="{00E72D61-7844-4E88-ADED-603CCCE9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24" name="BExW253QPOZK9KW8BJC3LBXGCG2N" descr="Y5HX37BEUWSN1NEFJKZJXI3SX" hidden="1">
          <a:extLst>
            <a:ext uri="{FF2B5EF4-FFF2-40B4-BE49-F238E27FC236}">
              <a16:creationId xmlns:a16="http://schemas.microsoft.com/office/drawing/2014/main" id="{5CD60C84-AB62-4893-B505-7FE54C1B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5" name="BExS5CPQ8P8JOQPK7ANNKHLSGOKU" hidden="1">
          <a:extLst>
            <a:ext uri="{FF2B5EF4-FFF2-40B4-BE49-F238E27FC236}">
              <a16:creationId xmlns:a16="http://schemas.microsoft.com/office/drawing/2014/main" id="{B8B3F957-9962-430A-93FC-0954DBEB0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6" name="BExMM0AVUAIRNJLXB1FW8R0YB4ZZ" hidden="1">
          <a:extLst>
            <a:ext uri="{FF2B5EF4-FFF2-40B4-BE49-F238E27FC236}">
              <a16:creationId xmlns:a16="http://schemas.microsoft.com/office/drawing/2014/main" id="{2B2E02C7-DBED-4991-8586-F576D4E1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7" name="BExXZ7Y09CBS0XA7IPB3IRJ8RJM4" hidden="1">
          <a:extLst>
            <a:ext uri="{FF2B5EF4-FFF2-40B4-BE49-F238E27FC236}">
              <a16:creationId xmlns:a16="http://schemas.microsoft.com/office/drawing/2014/main" id="{84ABB504-829F-48E5-A7D0-EC9BAAE7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8" name="BExQ7SXS9VUG7P6CACU2J7R2SGIZ" hidden="1">
          <a:extLst>
            <a:ext uri="{FF2B5EF4-FFF2-40B4-BE49-F238E27FC236}">
              <a16:creationId xmlns:a16="http://schemas.microsoft.com/office/drawing/2014/main" id="{16ABF5F9-40CB-42C8-9511-EAAB4EE83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29" name="BEx5AQZ4ETQ9LMY5EBWVH20Z7VXQ" hidden="1">
          <a:extLst>
            <a:ext uri="{FF2B5EF4-FFF2-40B4-BE49-F238E27FC236}">
              <a16:creationId xmlns:a16="http://schemas.microsoft.com/office/drawing/2014/main" id="{C961983B-9D53-4F79-92A5-D30024DA0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30" name="BExUBK0YZ5VYFY8TTITJGJU9S06A" hidden="1">
          <a:extLst>
            <a:ext uri="{FF2B5EF4-FFF2-40B4-BE49-F238E27FC236}">
              <a16:creationId xmlns:a16="http://schemas.microsoft.com/office/drawing/2014/main" id="{C2070D9C-B250-4169-8E34-3C076729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31" name="BExUEZCSSJ7RN4J18I2NUIQR2FZS" hidden="1">
          <a:extLst>
            <a:ext uri="{FF2B5EF4-FFF2-40B4-BE49-F238E27FC236}">
              <a16:creationId xmlns:a16="http://schemas.microsoft.com/office/drawing/2014/main" id="{C2F7C229-8606-4A4E-BE1C-25C2E7D4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32" name="BExS3JDQWF7U3F5JTEVOE16ASIYK" hidden="1">
          <a:extLst>
            <a:ext uri="{FF2B5EF4-FFF2-40B4-BE49-F238E27FC236}">
              <a16:creationId xmlns:a16="http://schemas.microsoft.com/office/drawing/2014/main" id="{EB214A1A-3D9D-45FA-ABA8-B7C2067D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333" name="BEx973S463FCQVJ7QDFBUIU0WJ3F" descr="ZQTVYL8DCSADVT0QMRXFLU0TR" hidden="1">
          <a:extLst>
            <a:ext uri="{FF2B5EF4-FFF2-40B4-BE49-F238E27FC236}">
              <a16:creationId xmlns:a16="http://schemas.microsoft.com/office/drawing/2014/main" id="{0D5ED831-9396-4C6E-90B1-D4419D7A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54879</xdr:rowOff>
    </xdr:to>
    <xdr:pic>
      <xdr:nvPicPr>
        <xdr:cNvPr id="334" name="BExRZO0PLWWMCLGRH7EH6UXYWGAJ" descr="9D4GQ34QB727H10MA3SSAR2R9" hidden="1">
          <a:extLst>
            <a:ext uri="{FF2B5EF4-FFF2-40B4-BE49-F238E27FC236}">
              <a16:creationId xmlns:a16="http://schemas.microsoft.com/office/drawing/2014/main" id="{B4E000AF-8ACF-41E2-BCD7-A5D0E511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179616</xdr:rowOff>
    </xdr:to>
    <xdr:pic>
      <xdr:nvPicPr>
        <xdr:cNvPr id="335" name="BExBDP6HNAAJUM39SE5G2C8BKNRQ" descr="1TM64TL2QIMYV7WYSV2VLGXY4" hidden="1">
          <a:extLst>
            <a:ext uri="{FF2B5EF4-FFF2-40B4-BE49-F238E27FC236}">
              <a16:creationId xmlns:a16="http://schemas.microsoft.com/office/drawing/2014/main" id="{EE92397B-E060-4735-A1F1-601FAE07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83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36" name="BExQEGJP61DL2NZY6LMBHBZ0J5YT" descr="D6ZNRZJ7EX4GZT9RO8LE0C905" hidden="1">
          <a:extLst>
            <a:ext uri="{FF2B5EF4-FFF2-40B4-BE49-F238E27FC236}">
              <a16:creationId xmlns:a16="http://schemas.microsoft.com/office/drawing/2014/main" id="{24F0A383-E5F6-41BF-BFCA-7572636BA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62142</xdr:rowOff>
    </xdr:to>
    <xdr:pic>
      <xdr:nvPicPr>
        <xdr:cNvPr id="337" name="BExTY1BCS6HZIF6HI5491FGHDVAE" descr="MJ6976KI2UH1IE8M227DUYXMJ" hidden="1">
          <a:extLst>
            <a:ext uri="{FF2B5EF4-FFF2-40B4-BE49-F238E27FC236}">
              <a16:creationId xmlns:a16="http://schemas.microsoft.com/office/drawing/2014/main" id="{885CF2B8-204D-4DA7-8AC5-07791746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38" name="BEx5FXJGJOT93D0J2IRJ3985IUMI" hidden="1">
          <a:extLst>
            <a:ext uri="{FF2B5EF4-FFF2-40B4-BE49-F238E27FC236}">
              <a16:creationId xmlns:a16="http://schemas.microsoft.com/office/drawing/2014/main" id="{59FFA068-2E4A-4062-86BA-486B0144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39" name="BEx3RTMHAR35NUAAK49TV6NU7EPA" descr="QFXLG4ZCXTRQSJYFCKJ58G9N8" hidden="1">
          <a:extLst>
            <a:ext uri="{FF2B5EF4-FFF2-40B4-BE49-F238E27FC236}">
              <a16:creationId xmlns:a16="http://schemas.microsoft.com/office/drawing/2014/main" id="{F32F6E0B-66D9-4359-BA56-3A8E0EF0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40" name="BExS8T38WLC2R738ZC7BDJQAKJAJ" descr="MRI962L5PB0E0YWXCIBN82VJH" hidden="1">
          <a:extLst>
            <a:ext uri="{FF2B5EF4-FFF2-40B4-BE49-F238E27FC236}">
              <a16:creationId xmlns:a16="http://schemas.microsoft.com/office/drawing/2014/main" id="{059EDB47-5EB4-4AF3-A49C-345A80AB3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1" name="BEx5F64BJ6DCM4EJH81D5ZFNPZ0V" descr="7DJ9FILZD2YPS6X1JBP9E76TU" hidden="1">
          <a:extLst>
            <a:ext uri="{FF2B5EF4-FFF2-40B4-BE49-F238E27FC236}">
              <a16:creationId xmlns:a16="http://schemas.microsoft.com/office/drawing/2014/main" id="{52F3717D-3010-4E56-9287-7F705411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2" name="BExQEXXHA3EEXR44LT6RKCDWM6ZT" hidden="1">
          <a:extLst>
            <a:ext uri="{FF2B5EF4-FFF2-40B4-BE49-F238E27FC236}">
              <a16:creationId xmlns:a16="http://schemas.microsoft.com/office/drawing/2014/main" id="{7C0B812F-50B7-46A9-A436-9987A07E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43" name="BEx1X6AMHV6ZK3UJB2BXIJTJHYJU" descr="OALR4L95ELQLZ1Y1LETHM1CS9" hidden="1">
          <a:extLst>
            <a:ext uri="{FF2B5EF4-FFF2-40B4-BE49-F238E27FC236}">
              <a16:creationId xmlns:a16="http://schemas.microsoft.com/office/drawing/2014/main" id="{2D65E313-8FB1-42F7-9785-519F5A3AA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44" name="BExSDIVCE09QKG3CT52PHCS6ZJ09" descr="9F076L7EQCF2COMMGCQG6BQGU" hidden="1">
          <a:extLst>
            <a:ext uri="{FF2B5EF4-FFF2-40B4-BE49-F238E27FC236}">
              <a16:creationId xmlns:a16="http://schemas.microsoft.com/office/drawing/2014/main" id="{A618CE06-A847-4027-9A7A-3482A56B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54879</xdr:rowOff>
    </xdr:to>
    <xdr:pic>
      <xdr:nvPicPr>
        <xdr:cNvPr id="345" name="BEx1QZGQZBAWJ8591VXEIPUOVS7X" descr="MEW27CPIFG44B7E7HEQUUF5QF" hidden="1">
          <a:extLst>
            <a:ext uri="{FF2B5EF4-FFF2-40B4-BE49-F238E27FC236}">
              <a16:creationId xmlns:a16="http://schemas.microsoft.com/office/drawing/2014/main" id="{648047B4-AEB8-4AAB-8B28-B7EE41CA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100242</xdr:rowOff>
    </xdr:to>
    <xdr:pic>
      <xdr:nvPicPr>
        <xdr:cNvPr id="346" name="BExMF7LICJLPXSHM63A6EQ79YQKG" descr="U084VZL15IMB1OFRRAY6GVKAE" hidden="1">
          <a:extLst>
            <a:ext uri="{FF2B5EF4-FFF2-40B4-BE49-F238E27FC236}">
              <a16:creationId xmlns:a16="http://schemas.microsoft.com/office/drawing/2014/main" id="{88D1CC34-3043-4E01-B695-66E0BD67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47" name="BExS343F8GCKP6HTF9Y97L133DX8" descr="ZRF0KB1IYQSNV63CTXT25G67G" hidden="1">
          <a:extLst>
            <a:ext uri="{FF2B5EF4-FFF2-40B4-BE49-F238E27FC236}">
              <a16:creationId xmlns:a16="http://schemas.microsoft.com/office/drawing/2014/main" id="{30632631-9E42-4ED9-B9BC-0A2D9982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348" name="BExZMRC09W87CY4B73NPZMNH21AH" descr="78CUMI0OVLYJRSDRQ3V2YX812" hidden="1">
          <a:extLst>
            <a:ext uri="{FF2B5EF4-FFF2-40B4-BE49-F238E27FC236}">
              <a16:creationId xmlns:a16="http://schemas.microsoft.com/office/drawing/2014/main" id="{CB9179C3-745F-4EBC-A7B4-F6DCD2CF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100242</xdr:rowOff>
    </xdr:to>
    <xdr:pic>
      <xdr:nvPicPr>
        <xdr:cNvPr id="349" name="BExZXVFJ4DY4I24AARDT4AMP6EN1" descr="TXSMH2MTH86CYKA26740RQPUC" hidden="1">
          <a:extLst>
            <a:ext uri="{FF2B5EF4-FFF2-40B4-BE49-F238E27FC236}">
              <a16:creationId xmlns:a16="http://schemas.microsoft.com/office/drawing/2014/main" id="{C8F50DFB-96A4-434A-A160-DE1B028E6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50" name="BExOCUIOFQWUGTBU5ESTW3EYEP5C" descr="9BNF49V0R6VVYPHEVMJ3ABDQZ" hidden="1">
          <a:extLst>
            <a:ext uri="{FF2B5EF4-FFF2-40B4-BE49-F238E27FC236}">
              <a16:creationId xmlns:a16="http://schemas.microsoft.com/office/drawing/2014/main" id="{2B633C14-72FB-4149-97EB-E9074595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24042</xdr:rowOff>
    </xdr:to>
    <xdr:pic>
      <xdr:nvPicPr>
        <xdr:cNvPr id="351" name="BExU65O9OE4B4MQ2A3OYH13M8BZJ" descr="3INNIMMPDBB0JF37L81M6ID21" hidden="1">
          <a:extLst>
            <a:ext uri="{FF2B5EF4-FFF2-40B4-BE49-F238E27FC236}">
              <a16:creationId xmlns:a16="http://schemas.microsoft.com/office/drawing/2014/main" id="{2F113883-36B1-4503-86F5-23825B5D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52" name="BExOPRCR0UW7TKXSV5WDTL348FGL" descr="S9JM17GP1802LHN4GT14BJYIC" hidden="1">
          <a:extLst>
            <a:ext uri="{FF2B5EF4-FFF2-40B4-BE49-F238E27FC236}">
              <a16:creationId xmlns:a16="http://schemas.microsoft.com/office/drawing/2014/main" id="{8C56518D-2927-42DF-99AA-78854D3B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353" name="BEx5OESAY2W8SEGI3TSB65EHJ04B" descr="9CN2Y88X8WYV1HWZG1QILY9BK" hidden="1">
          <a:extLst>
            <a:ext uri="{FF2B5EF4-FFF2-40B4-BE49-F238E27FC236}">
              <a16:creationId xmlns:a16="http://schemas.microsoft.com/office/drawing/2014/main" id="{842B494B-47B1-4B3F-8E89-DE472029D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54" name="BExGMWEQ2BYRY9BAO5T1X850MJN1" descr="AZ9ST0XDIOP50HSUFO5V31BR0" hidden="1">
          <a:extLst>
            <a:ext uri="{FF2B5EF4-FFF2-40B4-BE49-F238E27FC236}">
              <a16:creationId xmlns:a16="http://schemas.microsoft.com/office/drawing/2014/main" id="{CD30F166-518F-456B-BB05-EF74C1CB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372832</xdr:colOff>
      <xdr:row>79</xdr:row>
      <xdr:rowOff>54880</xdr:rowOff>
    </xdr:to>
    <xdr:pic>
      <xdr:nvPicPr>
        <xdr:cNvPr id="355" name="BExXRND8208TWULE9S50U89VKPB7" descr="ETUGZV0SKTQDQB8JOYY0DCX79" hidden="1">
          <a:extLst>
            <a:ext uri="{FF2B5EF4-FFF2-40B4-BE49-F238E27FC236}">
              <a16:creationId xmlns:a16="http://schemas.microsoft.com/office/drawing/2014/main" id="{C234AF2A-4F5C-4A69-BA51-46B1640CE9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97746" cy="1467439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56" name="BExMO7VFCN4EL59982UR4AJ25JNJ" descr="XX6TINEJADZGKR0CTM7ZRT0RA" hidden="1">
          <a:extLst>
            <a:ext uri="{FF2B5EF4-FFF2-40B4-BE49-F238E27FC236}">
              <a16:creationId xmlns:a16="http://schemas.microsoft.com/office/drawing/2014/main" id="{9E95DAE5-B3D1-4D93-8B38-7E4ED74D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57" name="BExU3EX5JJCXCII4YKUJBFBGIJR2" descr="OF5ZI9PI5WH36VPANJ2DYLNMI" hidden="1">
          <a:extLst>
            <a:ext uri="{FF2B5EF4-FFF2-40B4-BE49-F238E27FC236}">
              <a16:creationId xmlns:a16="http://schemas.microsoft.com/office/drawing/2014/main" id="{5FAC8DD7-01F6-49D3-8835-EF6C2B78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58" name="BEx1KD7H6UB1VYCJ7O61P562EIUY" descr="IQGV9140X0K0UPBL8OGU3I44J" hidden="1">
          <a:extLst>
            <a:ext uri="{FF2B5EF4-FFF2-40B4-BE49-F238E27FC236}">
              <a16:creationId xmlns:a16="http://schemas.microsoft.com/office/drawing/2014/main" id="{3DF9AAF8-C28F-4102-A36C-FAF9C82E8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59" name="BEx5BJQWS6YWHH4ZMSUAMD641V6Y" descr="ZTMFMXCIQSECDX38ALEFHUB00" hidden="1">
          <a:extLst>
            <a:ext uri="{FF2B5EF4-FFF2-40B4-BE49-F238E27FC236}">
              <a16:creationId xmlns:a16="http://schemas.microsoft.com/office/drawing/2014/main" id="{1A806BA0-0A58-4500-9BE8-751D8D82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60" name="BExVTO5Q8G2M7BPL4B2584LQS0R0" descr="OB6Q8NA4LZFE4GM9Y3V56BPMQ" hidden="1">
          <a:extLst>
            <a:ext uri="{FF2B5EF4-FFF2-40B4-BE49-F238E27FC236}">
              <a16:creationId xmlns:a16="http://schemas.microsoft.com/office/drawing/2014/main" id="{C5D048C8-B891-48BC-B5F6-09E03825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7104" y="9525"/>
          <a:ext cx="76198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61" name="BExIFSCLN1G86X78PFLTSMRP0US5" descr="9JK4SPV4DG7VTCZIILWHXQU5J" hidden="1">
          <a:extLst>
            <a:ext uri="{FF2B5EF4-FFF2-40B4-BE49-F238E27FC236}">
              <a16:creationId xmlns:a16="http://schemas.microsoft.com/office/drawing/2014/main" id="{1627CB82-26A9-4246-BA8A-4187226D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7104" y="85725"/>
          <a:ext cx="76198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2" name="BEx1I152WN2D3A85O2XN0DGXCWHN" descr="KHBZFMANRA4UMJR1AB4M5NJNT" hidden="1">
          <a:extLst>
            <a:ext uri="{FF2B5EF4-FFF2-40B4-BE49-F238E27FC236}">
              <a16:creationId xmlns:a16="http://schemas.microsoft.com/office/drawing/2014/main" id="{56D50868-F742-40A6-93B6-E59F77E7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3" name="BExW9676P0SKCVKK25QCGHPA3PAD" descr="9A4PWZ20RMSRF0PNECCDM75CA" hidden="1">
          <a:extLst>
            <a:ext uri="{FF2B5EF4-FFF2-40B4-BE49-F238E27FC236}">
              <a16:creationId xmlns:a16="http://schemas.microsoft.com/office/drawing/2014/main" id="{611CA6B0-EED9-44DA-985E-A921D347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64" name="BExW253QPOZK9KW8BJC3LBXGCG2N" descr="Y5HX37BEUWSN1NEFJKZJXI3SX" hidden="1">
          <a:extLst>
            <a:ext uri="{FF2B5EF4-FFF2-40B4-BE49-F238E27FC236}">
              <a16:creationId xmlns:a16="http://schemas.microsoft.com/office/drawing/2014/main" id="{ED9A4041-ECF0-417C-BC07-562136343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51732"/>
          <a:ext cx="14378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5" name="BExS5CPQ8P8JOQPK7ANNKHLSGOKU" hidden="1">
          <a:extLst>
            <a:ext uri="{FF2B5EF4-FFF2-40B4-BE49-F238E27FC236}">
              <a16:creationId xmlns:a16="http://schemas.microsoft.com/office/drawing/2014/main" id="{F827E881-15FF-4EB8-AED5-0DB2962C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6" name="BExMM0AVUAIRNJLXB1FW8R0YB4ZZ" hidden="1">
          <a:extLst>
            <a:ext uri="{FF2B5EF4-FFF2-40B4-BE49-F238E27FC236}">
              <a16:creationId xmlns:a16="http://schemas.microsoft.com/office/drawing/2014/main" id="{87AB5078-BE8D-4590-A013-2E18DF04C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7" name="BExXZ7Y09CBS0XA7IPB3IRJ8RJM4" hidden="1">
          <a:extLst>
            <a:ext uri="{FF2B5EF4-FFF2-40B4-BE49-F238E27FC236}">
              <a16:creationId xmlns:a16="http://schemas.microsoft.com/office/drawing/2014/main" id="{B964A8FA-83C4-45A3-93E6-CD14D835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8" name="BExQ7SXS9VUG7P6CACU2J7R2SGIZ" hidden="1">
          <a:extLst>
            <a:ext uri="{FF2B5EF4-FFF2-40B4-BE49-F238E27FC236}">
              <a16:creationId xmlns:a16="http://schemas.microsoft.com/office/drawing/2014/main" id="{D2DE6561-539F-494E-AB1D-AE1EB77C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0370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69" name="BEx5AQZ4ETQ9LMY5EBWVH20Z7VXQ" hidden="1">
          <a:extLst>
            <a:ext uri="{FF2B5EF4-FFF2-40B4-BE49-F238E27FC236}">
              <a16:creationId xmlns:a16="http://schemas.microsoft.com/office/drawing/2014/main" id="{21016EB3-26CA-43CA-8140-DA5E39C97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95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70" name="BExUBK0YZ5VYFY8TTITJGJU9S06A" hidden="1">
          <a:extLst>
            <a:ext uri="{FF2B5EF4-FFF2-40B4-BE49-F238E27FC236}">
              <a16:creationId xmlns:a16="http://schemas.microsoft.com/office/drawing/2014/main" id="{6BF9821A-B55D-4B84-B604-9FAF49597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5725"/>
          <a:ext cx="56243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71" name="BExUEZCSSJ7RN4J18I2NUIQR2FZS" hidden="1">
          <a:extLst>
            <a:ext uri="{FF2B5EF4-FFF2-40B4-BE49-F238E27FC236}">
              <a16:creationId xmlns:a16="http://schemas.microsoft.com/office/drawing/2014/main" id="{E060B8D9-8E3B-4ED9-B5F1-0A55E6DD4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6629" y="95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72" name="BExS3JDQWF7U3F5JTEVOE16ASIYK" hidden="1">
          <a:extLst>
            <a:ext uri="{FF2B5EF4-FFF2-40B4-BE49-F238E27FC236}">
              <a16:creationId xmlns:a16="http://schemas.microsoft.com/office/drawing/2014/main" id="{0E7DBF11-8CB3-4208-955F-D5A8F49AB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6629" y="85725"/>
          <a:ext cx="69849" cy="494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373" name="BEx973S463FCQVJ7QDFBUIU0WJ3F" descr="ZQTVYL8DCSADVT0QMRXFLU0TR" hidden="1">
          <a:extLst>
            <a:ext uri="{FF2B5EF4-FFF2-40B4-BE49-F238E27FC236}">
              <a16:creationId xmlns:a16="http://schemas.microsoft.com/office/drawing/2014/main" id="{EB8D46AB-7D6A-4E49-8F47-33A99BB6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54879</xdr:rowOff>
    </xdr:to>
    <xdr:pic>
      <xdr:nvPicPr>
        <xdr:cNvPr id="374" name="BExRZO0PLWWMCLGRH7EH6UXYWGAJ" descr="9D4GQ34QB727H10MA3SSAR2R9" hidden="1">
          <a:extLst>
            <a:ext uri="{FF2B5EF4-FFF2-40B4-BE49-F238E27FC236}">
              <a16:creationId xmlns:a16="http://schemas.microsoft.com/office/drawing/2014/main" id="{E04D14EC-325E-4E8E-9360-87B14FCB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179616</xdr:rowOff>
    </xdr:to>
    <xdr:pic>
      <xdr:nvPicPr>
        <xdr:cNvPr id="375" name="BExBDP6HNAAJUM39SE5G2C8BKNRQ" descr="1TM64TL2QIMYV7WYSV2VLGXY4" hidden="1">
          <a:extLst>
            <a:ext uri="{FF2B5EF4-FFF2-40B4-BE49-F238E27FC236}">
              <a16:creationId xmlns:a16="http://schemas.microsoft.com/office/drawing/2014/main" id="{F4E58B3B-D8F6-4E94-9B87-631152DD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28082"/>
          <a:ext cx="125640" cy="1383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76" name="BExQEGJP61DL2NZY6LMBHBZ0J5YT" descr="D6ZNRZJ7EX4GZT9RO8LE0C905" hidden="1">
          <a:extLst>
            <a:ext uri="{FF2B5EF4-FFF2-40B4-BE49-F238E27FC236}">
              <a16:creationId xmlns:a16="http://schemas.microsoft.com/office/drawing/2014/main" id="{B1987B93-3CBB-4F6B-8C23-D2574634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62142</xdr:rowOff>
    </xdr:to>
    <xdr:pic>
      <xdr:nvPicPr>
        <xdr:cNvPr id="377" name="BExTY1BCS6HZIF6HI5491FGHDVAE" descr="MJ6976KI2UH1IE8M227DUYXMJ" hidden="1">
          <a:extLst>
            <a:ext uri="{FF2B5EF4-FFF2-40B4-BE49-F238E27FC236}">
              <a16:creationId xmlns:a16="http://schemas.microsoft.com/office/drawing/2014/main" id="{1D3D0A3B-4065-4C09-83DA-4542CAD6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89339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78" name="BEx5FXJGJOT93D0J2IRJ3985IUMI" hidden="1">
          <a:extLst>
            <a:ext uri="{FF2B5EF4-FFF2-40B4-BE49-F238E27FC236}">
              <a16:creationId xmlns:a16="http://schemas.microsoft.com/office/drawing/2014/main" id="{22495D9D-B3F1-4C92-A6A1-D3DF33C7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79" name="BEx3RTMHAR35NUAAK49TV6NU7EPA" descr="QFXLG4ZCXTRQSJYFCKJ58G9N8" hidden="1">
          <a:extLst>
            <a:ext uri="{FF2B5EF4-FFF2-40B4-BE49-F238E27FC236}">
              <a16:creationId xmlns:a16="http://schemas.microsoft.com/office/drawing/2014/main" id="{9B3527B7-BC32-40EE-A238-C9D02C22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80" name="BExS8T38WLC2R738ZC7BDJQAKJAJ" descr="MRI962L5PB0E0YWXCIBN82VJH" hidden="1">
          <a:extLst>
            <a:ext uri="{FF2B5EF4-FFF2-40B4-BE49-F238E27FC236}">
              <a16:creationId xmlns:a16="http://schemas.microsoft.com/office/drawing/2014/main" id="{725AFB2E-0A3D-4F80-B3DC-AD59935F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1" name="BEx5F64BJ6DCM4EJH81D5ZFNPZ0V" descr="7DJ9FILZD2YPS6X1JBP9E76TU" hidden="1">
          <a:extLst>
            <a:ext uri="{FF2B5EF4-FFF2-40B4-BE49-F238E27FC236}">
              <a16:creationId xmlns:a16="http://schemas.microsoft.com/office/drawing/2014/main" id="{60391010-6B0D-4F90-9CB7-E5B68C93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2" name="BExQEXXHA3EEXR44LT6RKCDWM6ZT" hidden="1">
          <a:extLst>
            <a:ext uri="{FF2B5EF4-FFF2-40B4-BE49-F238E27FC236}">
              <a16:creationId xmlns:a16="http://schemas.microsoft.com/office/drawing/2014/main" id="{F8437A1B-6ACE-489F-97AE-8DAC297E3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83" name="BEx1X6AMHV6ZK3UJB2BXIJTJHYJU" descr="OALR4L95ELQLZ1Y1LETHM1CS9" hidden="1">
          <a:extLst>
            <a:ext uri="{FF2B5EF4-FFF2-40B4-BE49-F238E27FC236}">
              <a16:creationId xmlns:a16="http://schemas.microsoft.com/office/drawing/2014/main" id="{B11714BB-8AAD-4BD9-8887-CAD228D82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84" name="BExSDIVCE09QKG3CT52PHCS6ZJ09" descr="9F076L7EQCF2COMMGCQG6BQGU" hidden="1">
          <a:extLst>
            <a:ext uri="{FF2B5EF4-FFF2-40B4-BE49-F238E27FC236}">
              <a16:creationId xmlns:a16="http://schemas.microsoft.com/office/drawing/2014/main" id="{BC5FE5A8-DDBF-43F8-AC83-86E32AEC1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23825"/>
          <a:ext cx="125640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54879</xdr:rowOff>
    </xdr:to>
    <xdr:pic>
      <xdr:nvPicPr>
        <xdr:cNvPr id="385" name="BEx1QZGQZBAWJ8591VXEIPUOVS7X" descr="MEW27CPIFG44B7E7HEQUUF5QF" hidden="1">
          <a:extLst>
            <a:ext uri="{FF2B5EF4-FFF2-40B4-BE49-F238E27FC236}">
              <a16:creationId xmlns:a16="http://schemas.microsoft.com/office/drawing/2014/main" id="{49FBE88B-2781-4F67-801E-D66582E7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00175"/>
          <a:ext cx="125640" cy="13062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100242</xdr:rowOff>
    </xdr:to>
    <xdr:pic>
      <xdr:nvPicPr>
        <xdr:cNvPr id="386" name="BExMF7LICJLPXSHM63A6EQ79YQKG" descr="U084VZL15IMB1OFRRAY6GVKAE" hidden="1">
          <a:extLst>
            <a:ext uri="{FF2B5EF4-FFF2-40B4-BE49-F238E27FC236}">
              <a16:creationId xmlns:a16="http://schemas.microsoft.com/office/drawing/2014/main" id="{7AEFE746-6A2F-464D-AE44-E9F2BB63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72268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87" name="BExS343F8GCKP6HTF9Y97L133DX8" descr="ZRF0KB1IYQSNV63CTXT25G67G" hidden="1">
          <a:extLst>
            <a:ext uri="{FF2B5EF4-FFF2-40B4-BE49-F238E27FC236}">
              <a16:creationId xmlns:a16="http://schemas.microsoft.com/office/drawing/2014/main" id="{512A8FD9-3C61-452E-A9E5-6C9EC2B99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8443"/>
          <a:ext cx="125640" cy="1310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13609</xdr:rowOff>
    </xdr:to>
    <xdr:pic>
      <xdr:nvPicPr>
        <xdr:cNvPr id="388" name="BExZMRC09W87CY4B73NPZMNH21AH" descr="78CUMI0OVLYJRSDRQ3V2YX812" hidden="1">
          <a:extLst>
            <a:ext uri="{FF2B5EF4-FFF2-40B4-BE49-F238E27FC236}">
              <a16:creationId xmlns:a16="http://schemas.microsoft.com/office/drawing/2014/main" id="{A7023E9A-DAEF-45C5-BFB5-4BE1C6E59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0536"/>
          <a:ext cx="125640" cy="10523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100242</xdr:rowOff>
    </xdr:to>
    <xdr:pic>
      <xdr:nvPicPr>
        <xdr:cNvPr id="389" name="BExZXVFJ4DY4I24AARDT4AMP6EN1" descr="TXSMH2MTH86CYKA26740RQPUC" hidden="1">
          <a:extLst>
            <a:ext uri="{FF2B5EF4-FFF2-40B4-BE49-F238E27FC236}">
              <a16:creationId xmlns:a16="http://schemas.microsoft.com/office/drawing/2014/main" id="{BB1D5FDF-7744-40EC-B72A-7EE60BE9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02154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90" name="BExOCUIOFQWUGTBU5ESTW3EYEP5C" descr="9BNF49V0R6VVYPHEVMJ3ABDQZ" hidden="1">
          <a:extLst>
            <a:ext uri="{FF2B5EF4-FFF2-40B4-BE49-F238E27FC236}">
              <a16:creationId xmlns:a16="http://schemas.microsoft.com/office/drawing/2014/main" id="{364D0E29-296E-4380-AC8D-7A135C95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68804"/>
          <a:ext cx="125640" cy="1437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24042</xdr:rowOff>
    </xdr:to>
    <xdr:pic>
      <xdr:nvPicPr>
        <xdr:cNvPr id="391" name="BExU65O9OE4B4MQ2A3OYH13M8BZJ" descr="3INNIMMPDBB0JF37L81M6ID21" hidden="1">
          <a:extLst>
            <a:ext uri="{FF2B5EF4-FFF2-40B4-BE49-F238E27FC236}">
              <a16:creationId xmlns:a16="http://schemas.microsoft.com/office/drawing/2014/main" id="{758655E0-6AFE-49E3-8CA3-C7203CF39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40896"/>
          <a:ext cx="125640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92" name="BExOPRCR0UW7TKXSV5WDTL348FGL" descr="S9JM17GP1802LHN4GT14BJYIC" hidden="1">
          <a:extLst>
            <a:ext uri="{FF2B5EF4-FFF2-40B4-BE49-F238E27FC236}">
              <a16:creationId xmlns:a16="http://schemas.microsoft.com/office/drawing/2014/main" id="{2DE9CB22-6B94-4B41-9D06-4E57EDE1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2989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134713</xdr:rowOff>
    </xdr:to>
    <xdr:pic>
      <xdr:nvPicPr>
        <xdr:cNvPr id="393" name="BEx5OESAY2W8SEGI3TSB65EHJ04B" descr="9CN2Y88X8WYV1HWZG1QILY9BK" hidden="1">
          <a:extLst>
            <a:ext uri="{FF2B5EF4-FFF2-40B4-BE49-F238E27FC236}">
              <a16:creationId xmlns:a16="http://schemas.microsoft.com/office/drawing/2014/main" id="{14591835-DBDF-4373-A20A-9864DE888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79639"/>
          <a:ext cx="125640" cy="1297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94" name="BExGMWEQ2BYRY9BAO5T1X850MJN1" descr="AZ9ST0XDIOP50HSUFO5V31BR0" hidden="1">
          <a:extLst>
            <a:ext uri="{FF2B5EF4-FFF2-40B4-BE49-F238E27FC236}">
              <a16:creationId xmlns:a16="http://schemas.microsoft.com/office/drawing/2014/main" id="{E7AD18C7-99AA-4093-BA2E-C1B5A885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1732"/>
          <a:ext cx="125640" cy="13516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372832</xdr:colOff>
      <xdr:row>79</xdr:row>
      <xdr:rowOff>54880</xdr:rowOff>
    </xdr:to>
    <xdr:pic>
      <xdr:nvPicPr>
        <xdr:cNvPr id="395" name="BExXRND8208TWULE9S50U89VKPB7" descr="ETUGZV0SKTQDQB8JOYY0DCX79" hidden="1">
          <a:extLst>
            <a:ext uri="{FF2B5EF4-FFF2-40B4-BE49-F238E27FC236}">
              <a16:creationId xmlns:a16="http://schemas.microsoft.com/office/drawing/2014/main" id="{09147ED8-1C10-4056-ADBF-4D657A4E0B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97746" cy="1467439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396" name="BExMO7VFCN4EL59982UR4AJ25JNJ" descr="XX6TINEJADZGKR0CTM7ZRT0RA" hidden="1">
          <a:extLst>
            <a:ext uri="{FF2B5EF4-FFF2-40B4-BE49-F238E27FC236}">
              <a16:creationId xmlns:a16="http://schemas.microsoft.com/office/drawing/2014/main" id="{228CB277-60C6-4A6B-999B-983853CC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397" name="BExU3EX5JJCXCII4YKUJBFBGIJR2" descr="OF5ZI9PI5WH36VPANJ2DYLNMI" hidden="1">
          <a:extLst>
            <a:ext uri="{FF2B5EF4-FFF2-40B4-BE49-F238E27FC236}">
              <a16:creationId xmlns:a16="http://schemas.microsoft.com/office/drawing/2014/main" id="{EEFA3A71-D86E-4BF8-B7D0-416244125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398" name="BEx1KD7H6UB1VYCJ7O61P562EIUY" descr="IQGV9140X0K0UPBL8OGU3I44J" hidden="1">
          <a:extLst>
            <a:ext uri="{FF2B5EF4-FFF2-40B4-BE49-F238E27FC236}">
              <a16:creationId xmlns:a16="http://schemas.microsoft.com/office/drawing/2014/main" id="{9053E903-46CE-40CA-B4C7-077E2B93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399" name="BEx5BJQWS6YWHH4ZMSUAMD641V6Y" descr="ZTMFMXCIQSECDX38ALEFHUB00" hidden="1">
          <a:extLst>
            <a:ext uri="{FF2B5EF4-FFF2-40B4-BE49-F238E27FC236}">
              <a16:creationId xmlns:a16="http://schemas.microsoft.com/office/drawing/2014/main" id="{40B5BBEF-FB5C-4F96-B5DE-EAFA02C5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400" name="BExVTO5Q8G2M7BPL4B2584LQS0R0" descr="OB6Q8NA4LZFE4GM9Y3V56BPMQ" hidden="1">
          <a:extLst>
            <a:ext uri="{FF2B5EF4-FFF2-40B4-BE49-F238E27FC236}">
              <a16:creationId xmlns:a16="http://schemas.microsoft.com/office/drawing/2014/main" id="{1EA6EC52-916B-4A72-A15D-12506606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664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401" name="BExIFSCLN1G86X78PFLTSMRP0US5" descr="9JK4SPV4DG7VTCZIILWHXQU5J" hidden="1">
          <a:extLst>
            <a:ext uri="{FF2B5EF4-FFF2-40B4-BE49-F238E27FC236}">
              <a16:creationId xmlns:a16="http://schemas.microsoft.com/office/drawing/2014/main" id="{AEEA9FDE-1688-4366-82FC-936B07AFD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4664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2" name="BEx1I152WN2D3A85O2XN0DGXCWHN" descr="KHBZFMANRA4UMJR1AB4M5NJNT" hidden="1">
          <a:extLst>
            <a:ext uri="{FF2B5EF4-FFF2-40B4-BE49-F238E27FC236}">
              <a16:creationId xmlns:a16="http://schemas.microsoft.com/office/drawing/2014/main" id="{D18BD733-F2CD-455A-B1EF-763ED2E1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3" name="BExW9676P0SKCVKK25QCGHPA3PAD" descr="9A4PWZ20RMSRF0PNECCDM75CA" hidden="1">
          <a:extLst>
            <a:ext uri="{FF2B5EF4-FFF2-40B4-BE49-F238E27FC236}">
              <a16:creationId xmlns:a16="http://schemas.microsoft.com/office/drawing/2014/main" id="{1D2B0451-5D3B-4986-822C-60D5BC5E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404" name="BExW253QPOZK9KW8BJC3LBXGCG2N" descr="Y5HX37BEUWSN1NEFJKZJXI3SX" hidden="1">
          <a:extLst>
            <a:ext uri="{FF2B5EF4-FFF2-40B4-BE49-F238E27FC236}">
              <a16:creationId xmlns:a16="http://schemas.microsoft.com/office/drawing/2014/main" id="{D8780896-87C3-4ED2-9A2E-5C70B5B6C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5" name="BExS5CPQ8P8JOQPK7ANNKHLSGOKU" hidden="1">
          <a:extLst>
            <a:ext uri="{FF2B5EF4-FFF2-40B4-BE49-F238E27FC236}">
              <a16:creationId xmlns:a16="http://schemas.microsoft.com/office/drawing/2014/main" id="{BA7151B4-7AC5-45CB-A723-30939BC5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6" name="BExMM0AVUAIRNJLXB1FW8R0YB4ZZ" hidden="1">
          <a:extLst>
            <a:ext uri="{FF2B5EF4-FFF2-40B4-BE49-F238E27FC236}">
              <a16:creationId xmlns:a16="http://schemas.microsoft.com/office/drawing/2014/main" id="{A804DE4C-127F-4E01-AF4E-238B66231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7" name="BExXZ7Y09CBS0XA7IPB3IRJ8RJM4" hidden="1">
          <a:extLst>
            <a:ext uri="{FF2B5EF4-FFF2-40B4-BE49-F238E27FC236}">
              <a16:creationId xmlns:a16="http://schemas.microsoft.com/office/drawing/2014/main" id="{FA1285F7-7A0A-4CA1-AED4-41279F80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8" name="BExQ7SXS9VUG7P6CACU2J7R2SGIZ" hidden="1">
          <a:extLst>
            <a:ext uri="{FF2B5EF4-FFF2-40B4-BE49-F238E27FC236}">
              <a16:creationId xmlns:a16="http://schemas.microsoft.com/office/drawing/2014/main" id="{C96AE7FC-6779-472D-9192-D3EE0A378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409" name="BEx5AQZ4ETQ9LMY5EBWVH20Z7VXQ" hidden="1">
          <a:extLst>
            <a:ext uri="{FF2B5EF4-FFF2-40B4-BE49-F238E27FC236}">
              <a16:creationId xmlns:a16="http://schemas.microsoft.com/office/drawing/2014/main" id="{33F279D4-C0C2-44D3-8EDD-6E282E266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410" name="BExUBK0YZ5VYFY8TTITJGJU9S06A" hidden="1">
          <a:extLst>
            <a:ext uri="{FF2B5EF4-FFF2-40B4-BE49-F238E27FC236}">
              <a16:creationId xmlns:a16="http://schemas.microsoft.com/office/drawing/2014/main" id="{76B86020-C424-4162-9D39-ABC6CAB74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411" name="BExUEZCSSJ7RN4J18I2NUIQR2FZS" hidden="1">
          <a:extLst>
            <a:ext uri="{FF2B5EF4-FFF2-40B4-BE49-F238E27FC236}">
              <a16:creationId xmlns:a16="http://schemas.microsoft.com/office/drawing/2014/main" id="{D04D1444-699B-4C62-88C5-CA74D43B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4189" y="1945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412" name="BExS3JDQWF7U3F5JTEVOE16ASIYK" hidden="1">
          <a:extLst>
            <a:ext uri="{FF2B5EF4-FFF2-40B4-BE49-F238E27FC236}">
              <a16:creationId xmlns:a16="http://schemas.microsoft.com/office/drawing/2014/main" id="{F165ADA6-8E33-4F97-B462-67A416DD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4189" y="270782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13" name="BEx973S463FCQVJ7QDFBUIU0WJ3F" descr="ZQTVYL8DCSADVT0QMRXFLU0TR" hidden="1">
          <a:extLst>
            <a:ext uri="{FF2B5EF4-FFF2-40B4-BE49-F238E27FC236}">
              <a16:creationId xmlns:a16="http://schemas.microsoft.com/office/drawing/2014/main" id="{C254D855-E3D1-4CA9-83CF-644416E21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414" name="BExRZO0PLWWMCLGRH7EH6UXYWGAJ" descr="9D4GQ34QB727H10MA3SSAR2R9" hidden="1">
          <a:extLst>
            <a:ext uri="{FF2B5EF4-FFF2-40B4-BE49-F238E27FC236}">
              <a16:creationId xmlns:a16="http://schemas.microsoft.com/office/drawing/2014/main" id="{E6A99803-6520-4697-A292-70796B721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415" name="BExBDP6HNAAJUM39SE5G2C8BKNRQ" descr="1TM64TL2QIMYV7WYSV2VLGXY4" hidden="1">
          <a:extLst>
            <a:ext uri="{FF2B5EF4-FFF2-40B4-BE49-F238E27FC236}">
              <a16:creationId xmlns:a16="http://schemas.microsoft.com/office/drawing/2014/main" id="{8A6B93FF-A42D-412B-9240-E3A3F7EF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57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416" name="BExQEGJP61DL2NZY6LMBHBZ0J5YT" descr="D6ZNRZJ7EX4GZT9RO8LE0C905" hidden="1">
          <a:extLst>
            <a:ext uri="{FF2B5EF4-FFF2-40B4-BE49-F238E27FC236}">
              <a16:creationId xmlns:a16="http://schemas.microsoft.com/office/drawing/2014/main" id="{7180F40B-FF94-46C3-AA52-F0CEE7961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590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417" name="BExTY1BCS6HZIF6HI5491FGHDVAE" descr="MJ6976KI2UH1IE8M227DUYXMJ" hidden="1">
          <a:extLst>
            <a:ext uri="{FF2B5EF4-FFF2-40B4-BE49-F238E27FC236}">
              <a16:creationId xmlns:a16="http://schemas.microsoft.com/office/drawing/2014/main" id="{CEA9D489-AD5A-4A33-AD46-C35EF70FD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775857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18" name="BEx5FXJGJOT93D0J2IRJ3985IUMI" hidden="1">
          <a:extLst>
            <a:ext uri="{FF2B5EF4-FFF2-40B4-BE49-F238E27FC236}">
              <a16:creationId xmlns:a16="http://schemas.microsoft.com/office/drawing/2014/main" id="{EF9148FD-030A-482D-A5C9-C1B5EC34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19" name="BEx3RTMHAR35NUAAK49TV6NU7EPA" descr="QFXLG4ZCXTRQSJYFCKJ58G9N8" hidden="1">
          <a:extLst>
            <a:ext uri="{FF2B5EF4-FFF2-40B4-BE49-F238E27FC236}">
              <a16:creationId xmlns:a16="http://schemas.microsoft.com/office/drawing/2014/main" id="{CB25727F-7DAA-43C9-AD07-55646E17F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420" name="BExS8T38WLC2R738ZC7BDJQAKJAJ" descr="MRI962L5PB0E0YWXCIBN82VJH" hidden="1">
          <a:extLst>
            <a:ext uri="{FF2B5EF4-FFF2-40B4-BE49-F238E27FC236}">
              <a16:creationId xmlns:a16="http://schemas.microsoft.com/office/drawing/2014/main" id="{7142C1A6-1741-4D46-B588-05F57078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1" name="BEx5F64BJ6DCM4EJH81D5ZFNPZ0V" descr="7DJ9FILZD2YPS6X1JBP9E76TU" hidden="1">
          <a:extLst>
            <a:ext uri="{FF2B5EF4-FFF2-40B4-BE49-F238E27FC236}">
              <a16:creationId xmlns:a16="http://schemas.microsoft.com/office/drawing/2014/main" id="{07CDF891-DF05-4933-B3F7-252D55E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2" name="BExQEXXHA3EEXR44LT6RKCDWM6ZT" hidden="1">
          <a:extLst>
            <a:ext uri="{FF2B5EF4-FFF2-40B4-BE49-F238E27FC236}">
              <a16:creationId xmlns:a16="http://schemas.microsoft.com/office/drawing/2014/main" id="{67C71426-4B8D-4F50-98F9-C11BBD6F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423" name="BEx1X6AMHV6ZK3UJB2BXIJTJHYJU" descr="OALR4L95ELQLZ1Y1LETHM1CS9" hidden="1">
          <a:extLst>
            <a:ext uri="{FF2B5EF4-FFF2-40B4-BE49-F238E27FC236}">
              <a16:creationId xmlns:a16="http://schemas.microsoft.com/office/drawing/2014/main" id="{B1DDFA2A-5675-4419-94CF-EC8B96EB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24" name="BExSDIVCE09QKG3CT52PHCS6ZJ09" descr="9F076L7EQCF2COMMGCQG6BQGU" hidden="1">
          <a:extLst>
            <a:ext uri="{FF2B5EF4-FFF2-40B4-BE49-F238E27FC236}">
              <a16:creationId xmlns:a16="http://schemas.microsoft.com/office/drawing/2014/main" id="{7708D45E-1D8A-4ACA-A81C-AA418467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3701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425" name="BEx1QZGQZBAWJ8591VXEIPUOVS7X" descr="MEW27CPIFG44B7E7HEQUUF5QF" hidden="1">
          <a:extLst>
            <a:ext uri="{FF2B5EF4-FFF2-40B4-BE49-F238E27FC236}">
              <a16:creationId xmlns:a16="http://schemas.microsoft.com/office/drawing/2014/main" id="{12DBBB8D-B1E3-4644-8A19-D6B4C0C2B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06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426" name="BExMF7LICJLPXSHM63A6EQ79YQKG" descr="U084VZL15IMB1OFRRAY6GVKAE" hidden="1">
          <a:extLst>
            <a:ext uri="{FF2B5EF4-FFF2-40B4-BE49-F238E27FC236}">
              <a16:creationId xmlns:a16="http://schemas.microsoft.com/office/drawing/2014/main" id="{0D59CFEA-89A9-4687-B16B-83E98F450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356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427" name="BExS343F8GCKP6HTF9Y97L133DX8" descr="ZRF0KB1IYQSNV63CTXT25G67G" hidden="1">
          <a:extLst>
            <a:ext uri="{FF2B5EF4-FFF2-40B4-BE49-F238E27FC236}">
              <a16:creationId xmlns:a16="http://schemas.microsoft.com/office/drawing/2014/main" id="{88F8B0E8-38A4-48F8-9736-E3F3D496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505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428" name="BExZMRC09W87CY4B73NPZMNH21AH" descr="78CUMI0OVLYJRSDRQ3V2YX812" hidden="1">
          <a:extLst>
            <a:ext uri="{FF2B5EF4-FFF2-40B4-BE49-F238E27FC236}">
              <a16:creationId xmlns:a16="http://schemas.microsoft.com/office/drawing/2014/main" id="{40939B87-DBB5-4FB7-BF5E-F5627BFC3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665514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429" name="BExZXVFJ4DY4I24AARDT4AMP6EN1" descr="TXSMH2MTH86CYKA26740RQPUC" hidden="1">
          <a:extLst>
            <a:ext uri="{FF2B5EF4-FFF2-40B4-BE49-F238E27FC236}">
              <a16:creationId xmlns:a16="http://schemas.microsoft.com/office/drawing/2014/main" id="{D32527D0-9F55-4B43-9E5B-4ED6E08FE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89982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430" name="BExOCUIOFQWUGTBU5ESTW3EYEP5C" descr="9BNF49V0R6VVYPHEVMJ3ABDQZ" hidden="1">
          <a:extLst>
            <a:ext uri="{FF2B5EF4-FFF2-40B4-BE49-F238E27FC236}">
              <a16:creationId xmlns:a16="http://schemas.microsoft.com/office/drawing/2014/main" id="{DAFC05D1-EDB3-4A2F-B6EA-D82A58438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9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431" name="BExU65O9OE4B4MQ2A3OYH13M8BZJ" descr="3INNIMMPDBB0JF37L81M6ID21" hidden="1">
          <a:extLst>
            <a:ext uri="{FF2B5EF4-FFF2-40B4-BE49-F238E27FC236}">
              <a16:creationId xmlns:a16="http://schemas.microsoft.com/office/drawing/2014/main" id="{8AE884C4-33DA-4C90-987C-C1EA8DC9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10343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432" name="BExOPRCR0UW7TKXSV5WDTL348FGL" descr="S9JM17GP1802LHN4GT14BJYIC" hidden="1">
          <a:extLst>
            <a:ext uri="{FF2B5EF4-FFF2-40B4-BE49-F238E27FC236}">
              <a16:creationId xmlns:a16="http://schemas.microsoft.com/office/drawing/2014/main" id="{79541FAC-6B59-4D8F-AFD6-E01FC24F0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925286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33" name="BEx5OESAY2W8SEGI3TSB65EHJ04B" descr="9CN2Y88X8WYV1HWZG1QILY9BK" hidden="1">
          <a:extLst>
            <a:ext uri="{FF2B5EF4-FFF2-40B4-BE49-F238E27FC236}">
              <a16:creationId xmlns:a16="http://schemas.microsoft.com/office/drawing/2014/main" id="{E14B4F69-D0E9-42B5-9CDE-7A456FE3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4022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34" name="BExGMWEQ2BYRY9BAO5T1X850MJN1" descr="AZ9ST0XDIOP50HSUFO5V31BR0" hidden="1">
          <a:extLst>
            <a:ext uri="{FF2B5EF4-FFF2-40B4-BE49-F238E27FC236}">
              <a16:creationId xmlns:a16="http://schemas.microsoft.com/office/drawing/2014/main" id="{81924F9A-A882-400F-98BE-9B66C266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55171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165F3F25-2679-4707-AB65-28C130EA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5D4533B6-D399-4089-A906-7BCE388E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2C16B060-A7BA-401D-9C0C-2834CC575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2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4CECA257-0C99-45DE-8C84-3EC01CFD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2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28575</xdr:colOff>
      <xdr:row>0</xdr:row>
      <xdr:rowOff>9525</xdr:rowOff>
    </xdr:from>
    <xdr:to>
      <xdr:col>2</xdr:col>
      <xdr:colOff>76200</xdr:colOff>
      <xdr:row>0</xdr:row>
      <xdr:rowOff>57150</xdr:rowOff>
    </xdr:to>
    <xdr:pic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746CFFE1-3840-41F7-9A1D-DF5D8611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85725</xdr:rowOff>
    </xdr:from>
    <xdr:to>
      <xdr:col>2</xdr:col>
      <xdr:colOff>76200</xdr:colOff>
      <xdr:row>0</xdr:row>
      <xdr:rowOff>133350</xdr:rowOff>
    </xdr:to>
    <xdr:pic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41DF038A-9C24-4AA5-A9CD-7C7372890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BF0DDF17-2770-43B8-A0F3-45045B73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9BEEC01A-8F23-4AB6-BF56-8E417E94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152400</xdr:colOff>
      <xdr:row>2</xdr:row>
      <xdr:rowOff>15420</xdr:rowOff>
    </xdr:to>
    <xdr:pic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8A19BCDE-09F9-42E4-B250-1E3E5D953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25639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FB823C1E-17E3-4F88-9F0A-8598DF5CD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C3DC32FA-0FAA-4146-8B80-5CAC6805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FE3C9FDF-AC86-4979-A556-F9B9215D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41074238-4DCF-437E-840A-41FD57CB0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4E039667-26A4-441D-BA8B-2B28344CF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21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8F8BC599-51A6-46E2-8891-B7328DDB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21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9525</xdr:rowOff>
    </xdr:from>
    <xdr:to>
      <xdr:col>2</xdr:col>
      <xdr:colOff>96155</xdr:colOff>
      <xdr:row>0</xdr:row>
      <xdr:rowOff>57150</xdr:rowOff>
    </xdr:to>
    <xdr:pic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4F412023-32A4-4308-AB6A-66015FD2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8250" y="113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85725</xdr:rowOff>
    </xdr:from>
    <xdr:to>
      <xdr:col>2</xdr:col>
      <xdr:colOff>96155</xdr:colOff>
      <xdr:row>0</xdr:row>
      <xdr:rowOff>133350</xdr:rowOff>
    </xdr:to>
    <xdr:pic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7E269274-32BD-4422-B5A3-048F82E7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8250" y="875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138793</xdr:rowOff>
    </xdr:to>
    <xdr:pic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0F11C35F-1C74-4C48-89A6-23399B5BE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19290" cy="1211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209550</xdr:colOff>
      <xdr:row>8</xdr:row>
      <xdr:rowOff>50798</xdr:rowOff>
    </xdr:to>
    <xdr:pic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1A7CFF1D-D706-4A8C-893D-DC2A3D22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19290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171450</xdr:colOff>
      <xdr:row>9</xdr:row>
      <xdr:rowOff>908</xdr:rowOff>
    </xdr:to>
    <xdr:pic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32E3EE8E-7AE9-4882-BA3C-B9236275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3380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171450</xdr:colOff>
      <xdr:row>9</xdr:row>
      <xdr:rowOff>134255</xdr:rowOff>
    </xdr:to>
    <xdr:pic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674AC579-FC4A-4CF8-B1CB-096EB2BA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171450</xdr:colOff>
      <xdr:row>10</xdr:row>
      <xdr:rowOff>54430</xdr:rowOff>
    </xdr:to>
    <xdr:pic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CB9D47C0-7C28-4E3E-985B-EDB0BEA1A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15420</xdr:rowOff>
    </xdr:to>
    <xdr:pic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F995E9F3-889F-4DF4-8ADF-E68BAE69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05374F4F-8EDD-4432-B41F-C4400EEB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209550</xdr:colOff>
      <xdr:row>3</xdr:row>
      <xdr:rowOff>91620</xdr:rowOff>
    </xdr:to>
    <xdr:pic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6DA31FE5-D247-438F-80C5-54A05856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15420</xdr:rowOff>
    </xdr:to>
    <xdr:pic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8991A1C8-6B75-4D3A-BFC3-D97A964FE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15420</xdr:rowOff>
    </xdr:to>
    <xdr:pic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AD161B70-098C-4C84-BD6D-C61D41DE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209550</xdr:colOff>
      <xdr:row>4</xdr:row>
      <xdr:rowOff>171902</xdr:rowOff>
    </xdr:to>
    <xdr:pic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1348571B-D1F4-4368-BA23-CAB2F3BC3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19290" cy="14604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8AAEEA62-87AC-4389-9426-83BDE91D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171450</xdr:colOff>
      <xdr:row>8</xdr:row>
      <xdr:rowOff>50798</xdr:rowOff>
    </xdr:to>
    <xdr:pic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18FA8F2B-AFC2-4FFF-8583-8CA732D0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171450</xdr:colOff>
      <xdr:row>7</xdr:row>
      <xdr:rowOff>92530</xdr:rowOff>
    </xdr:to>
    <xdr:pic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F7771107-DC8C-4726-9B43-A04033783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171450</xdr:colOff>
      <xdr:row>6</xdr:row>
      <xdr:rowOff>172355</xdr:rowOff>
    </xdr:to>
    <xdr:pic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016E3E08-839A-41FB-8622-B62E4CB2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171450</xdr:colOff>
      <xdr:row>6</xdr:row>
      <xdr:rowOff>17237</xdr:rowOff>
    </xdr:to>
    <xdr:pic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4B65B286-D554-4640-8CFF-6CE64731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0160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171450</xdr:colOff>
      <xdr:row>5</xdr:row>
      <xdr:rowOff>92530</xdr:rowOff>
    </xdr:to>
    <xdr:pic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14D6D8C3-8CFC-4D61-8B75-D3C0F8657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171450</xdr:colOff>
      <xdr:row>4</xdr:row>
      <xdr:rowOff>171902</xdr:rowOff>
    </xdr:to>
    <xdr:pic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92849433-BD8E-4BA4-85AA-CA22DD8EB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4604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171450</xdr:colOff>
      <xdr:row>4</xdr:row>
      <xdr:rowOff>16329</xdr:rowOff>
    </xdr:to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F2AD1C5B-EACC-4386-9CB1-08409DF3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19290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171450</xdr:colOff>
      <xdr:row>3</xdr:row>
      <xdr:rowOff>91620</xdr:rowOff>
    </xdr:to>
    <xdr:pic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41BF6D17-9DA3-4624-BB6B-D55D96B1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138793</xdr:rowOff>
    </xdr:to>
    <xdr:pic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D73F274F-EE4D-4338-B98D-FE6A1842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19290" cy="1211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15420</xdr:rowOff>
    </xdr:to>
    <xdr:pic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A1950F24-8F4C-48C2-BDDB-945B9F99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476356</xdr:colOff>
      <xdr:row>78</xdr:row>
      <xdr:rowOff>95250</xdr:rowOff>
    </xdr:to>
    <xdr:pic>
      <xdr:nvPicPr>
        <xdr:cNvPr id="41" name="BExXRND8208TWULE9S50U89VKPB7" descr="ETUGZV0SKTQDQB8JOYY0DCX79" hidden="1">
          <a:extLst>
            <a:ext uri="{FF2B5EF4-FFF2-40B4-BE49-F238E27FC236}">
              <a16:creationId xmlns:a16="http://schemas.microsoft.com/office/drawing/2014/main" id="{5D229104-1BFB-4B8F-9C7A-3654043B5C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431422" cy="1445622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2" name="BExMO7VFCN4EL59982UR4AJ25JNJ" descr="XX6TINEJADZGKR0CTM7ZRT0RA" hidden="1">
          <a:extLst>
            <a:ext uri="{FF2B5EF4-FFF2-40B4-BE49-F238E27FC236}">
              <a16:creationId xmlns:a16="http://schemas.microsoft.com/office/drawing/2014/main" id="{BFA83FDC-1BBF-4F79-9A06-7B71AF501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3" name="BExU3EX5JJCXCII4YKUJBFBGIJR2" descr="OF5ZI9PI5WH36VPANJ2DYLNMI" hidden="1">
          <a:extLst>
            <a:ext uri="{FF2B5EF4-FFF2-40B4-BE49-F238E27FC236}">
              <a16:creationId xmlns:a16="http://schemas.microsoft.com/office/drawing/2014/main" id="{5829B12E-ED9E-4BEC-A491-B48B3AE0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44" name="BEx1KD7H6UB1VYCJ7O61P562EIUY" descr="IQGV9140X0K0UPBL8OGU3I44J" hidden="1">
          <a:extLst>
            <a:ext uri="{FF2B5EF4-FFF2-40B4-BE49-F238E27FC236}">
              <a16:creationId xmlns:a16="http://schemas.microsoft.com/office/drawing/2014/main" id="{D1BF5E4A-B19F-47CB-B720-C244D78A3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45" name="BEx5BJQWS6YWHH4ZMSUAMD641V6Y" descr="ZTMFMXCIQSECDX38ALEFHUB00" hidden="1">
          <a:extLst>
            <a:ext uri="{FF2B5EF4-FFF2-40B4-BE49-F238E27FC236}">
              <a16:creationId xmlns:a16="http://schemas.microsoft.com/office/drawing/2014/main" id="{3D0CAFBC-E1FB-466F-8CEC-E1749218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54881</xdr:colOff>
      <xdr:row>0</xdr:row>
      <xdr:rowOff>58965</xdr:rowOff>
    </xdr:to>
    <xdr:pic>
      <xdr:nvPicPr>
        <xdr:cNvPr id="46" name="BExVTO5Q8G2M7BPL4B2584LQS0R0" descr="OB6Q8NA4LZFE4GM9Y3V56BPMQ" hidden="1">
          <a:extLst>
            <a:ext uri="{FF2B5EF4-FFF2-40B4-BE49-F238E27FC236}">
              <a16:creationId xmlns:a16="http://schemas.microsoft.com/office/drawing/2014/main" id="{875D19B8-D397-4B89-93CB-8C0E9C98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54881</xdr:colOff>
      <xdr:row>0</xdr:row>
      <xdr:rowOff>135165</xdr:rowOff>
    </xdr:to>
    <xdr:pic>
      <xdr:nvPicPr>
        <xdr:cNvPr id="47" name="BExIFSCLN1G86X78PFLTSMRP0US5" descr="9JK4SPV4DG7VTCZIILWHXQU5J" hidden="1">
          <a:extLst>
            <a:ext uri="{FF2B5EF4-FFF2-40B4-BE49-F238E27FC236}">
              <a16:creationId xmlns:a16="http://schemas.microsoft.com/office/drawing/2014/main" id="{65503AF7-7EB4-4A93-A222-5B173E445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8" name="BEx1I152WN2D3A85O2XN0DGXCWHN" descr="KHBZFMANRA4UMJR1AB4M5NJNT" hidden="1">
          <a:extLst>
            <a:ext uri="{FF2B5EF4-FFF2-40B4-BE49-F238E27FC236}">
              <a16:creationId xmlns:a16="http://schemas.microsoft.com/office/drawing/2014/main" id="{35CC9DEB-4304-46DC-89BB-9CDFB678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9" name="BExW9676P0SKCVKK25QCGHPA3PAD" descr="9A4PWZ20RMSRF0PNECCDM75CA" hidden="1">
          <a:extLst>
            <a:ext uri="{FF2B5EF4-FFF2-40B4-BE49-F238E27FC236}">
              <a16:creationId xmlns:a16="http://schemas.microsoft.com/office/drawing/2014/main" id="{E7091E9E-FD4A-4283-B939-7BFC0115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15420</xdr:rowOff>
    </xdr:to>
    <xdr:pic>
      <xdr:nvPicPr>
        <xdr:cNvPr id="50" name="BExW253QPOZK9KW8BJC3LBXGCG2N" descr="Y5HX37BEUWSN1NEFJKZJXI3SX" hidden="1">
          <a:extLst>
            <a:ext uri="{FF2B5EF4-FFF2-40B4-BE49-F238E27FC236}">
              <a16:creationId xmlns:a16="http://schemas.microsoft.com/office/drawing/2014/main" id="{E267A621-1DBF-4977-B8DA-1BD4360B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1" name="BExS5CPQ8P8JOQPK7ANNKHLSGOKU" hidden="1">
          <a:extLst>
            <a:ext uri="{FF2B5EF4-FFF2-40B4-BE49-F238E27FC236}">
              <a16:creationId xmlns:a16="http://schemas.microsoft.com/office/drawing/2014/main" id="{982311A3-C2DC-4110-A43A-D0D97C52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2" name="BExMM0AVUAIRNJLXB1FW8R0YB4ZZ" hidden="1">
          <a:extLst>
            <a:ext uri="{FF2B5EF4-FFF2-40B4-BE49-F238E27FC236}">
              <a16:creationId xmlns:a16="http://schemas.microsoft.com/office/drawing/2014/main" id="{42A72BB5-D9C6-4FFC-B865-322696BE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3" name="BExXZ7Y09CBS0XA7IPB3IRJ8RJM4" hidden="1">
          <a:extLst>
            <a:ext uri="{FF2B5EF4-FFF2-40B4-BE49-F238E27FC236}">
              <a16:creationId xmlns:a16="http://schemas.microsoft.com/office/drawing/2014/main" id="{A0DE7178-D7FD-442B-92BB-7377E254C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4" name="BExQ7SXS9VUG7P6CACU2J7R2SGIZ" hidden="1">
          <a:extLst>
            <a:ext uri="{FF2B5EF4-FFF2-40B4-BE49-F238E27FC236}">
              <a16:creationId xmlns:a16="http://schemas.microsoft.com/office/drawing/2014/main" id="{1AE9EBC6-1ABF-4A25-A41F-DD40FF41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55" name="BEx5AQZ4ETQ9LMY5EBWVH20Z7VXQ" hidden="1">
          <a:extLst>
            <a:ext uri="{FF2B5EF4-FFF2-40B4-BE49-F238E27FC236}">
              <a16:creationId xmlns:a16="http://schemas.microsoft.com/office/drawing/2014/main" id="{997CA44F-D835-4322-BA05-8F893B19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56" name="BExUBK0YZ5VYFY8TTITJGJU9S06A" hidden="1">
          <a:extLst>
            <a:ext uri="{FF2B5EF4-FFF2-40B4-BE49-F238E27FC236}">
              <a16:creationId xmlns:a16="http://schemas.microsoft.com/office/drawing/2014/main" id="{CB13CBD2-B389-463B-B41B-B4E71B29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57" name="BExUEZCSSJ7RN4J18I2NUIQR2FZS" hidden="1">
          <a:extLst>
            <a:ext uri="{FF2B5EF4-FFF2-40B4-BE49-F238E27FC236}">
              <a16:creationId xmlns:a16="http://schemas.microsoft.com/office/drawing/2014/main" id="{2F16C153-3C79-4BC7-B807-21E22118F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58" name="BExS3JDQWF7U3F5JTEVOE16ASIYK" hidden="1">
          <a:extLst>
            <a:ext uri="{FF2B5EF4-FFF2-40B4-BE49-F238E27FC236}">
              <a16:creationId xmlns:a16="http://schemas.microsoft.com/office/drawing/2014/main" id="{7FF2F863-5C87-4A19-9D95-2D98A61A4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59" name="BEx973S463FCQVJ7QDFBUIU0WJ3F" descr="ZQTVYL8DCSADVT0QMRXFLU0TR" hidden="1">
          <a:extLst>
            <a:ext uri="{FF2B5EF4-FFF2-40B4-BE49-F238E27FC236}">
              <a16:creationId xmlns:a16="http://schemas.microsoft.com/office/drawing/2014/main" id="{C479D117-A1EC-49F2-A774-27927492C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50798</xdr:rowOff>
    </xdr:to>
    <xdr:pic>
      <xdr:nvPicPr>
        <xdr:cNvPr id="60" name="BExRZO0PLWWMCLGRH7EH6UXYWGAJ" descr="9D4GQ34QB727H10MA3SSAR2R9" hidden="1">
          <a:extLst>
            <a:ext uri="{FF2B5EF4-FFF2-40B4-BE49-F238E27FC236}">
              <a16:creationId xmlns:a16="http://schemas.microsoft.com/office/drawing/2014/main" id="{ABC8B994-E327-455A-B55A-4E93E90A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180068</xdr:rowOff>
    </xdr:to>
    <xdr:pic>
      <xdr:nvPicPr>
        <xdr:cNvPr id="61" name="BExBDP6HNAAJUM39SE5G2C8BKNRQ" descr="1TM64TL2QIMYV7WYSV2VLGXY4" hidden="1">
          <a:extLst>
            <a:ext uri="{FF2B5EF4-FFF2-40B4-BE49-F238E27FC236}">
              <a16:creationId xmlns:a16="http://schemas.microsoft.com/office/drawing/2014/main" id="{E3B034AE-7170-4875-9AF9-D4784983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62" name="BExQEGJP61DL2NZY6LMBHBZ0J5YT" descr="D6ZNRZJ7EX4GZT9RO8LE0C905" hidden="1">
          <a:extLst>
            <a:ext uri="{FF2B5EF4-FFF2-40B4-BE49-F238E27FC236}">
              <a16:creationId xmlns:a16="http://schemas.microsoft.com/office/drawing/2014/main" id="{DA82DFBF-759A-4CAD-883B-509E99B3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54430</xdr:rowOff>
    </xdr:to>
    <xdr:pic>
      <xdr:nvPicPr>
        <xdr:cNvPr id="63" name="BExTY1BCS6HZIF6HI5491FGHDVAE" descr="MJ6976KI2UH1IE8M227DUYXMJ" hidden="1">
          <a:extLst>
            <a:ext uri="{FF2B5EF4-FFF2-40B4-BE49-F238E27FC236}">
              <a16:creationId xmlns:a16="http://schemas.microsoft.com/office/drawing/2014/main" id="{FD5AE78B-E144-479D-8A62-944FEBAB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64" name="BEx5FXJGJOT93D0J2IRJ3985IUMI" hidden="1">
          <a:extLst>
            <a:ext uri="{FF2B5EF4-FFF2-40B4-BE49-F238E27FC236}">
              <a16:creationId xmlns:a16="http://schemas.microsoft.com/office/drawing/2014/main" id="{A6F1D749-E973-4895-9045-C1765F7CE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65" name="BEx3RTMHAR35NUAAK49TV6NU7EPA" descr="QFXLG4ZCXTRQSJYFCKJ58G9N8" hidden="1">
          <a:extLst>
            <a:ext uri="{FF2B5EF4-FFF2-40B4-BE49-F238E27FC236}">
              <a16:creationId xmlns:a16="http://schemas.microsoft.com/office/drawing/2014/main" id="{C0549C77-7A9B-4C69-AED5-780ABB07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91620</xdr:rowOff>
    </xdr:to>
    <xdr:pic>
      <xdr:nvPicPr>
        <xdr:cNvPr id="66" name="BExS8T38WLC2R738ZC7BDJQAKJAJ" descr="MRI962L5PB0E0YWXCIBN82VJH" hidden="1">
          <a:extLst>
            <a:ext uri="{FF2B5EF4-FFF2-40B4-BE49-F238E27FC236}">
              <a16:creationId xmlns:a16="http://schemas.microsoft.com/office/drawing/2014/main" id="{A656FC60-51AD-469A-822A-F3D7F6028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67" name="BEx5F64BJ6DCM4EJH81D5ZFNPZ0V" descr="7DJ9FILZD2YPS6X1JBP9E76TU" hidden="1">
          <a:extLst>
            <a:ext uri="{FF2B5EF4-FFF2-40B4-BE49-F238E27FC236}">
              <a16:creationId xmlns:a16="http://schemas.microsoft.com/office/drawing/2014/main" id="{E122027F-4F42-461A-A439-D1955B53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68" name="BExQEXXHA3EEXR44LT6RKCDWM6ZT" hidden="1">
          <a:extLst>
            <a:ext uri="{FF2B5EF4-FFF2-40B4-BE49-F238E27FC236}">
              <a16:creationId xmlns:a16="http://schemas.microsoft.com/office/drawing/2014/main" id="{0A3D3599-8299-43B1-B050-0E8C7AF7E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161924</xdr:rowOff>
    </xdr:to>
    <xdr:pic>
      <xdr:nvPicPr>
        <xdr:cNvPr id="69" name="BEx1X6AMHV6ZK3UJB2BXIJTJHYJU" descr="OALR4L95ELQLZ1Y1LETHM1CS9" hidden="1">
          <a:extLst>
            <a:ext uri="{FF2B5EF4-FFF2-40B4-BE49-F238E27FC236}">
              <a16:creationId xmlns:a16="http://schemas.microsoft.com/office/drawing/2014/main" id="{00C5C5A1-D8E4-41EB-A341-E0C2CBF7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70" name="BExSDIVCE09QKG3CT52PHCS6ZJ09" descr="9F076L7EQCF2COMMGCQG6BQGU" hidden="1">
          <a:extLst>
            <a:ext uri="{FF2B5EF4-FFF2-40B4-BE49-F238E27FC236}">
              <a16:creationId xmlns:a16="http://schemas.microsoft.com/office/drawing/2014/main" id="{D792507D-19B7-4222-94FD-EE04E6ED6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50798</xdr:rowOff>
    </xdr:to>
    <xdr:pic>
      <xdr:nvPicPr>
        <xdr:cNvPr id="71" name="BEx1QZGQZBAWJ8591VXEIPUOVS7X" descr="MEW27CPIFG44B7E7HEQUUF5QF" hidden="1">
          <a:extLst>
            <a:ext uri="{FF2B5EF4-FFF2-40B4-BE49-F238E27FC236}">
              <a16:creationId xmlns:a16="http://schemas.microsoft.com/office/drawing/2014/main" id="{B3BC30E7-E8C8-4255-A778-9545A2D2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92530</xdr:rowOff>
    </xdr:to>
    <xdr:pic>
      <xdr:nvPicPr>
        <xdr:cNvPr id="72" name="BExMF7LICJLPXSHM63A6EQ79YQKG" descr="U084VZL15IMB1OFRRAY6GVKAE" hidden="1">
          <a:extLst>
            <a:ext uri="{FF2B5EF4-FFF2-40B4-BE49-F238E27FC236}">
              <a16:creationId xmlns:a16="http://schemas.microsoft.com/office/drawing/2014/main" id="{10D42D7B-974C-4DF4-87F7-FC535A7CF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73" name="BExS343F8GCKP6HTF9Y97L133DX8" descr="ZRF0KB1IYQSNV63CTXT25G67G" hidden="1">
          <a:extLst>
            <a:ext uri="{FF2B5EF4-FFF2-40B4-BE49-F238E27FC236}">
              <a16:creationId xmlns:a16="http://schemas.microsoft.com/office/drawing/2014/main" id="{81293825-B6C1-426A-B89C-D1EECB74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74" name="BExZMRC09W87CY4B73NPZMNH21AH" descr="78CUMI0OVLYJRSDRQ3V2YX812" hidden="1">
          <a:extLst>
            <a:ext uri="{FF2B5EF4-FFF2-40B4-BE49-F238E27FC236}">
              <a16:creationId xmlns:a16="http://schemas.microsoft.com/office/drawing/2014/main" id="{0FE495EF-9B00-44CF-A7BE-D402C25C9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92530</xdr:rowOff>
    </xdr:to>
    <xdr:pic>
      <xdr:nvPicPr>
        <xdr:cNvPr id="75" name="BExZXVFJ4DY4I24AARDT4AMP6EN1" descr="TXSMH2MTH86CYKA26740RQPUC" hidden="1">
          <a:extLst>
            <a:ext uri="{FF2B5EF4-FFF2-40B4-BE49-F238E27FC236}">
              <a16:creationId xmlns:a16="http://schemas.microsoft.com/office/drawing/2014/main" id="{3ACE1987-F5D9-44A4-84A4-53F13B2E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161924</xdr:rowOff>
    </xdr:to>
    <xdr:pic>
      <xdr:nvPicPr>
        <xdr:cNvPr id="76" name="BExOCUIOFQWUGTBU5ESTW3EYEP5C" descr="9BNF49V0R6VVYPHEVMJ3ABDQZ" hidden="1">
          <a:extLst>
            <a:ext uri="{FF2B5EF4-FFF2-40B4-BE49-F238E27FC236}">
              <a16:creationId xmlns:a16="http://schemas.microsoft.com/office/drawing/2014/main" id="{3D000EED-FF71-4871-8DF7-A17A7CDA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16329</xdr:rowOff>
    </xdr:to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F664C0E7-9739-4BF6-805B-E3005A2A5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91620</xdr:rowOff>
    </xdr:to>
    <xdr:pic>
      <xdr:nvPicPr>
        <xdr:cNvPr id="78" name="BExOPRCR0UW7TKXSV5WDTL348FGL" descr="S9JM17GP1802LHN4GT14BJYIC" hidden="1">
          <a:extLst>
            <a:ext uri="{FF2B5EF4-FFF2-40B4-BE49-F238E27FC236}">
              <a16:creationId xmlns:a16="http://schemas.microsoft.com/office/drawing/2014/main" id="{F83ACF4E-07A1-4A74-9AE1-7E7BEA75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79" name="BEx5OESAY2W8SEGI3TSB65EHJ04B" descr="9CN2Y88X8WYV1HWZG1QILY9BK" hidden="1">
          <a:extLst>
            <a:ext uri="{FF2B5EF4-FFF2-40B4-BE49-F238E27FC236}">
              <a16:creationId xmlns:a16="http://schemas.microsoft.com/office/drawing/2014/main" id="{DF8695A5-CAFD-47A5-B4A4-82F14B90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80" name="BExGMWEQ2BYRY9BAO5T1X850MJN1" descr="AZ9ST0XDIOP50HSUFO5V31BR0" hidden="1">
          <a:extLst>
            <a:ext uri="{FF2B5EF4-FFF2-40B4-BE49-F238E27FC236}">
              <a16:creationId xmlns:a16="http://schemas.microsoft.com/office/drawing/2014/main" id="{CB34E206-CE15-4132-94F6-3D241B9C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1" name="BExMO7VFCN4EL59982UR4AJ25JNJ" descr="XX6TINEJADZGKR0CTM7ZRT0RA" hidden="1">
          <a:extLst>
            <a:ext uri="{FF2B5EF4-FFF2-40B4-BE49-F238E27FC236}">
              <a16:creationId xmlns:a16="http://schemas.microsoft.com/office/drawing/2014/main" id="{33ED61E4-9512-4627-8CFD-7373AC126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2" name="BExU3EX5JJCXCII4YKUJBFBGIJR2" descr="OF5ZI9PI5WH36VPANJ2DYLNMI" hidden="1">
          <a:extLst>
            <a:ext uri="{FF2B5EF4-FFF2-40B4-BE49-F238E27FC236}">
              <a16:creationId xmlns:a16="http://schemas.microsoft.com/office/drawing/2014/main" id="{CAF905F8-FE40-4874-8626-851B44E91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83" name="BEx1KD7H6UB1VYCJ7O61P562EIUY" descr="IQGV9140X0K0UPBL8OGU3I44J" hidden="1">
          <a:extLst>
            <a:ext uri="{FF2B5EF4-FFF2-40B4-BE49-F238E27FC236}">
              <a16:creationId xmlns:a16="http://schemas.microsoft.com/office/drawing/2014/main" id="{2E014043-58D2-408A-BA1A-BBB6FFAE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84" name="BEx5BJQWS6YWHH4ZMSUAMD641V6Y" descr="ZTMFMXCIQSECDX38ALEFHUB00" hidden="1">
          <a:extLst>
            <a:ext uri="{FF2B5EF4-FFF2-40B4-BE49-F238E27FC236}">
              <a16:creationId xmlns:a16="http://schemas.microsoft.com/office/drawing/2014/main" id="{BD2C77C9-E806-4247-8783-3C0746BF7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85" name="BExVTO5Q8G2M7BPL4B2584LQS0R0" descr="OB6Q8NA4LZFE4GM9Y3V56BPMQ" hidden="1">
          <a:extLst>
            <a:ext uri="{FF2B5EF4-FFF2-40B4-BE49-F238E27FC236}">
              <a16:creationId xmlns:a16="http://schemas.microsoft.com/office/drawing/2014/main" id="{E20BB920-0734-427F-9C2D-C970B2B8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86" name="BExIFSCLN1G86X78PFLTSMRP0US5" descr="9JK4SPV4DG7VTCZIILWHXQU5J" hidden="1">
          <a:extLst>
            <a:ext uri="{FF2B5EF4-FFF2-40B4-BE49-F238E27FC236}">
              <a16:creationId xmlns:a16="http://schemas.microsoft.com/office/drawing/2014/main" id="{228EEAA1-D5EC-4EF5-A167-939D01DD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7" name="BEx1I152WN2D3A85O2XN0DGXCWHN" descr="KHBZFMANRA4UMJR1AB4M5NJNT" hidden="1">
          <a:extLst>
            <a:ext uri="{FF2B5EF4-FFF2-40B4-BE49-F238E27FC236}">
              <a16:creationId xmlns:a16="http://schemas.microsoft.com/office/drawing/2014/main" id="{27DBF7D3-D20B-45C7-A612-2220A2BD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8" name="BExW9676P0SKCVKK25QCGHPA3PAD" descr="9A4PWZ20RMSRF0PNECCDM75CA" hidden="1">
          <a:extLst>
            <a:ext uri="{FF2B5EF4-FFF2-40B4-BE49-F238E27FC236}">
              <a16:creationId xmlns:a16="http://schemas.microsoft.com/office/drawing/2014/main" id="{7C12B4D0-0F98-40F4-82B9-63852700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89" name="BExW253QPOZK9KW8BJC3LBXGCG2N" descr="Y5HX37BEUWSN1NEFJKZJXI3SX" hidden="1">
          <a:extLst>
            <a:ext uri="{FF2B5EF4-FFF2-40B4-BE49-F238E27FC236}">
              <a16:creationId xmlns:a16="http://schemas.microsoft.com/office/drawing/2014/main" id="{68886998-D556-43D2-8388-2D927F20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0" name="BExS5CPQ8P8JOQPK7ANNKHLSGOKU" hidden="1">
          <a:extLst>
            <a:ext uri="{FF2B5EF4-FFF2-40B4-BE49-F238E27FC236}">
              <a16:creationId xmlns:a16="http://schemas.microsoft.com/office/drawing/2014/main" id="{6DADF7BC-BFFB-4E8F-99F9-AD923244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1" name="BExMM0AVUAIRNJLXB1FW8R0YB4ZZ" hidden="1">
          <a:extLst>
            <a:ext uri="{FF2B5EF4-FFF2-40B4-BE49-F238E27FC236}">
              <a16:creationId xmlns:a16="http://schemas.microsoft.com/office/drawing/2014/main" id="{56AF86E9-551D-468B-B039-1E6CC16E5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2" name="BExXZ7Y09CBS0XA7IPB3IRJ8RJM4" hidden="1">
          <a:extLst>
            <a:ext uri="{FF2B5EF4-FFF2-40B4-BE49-F238E27FC236}">
              <a16:creationId xmlns:a16="http://schemas.microsoft.com/office/drawing/2014/main" id="{C0D8071C-F907-426E-A242-08D87FB0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3" name="BExQ7SXS9VUG7P6CACU2J7R2SGIZ" hidden="1">
          <a:extLst>
            <a:ext uri="{FF2B5EF4-FFF2-40B4-BE49-F238E27FC236}">
              <a16:creationId xmlns:a16="http://schemas.microsoft.com/office/drawing/2014/main" id="{9BDF5623-74C7-4999-9AB1-DD58ADE4F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94" name="BEx5AQZ4ETQ9LMY5EBWVH20Z7VXQ" hidden="1">
          <a:extLst>
            <a:ext uri="{FF2B5EF4-FFF2-40B4-BE49-F238E27FC236}">
              <a16:creationId xmlns:a16="http://schemas.microsoft.com/office/drawing/2014/main" id="{45180262-5286-4E69-AB81-39F4DBBF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95" name="BExUBK0YZ5VYFY8TTITJGJU9S06A" hidden="1">
          <a:extLst>
            <a:ext uri="{FF2B5EF4-FFF2-40B4-BE49-F238E27FC236}">
              <a16:creationId xmlns:a16="http://schemas.microsoft.com/office/drawing/2014/main" id="{96EEACFC-CB75-4AE1-9922-6557234F4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96" name="BExUEZCSSJ7RN4J18I2NUIQR2FZS" hidden="1">
          <a:extLst>
            <a:ext uri="{FF2B5EF4-FFF2-40B4-BE49-F238E27FC236}">
              <a16:creationId xmlns:a16="http://schemas.microsoft.com/office/drawing/2014/main" id="{87B5B16E-B072-4863-BEC0-ABEE7464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97" name="BExS3JDQWF7U3F5JTEVOE16ASIYK" hidden="1">
          <a:extLst>
            <a:ext uri="{FF2B5EF4-FFF2-40B4-BE49-F238E27FC236}">
              <a16:creationId xmlns:a16="http://schemas.microsoft.com/office/drawing/2014/main" id="{4FC466CE-5420-476C-86D9-A6669B355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98" name="BEx973S463FCQVJ7QDFBUIU0WJ3F" descr="ZQTVYL8DCSADVT0QMRXFLU0TR" hidden="1">
          <a:extLst>
            <a:ext uri="{FF2B5EF4-FFF2-40B4-BE49-F238E27FC236}">
              <a16:creationId xmlns:a16="http://schemas.microsoft.com/office/drawing/2014/main" id="{BFDC17C0-5CB1-4114-B2B4-C61FA4C6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50344</xdr:rowOff>
    </xdr:to>
    <xdr:pic>
      <xdr:nvPicPr>
        <xdr:cNvPr id="99" name="BExRZO0PLWWMCLGRH7EH6UXYWGAJ" descr="9D4GQ34QB727H10MA3SSAR2R9" hidden="1">
          <a:extLst>
            <a:ext uri="{FF2B5EF4-FFF2-40B4-BE49-F238E27FC236}">
              <a16:creationId xmlns:a16="http://schemas.microsoft.com/office/drawing/2014/main" id="{3D0E3273-E752-406D-9A17-0EE730C39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180068</xdr:rowOff>
    </xdr:to>
    <xdr:pic>
      <xdr:nvPicPr>
        <xdr:cNvPr id="100" name="BExBDP6HNAAJUM39SE5G2C8BKNRQ" descr="1TM64TL2QIMYV7WYSV2VLGXY4" hidden="1">
          <a:extLst>
            <a:ext uri="{FF2B5EF4-FFF2-40B4-BE49-F238E27FC236}">
              <a16:creationId xmlns:a16="http://schemas.microsoft.com/office/drawing/2014/main" id="{1E0C1CFC-2D84-4DC9-88E4-E7A3A110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01" name="BExQEGJP61DL2NZY6LMBHBZ0J5YT" descr="D6ZNRZJ7EX4GZT9RO8LE0C905" hidden="1">
          <a:extLst>
            <a:ext uri="{FF2B5EF4-FFF2-40B4-BE49-F238E27FC236}">
              <a16:creationId xmlns:a16="http://schemas.microsoft.com/office/drawing/2014/main" id="{BC66C7A9-9F3C-4343-B17F-A5314597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60328</xdr:rowOff>
    </xdr:to>
    <xdr:pic>
      <xdr:nvPicPr>
        <xdr:cNvPr id="102" name="BExTY1BCS6HZIF6HI5491FGHDVAE" descr="MJ6976KI2UH1IE8M227DUYXMJ" hidden="1">
          <a:extLst>
            <a:ext uri="{FF2B5EF4-FFF2-40B4-BE49-F238E27FC236}">
              <a16:creationId xmlns:a16="http://schemas.microsoft.com/office/drawing/2014/main" id="{CE749BA1-59E0-4438-9771-C114EFB88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3" name="BEx5FXJGJOT93D0J2IRJ3985IUMI" hidden="1">
          <a:extLst>
            <a:ext uri="{FF2B5EF4-FFF2-40B4-BE49-F238E27FC236}">
              <a16:creationId xmlns:a16="http://schemas.microsoft.com/office/drawing/2014/main" id="{82B569D9-2093-43DA-9749-7C33366FC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4" name="BEx3RTMHAR35NUAAK49TV6NU7EPA" descr="QFXLG4ZCXTRQSJYFCKJ58G9N8" hidden="1">
          <a:extLst>
            <a:ext uri="{FF2B5EF4-FFF2-40B4-BE49-F238E27FC236}">
              <a16:creationId xmlns:a16="http://schemas.microsoft.com/office/drawing/2014/main" id="{9E02B514-F3E0-4962-A00A-70234911A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05" name="BExS8T38WLC2R738ZC7BDJQAKJAJ" descr="MRI962L5PB0E0YWXCIBN82VJH" hidden="1">
          <a:extLst>
            <a:ext uri="{FF2B5EF4-FFF2-40B4-BE49-F238E27FC236}">
              <a16:creationId xmlns:a16="http://schemas.microsoft.com/office/drawing/2014/main" id="{4E311FB7-5AA9-4B7D-98EB-A2F57FD4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6" name="BEx5F64BJ6DCM4EJH81D5ZFNPZ0V" descr="7DJ9FILZD2YPS6X1JBP9E76TU" hidden="1">
          <a:extLst>
            <a:ext uri="{FF2B5EF4-FFF2-40B4-BE49-F238E27FC236}">
              <a16:creationId xmlns:a16="http://schemas.microsoft.com/office/drawing/2014/main" id="{5A2A4E60-C725-40B3-B72F-750DF093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7" name="BExQEXXHA3EEXR44LT6RKCDWM6ZT" hidden="1">
          <a:extLst>
            <a:ext uri="{FF2B5EF4-FFF2-40B4-BE49-F238E27FC236}">
              <a16:creationId xmlns:a16="http://schemas.microsoft.com/office/drawing/2014/main" id="{7395B952-AFF0-4341-9C4F-702D51C3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161924</xdr:rowOff>
    </xdr:to>
    <xdr:pic>
      <xdr:nvPicPr>
        <xdr:cNvPr id="108" name="BEx1X6AMHV6ZK3UJB2BXIJTJHYJU" descr="OALR4L95ELQLZ1Y1LETHM1CS9" hidden="1">
          <a:extLst>
            <a:ext uri="{FF2B5EF4-FFF2-40B4-BE49-F238E27FC236}">
              <a16:creationId xmlns:a16="http://schemas.microsoft.com/office/drawing/2014/main" id="{DEFCDBEE-92C1-47A2-B242-8AEAE0E75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9" name="BExSDIVCE09QKG3CT52PHCS6ZJ09" descr="9F076L7EQCF2COMMGCQG6BQGU" hidden="1">
          <a:extLst>
            <a:ext uri="{FF2B5EF4-FFF2-40B4-BE49-F238E27FC236}">
              <a16:creationId xmlns:a16="http://schemas.microsoft.com/office/drawing/2014/main" id="{5CD1E9C8-1CE5-4660-8042-52C2F15C6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50344</xdr:rowOff>
    </xdr:to>
    <xdr:pic>
      <xdr:nvPicPr>
        <xdr:cNvPr id="110" name="BEx1QZGQZBAWJ8591VXEIPUOVS7X" descr="MEW27CPIFG44B7E7HEQUUF5QF" hidden="1">
          <a:extLst>
            <a:ext uri="{FF2B5EF4-FFF2-40B4-BE49-F238E27FC236}">
              <a16:creationId xmlns:a16="http://schemas.microsoft.com/office/drawing/2014/main" id="{982DEFC5-C0C3-4686-B6D6-6B60C8E9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98428</xdr:rowOff>
    </xdr:to>
    <xdr:pic>
      <xdr:nvPicPr>
        <xdr:cNvPr id="111" name="BExMF7LICJLPXSHM63A6EQ79YQKG" descr="U084VZL15IMB1OFRRAY6GVKAE" hidden="1">
          <a:extLst>
            <a:ext uri="{FF2B5EF4-FFF2-40B4-BE49-F238E27FC236}">
              <a16:creationId xmlns:a16="http://schemas.microsoft.com/office/drawing/2014/main" id="{2B62CDCC-F203-4994-BB88-B705D3ADF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12" name="BExS343F8GCKP6HTF9Y97L133DX8" descr="ZRF0KB1IYQSNV63CTXT25G67G" hidden="1">
          <a:extLst>
            <a:ext uri="{FF2B5EF4-FFF2-40B4-BE49-F238E27FC236}">
              <a16:creationId xmlns:a16="http://schemas.microsoft.com/office/drawing/2014/main" id="{0FDF346A-4F00-4D6C-9B14-B5BB8F11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113" name="BExZMRC09W87CY4B73NPZMNH21AH" descr="78CUMI0OVLYJRSDRQ3V2YX812" hidden="1">
          <a:extLst>
            <a:ext uri="{FF2B5EF4-FFF2-40B4-BE49-F238E27FC236}">
              <a16:creationId xmlns:a16="http://schemas.microsoft.com/office/drawing/2014/main" id="{201B80E9-C36C-4AED-A197-3FEE9E0C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98428</xdr:rowOff>
    </xdr:to>
    <xdr:pic>
      <xdr:nvPicPr>
        <xdr:cNvPr id="114" name="BExZXVFJ4DY4I24AARDT4AMP6EN1" descr="TXSMH2MTH86CYKA26740RQPUC" hidden="1">
          <a:extLst>
            <a:ext uri="{FF2B5EF4-FFF2-40B4-BE49-F238E27FC236}">
              <a16:creationId xmlns:a16="http://schemas.microsoft.com/office/drawing/2014/main" id="{5B8B5712-A331-4CCB-807D-8C6BB72AF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161924</xdr:rowOff>
    </xdr:to>
    <xdr:pic>
      <xdr:nvPicPr>
        <xdr:cNvPr id="115" name="BExOCUIOFQWUGTBU5ESTW3EYEP5C" descr="9BNF49V0R6VVYPHEVMJ3ABDQZ" hidden="1">
          <a:extLst>
            <a:ext uri="{FF2B5EF4-FFF2-40B4-BE49-F238E27FC236}">
              <a16:creationId xmlns:a16="http://schemas.microsoft.com/office/drawing/2014/main" id="{7C7197F3-798F-4E65-93F1-77955B5A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22227</xdr:rowOff>
    </xdr:to>
    <xdr:pic>
      <xdr:nvPicPr>
        <xdr:cNvPr id="116" name="BExU65O9OE4B4MQ2A3OYH13M8BZJ" descr="3INNIMMPDBB0JF37L81M6ID21" hidden="1">
          <a:extLst>
            <a:ext uri="{FF2B5EF4-FFF2-40B4-BE49-F238E27FC236}">
              <a16:creationId xmlns:a16="http://schemas.microsoft.com/office/drawing/2014/main" id="{5FE5421D-FDC6-4B37-BAE0-037B6765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17" name="BExOPRCR0UW7TKXSV5WDTL348FGL" descr="S9JM17GP1802LHN4GT14BJYIC" hidden="1">
          <a:extLst>
            <a:ext uri="{FF2B5EF4-FFF2-40B4-BE49-F238E27FC236}">
              <a16:creationId xmlns:a16="http://schemas.microsoft.com/office/drawing/2014/main" id="{35C0A848-C194-4D11-BE60-01193CC6C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118" name="BEx5OESAY2W8SEGI3TSB65EHJ04B" descr="9CN2Y88X8WYV1HWZG1QILY9BK" hidden="1">
          <a:extLst>
            <a:ext uri="{FF2B5EF4-FFF2-40B4-BE49-F238E27FC236}">
              <a16:creationId xmlns:a16="http://schemas.microsoft.com/office/drawing/2014/main" id="{A2443706-3500-4D8A-B3CA-E6E4D997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19" name="BExGMWEQ2BYRY9BAO5T1X850MJN1" descr="AZ9ST0XDIOP50HSUFO5V31BR0" hidden="1">
          <a:extLst>
            <a:ext uri="{FF2B5EF4-FFF2-40B4-BE49-F238E27FC236}">
              <a16:creationId xmlns:a16="http://schemas.microsoft.com/office/drawing/2014/main" id="{CCF93192-7CB5-42AB-ACD2-274702B4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0" name="BExMO7VFCN4EL59982UR4AJ25JNJ" descr="XX6TINEJADZGKR0CTM7ZRT0RA" hidden="1">
          <a:extLst>
            <a:ext uri="{FF2B5EF4-FFF2-40B4-BE49-F238E27FC236}">
              <a16:creationId xmlns:a16="http://schemas.microsoft.com/office/drawing/2014/main" id="{943310AF-ACC3-4F9A-AEC4-5BB4FDD8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1" name="BExU3EX5JJCXCII4YKUJBFBGIJR2" descr="OF5ZI9PI5WH36VPANJ2DYLNMI" hidden="1">
          <a:extLst>
            <a:ext uri="{FF2B5EF4-FFF2-40B4-BE49-F238E27FC236}">
              <a16:creationId xmlns:a16="http://schemas.microsoft.com/office/drawing/2014/main" id="{0867C66F-D683-4D22-A65A-3332259F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122" name="BEx1KD7H6UB1VYCJ7O61P562EIUY" descr="IQGV9140X0K0UPBL8OGU3I44J" hidden="1">
          <a:extLst>
            <a:ext uri="{FF2B5EF4-FFF2-40B4-BE49-F238E27FC236}">
              <a16:creationId xmlns:a16="http://schemas.microsoft.com/office/drawing/2014/main" id="{44FC2A38-D558-4EAC-9DD0-D1E8E9B8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123" name="BEx5BJQWS6YWHH4ZMSUAMD641V6Y" descr="ZTMFMXCIQSECDX38ALEFHUB00" hidden="1">
          <a:extLst>
            <a:ext uri="{FF2B5EF4-FFF2-40B4-BE49-F238E27FC236}">
              <a16:creationId xmlns:a16="http://schemas.microsoft.com/office/drawing/2014/main" id="{F7877379-EFAE-4AD3-8991-C4487CA9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24" name="BExVTO5Q8G2M7BPL4B2584LQS0R0" descr="OB6Q8NA4LZFE4GM9Y3V56BPMQ" hidden="1">
          <a:extLst>
            <a:ext uri="{FF2B5EF4-FFF2-40B4-BE49-F238E27FC236}">
              <a16:creationId xmlns:a16="http://schemas.microsoft.com/office/drawing/2014/main" id="{B3B9F168-64F5-4A75-8303-DABBF74B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25" name="BExIFSCLN1G86X78PFLTSMRP0US5" descr="9JK4SPV4DG7VTCZIILWHXQU5J" hidden="1">
          <a:extLst>
            <a:ext uri="{FF2B5EF4-FFF2-40B4-BE49-F238E27FC236}">
              <a16:creationId xmlns:a16="http://schemas.microsoft.com/office/drawing/2014/main" id="{6CD046DC-6B7D-4668-B0B4-C71123A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6" name="BEx1I152WN2D3A85O2XN0DGXCWHN" descr="KHBZFMANRA4UMJR1AB4M5NJNT" hidden="1">
          <a:extLst>
            <a:ext uri="{FF2B5EF4-FFF2-40B4-BE49-F238E27FC236}">
              <a16:creationId xmlns:a16="http://schemas.microsoft.com/office/drawing/2014/main" id="{1590174D-1463-4DD7-8DE9-874CF61B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7" name="BExW9676P0SKCVKK25QCGHPA3PAD" descr="9A4PWZ20RMSRF0PNECCDM75CA" hidden="1">
          <a:extLst>
            <a:ext uri="{FF2B5EF4-FFF2-40B4-BE49-F238E27FC236}">
              <a16:creationId xmlns:a16="http://schemas.microsoft.com/office/drawing/2014/main" id="{B2E98749-55CA-4427-AF5D-7314A38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128" name="BExW253QPOZK9KW8BJC3LBXGCG2N" descr="Y5HX37BEUWSN1NEFJKZJXI3SX" hidden="1">
          <a:extLst>
            <a:ext uri="{FF2B5EF4-FFF2-40B4-BE49-F238E27FC236}">
              <a16:creationId xmlns:a16="http://schemas.microsoft.com/office/drawing/2014/main" id="{83931DB2-A79F-4415-9C77-34A259981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9" name="BExS5CPQ8P8JOQPK7ANNKHLSGOKU" hidden="1">
          <a:extLst>
            <a:ext uri="{FF2B5EF4-FFF2-40B4-BE49-F238E27FC236}">
              <a16:creationId xmlns:a16="http://schemas.microsoft.com/office/drawing/2014/main" id="{6C121A28-C4C2-45E7-805F-7F3462845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0" name="BExMM0AVUAIRNJLXB1FW8R0YB4ZZ" hidden="1">
          <a:extLst>
            <a:ext uri="{FF2B5EF4-FFF2-40B4-BE49-F238E27FC236}">
              <a16:creationId xmlns:a16="http://schemas.microsoft.com/office/drawing/2014/main" id="{0BE0BDF5-3447-4967-A165-D3B212529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31" name="BExXZ7Y09CBS0XA7IPB3IRJ8RJM4" hidden="1">
          <a:extLst>
            <a:ext uri="{FF2B5EF4-FFF2-40B4-BE49-F238E27FC236}">
              <a16:creationId xmlns:a16="http://schemas.microsoft.com/office/drawing/2014/main" id="{9DB07670-5DFA-4E47-81A0-6E5BC2CD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2" name="BExQ7SXS9VUG7P6CACU2J7R2SGIZ" hidden="1">
          <a:extLst>
            <a:ext uri="{FF2B5EF4-FFF2-40B4-BE49-F238E27FC236}">
              <a16:creationId xmlns:a16="http://schemas.microsoft.com/office/drawing/2014/main" id="{67A90C3D-784E-4BAC-B1A8-83B2A98CF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54922</xdr:colOff>
      <xdr:row>0</xdr:row>
      <xdr:rowOff>58965</xdr:rowOff>
    </xdr:to>
    <xdr:pic>
      <xdr:nvPicPr>
        <xdr:cNvPr id="133" name="BEx5AQZ4ETQ9LMY5EBWVH20Z7VXQ" hidden="1">
          <a:extLst>
            <a:ext uri="{FF2B5EF4-FFF2-40B4-BE49-F238E27FC236}">
              <a16:creationId xmlns:a16="http://schemas.microsoft.com/office/drawing/2014/main" id="{87FC8847-CC2C-4D79-8C38-48D56D57E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54922</xdr:colOff>
      <xdr:row>0</xdr:row>
      <xdr:rowOff>135165</xdr:rowOff>
    </xdr:to>
    <xdr:pic>
      <xdr:nvPicPr>
        <xdr:cNvPr id="134" name="BExUBK0YZ5VYFY8TTITJGJU9S06A" hidden="1">
          <a:extLst>
            <a:ext uri="{FF2B5EF4-FFF2-40B4-BE49-F238E27FC236}">
              <a16:creationId xmlns:a16="http://schemas.microsoft.com/office/drawing/2014/main" id="{11B150DE-2EBE-4656-A6AF-193CD5228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10663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35" name="BExUEZCSSJ7RN4J18I2NUIQR2FZS" hidden="1">
          <a:extLst>
            <a:ext uri="{FF2B5EF4-FFF2-40B4-BE49-F238E27FC236}">
              <a16:creationId xmlns:a16="http://schemas.microsoft.com/office/drawing/2014/main" id="{48905723-37EB-4A86-ABE4-761333D2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36" name="BExS3JDQWF7U3F5JTEVOE16ASIYK" hidden="1">
          <a:extLst>
            <a:ext uri="{FF2B5EF4-FFF2-40B4-BE49-F238E27FC236}">
              <a16:creationId xmlns:a16="http://schemas.microsoft.com/office/drawing/2014/main" id="{68430E98-8576-416E-865C-C7194AF8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137" name="BEx973S463FCQVJ7QDFBUIU0WJ3F" descr="ZQTVYL8DCSADVT0QMRXFLU0TR" hidden="1">
          <a:extLst>
            <a:ext uri="{FF2B5EF4-FFF2-40B4-BE49-F238E27FC236}">
              <a16:creationId xmlns:a16="http://schemas.microsoft.com/office/drawing/2014/main" id="{28AAA5B7-8719-4F02-BE49-7B1A9D1C4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50344</xdr:rowOff>
    </xdr:to>
    <xdr:pic>
      <xdr:nvPicPr>
        <xdr:cNvPr id="138" name="BExRZO0PLWWMCLGRH7EH6UXYWGAJ" descr="9D4GQ34QB727H10MA3SSAR2R9" hidden="1">
          <a:extLst>
            <a:ext uri="{FF2B5EF4-FFF2-40B4-BE49-F238E27FC236}">
              <a16:creationId xmlns:a16="http://schemas.microsoft.com/office/drawing/2014/main" id="{813B2F97-1653-466F-996E-73A982A2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180068</xdr:rowOff>
    </xdr:to>
    <xdr:pic>
      <xdr:nvPicPr>
        <xdr:cNvPr id="139" name="BExBDP6HNAAJUM39SE5G2C8BKNRQ" descr="1TM64TL2QIMYV7WYSV2VLGXY4" hidden="1">
          <a:extLst>
            <a:ext uri="{FF2B5EF4-FFF2-40B4-BE49-F238E27FC236}">
              <a16:creationId xmlns:a16="http://schemas.microsoft.com/office/drawing/2014/main" id="{88FA8A46-B91C-4E71-A5F6-2B87BD3A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40" name="BExQEGJP61DL2NZY6LMBHBZ0J5YT" descr="D6ZNRZJ7EX4GZT9RO8LE0C905" hidden="1">
          <a:extLst>
            <a:ext uri="{FF2B5EF4-FFF2-40B4-BE49-F238E27FC236}">
              <a16:creationId xmlns:a16="http://schemas.microsoft.com/office/drawing/2014/main" id="{72FB772F-A419-4513-9FD3-F4B2E50E8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60328</xdr:rowOff>
    </xdr:to>
    <xdr:pic>
      <xdr:nvPicPr>
        <xdr:cNvPr id="141" name="BExTY1BCS6HZIF6HI5491FGHDVAE" descr="MJ6976KI2UH1IE8M227DUYXMJ" hidden="1">
          <a:extLst>
            <a:ext uri="{FF2B5EF4-FFF2-40B4-BE49-F238E27FC236}">
              <a16:creationId xmlns:a16="http://schemas.microsoft.com/office/drawing/2014/main" id="{BCAF4CD7-0B56-476C-9AB4-411CF6C0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2" name="BEx5FXJGJOT93D0J2IRJ3985IUMI" hidden="1">
          <a:extLst>
            <a:ext uri="{FF2B5EF4-FFF2-40B4-BE49-F238E27FC236}">
              <a16:creationId xmlns:a16="http://schemas.microsoft.com/office/drawing/2014/main" id="{4A507849-F7F6-45A8-A21E-A38FBD1BC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3" name="BEx3RTMHAR35NUAAK49TV6NU7EPA" descr="QFXLG4ZCXTRQSJYFCKJ58G9N8" hidden="1">
          <a:extLst>
            <a:ext uri="{FF2B5EF4-FFF2-40B4-BE49-F238E27FC236}">
              <a16:creationId xmlns:a16="http://schemas.microsoft.com/office/drawing/2014/main" id="{FB2C766F-4794-454A-85BD-4B0E7CA8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44" name="BExS8T38WLC2R738ZC7BDJQAKJAJ" descr="MRI962L5PB0E0YWXCIBN82VJH" hidden="1">
          <a:extLst>
            <a:ext uri="{FF2B5EF4-FFF2-40B4-BE49-F238E27FC236}">
              <a16:creationId xmlns:a16="http://schemas.microsoft.com/office/drawing/2014/main" id="{3EAF1947-0A65-4610-828B-612C2F84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5" name="BEx5F64BJ6DCM4EJH81D5ZFNPZ0V" descr="7DJ9FILZD2YPS6X1JBP9E76TU" hidden="1">
          <a:extLst>
            <a:ext uri="{FF2B5EF4-FFF2-40B4-BE49-F238E27FC236}">
              <a16:creationId xmlns:a16="http://schemas.microsoft.com/office/drawing/2014/main" id="{37F0AE5E-8A9B-43D1-809C-96AF65C3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6" name="BExQEXXHA3EEXR44LT6RKCDWM6ZT" hidden="1">
          <a:extLst>
            <a:ext uri="{FF2B5EF4-FFF2-40B4-BE49-F238E27FC236}">
              <a16:creationId xmlns:a16="http://schemas.microsoft.com/office/drawing/2014/main" id="{DAFA4DB2-FCA0-4853-8EB8-B42DC30F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161924</xdr:rowOff>
    </xdr:to>
    <xdr:pic>
      <xdr:nvPicPr>
        <xdr:cNvPr id="147" name="BEx1X6AMHV6ZK3UJB2BXIJTJHYJU" descr="OALR4L95ELQLZ1Y1LETHM1CS9" hidden="1">
          <a:extLst>
            <a:ext uri="{FF2B5EF4-FFF2-40B4-BE49-F238E27FC236}">
              <a16:creationId xmlns:a16="http://schemas.microsoft.com/office/drawing/2014/main" id="{2A4CF67D-A7DB-4022-AECB-0C71A4851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8" name="BExSDIVCE09QKG3CT52PHCS6ZJ09" descr="9F076L7EQCF2COMMGCQG6BQGU" hidden="1">
          <a:extLst>
            <a:ext uri="{FF2B5EF4-FFF2-40B4-BE49-F238E27FC236}">
              <a16:creationId xmlns:a16="http://schemas.microsoft.com/office/drawing/2014/main" id="{5A4BA9E0-5D5F-44F8-ABC2-2D8700B7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50344</xdr:rowOff>
    </xdr:to>
    <xdr:pic>
      <xdr:nvPicPr>
        <xdr:cNvPr id="149" name="BEx1QZGQZBAWJ8591VXEIPUOVS7X" descr="MEW27CPIFG44B7E7HEQUUF5QF" hidden="1">
          <a:extLst>
            <a:ext uri="{FF2B5EF4-FFF2-40B4-BE49-F238E27FC236}">
              <a16:creationId xmlns:a16="http://schemas.microsoft.com/office/drawing/2014/main" id="{E1BF9EE6-F0F8-4F48-9058-0706D853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98428</xdr:rowOff>
    </xdr:to>
    <xdr:pic>
      <xdr:nvPicPr>
        <xdr:cNvPr id="150" name="BExMF7LICJLPXSHM63A6EQ79YQKG" descr="U084VZL15IMB1OFRRAY6GVKAE" hidden="1">
          <a:extLst>
            <a:ext uri="{FF2B5EF4-FFF2-40B4-BE49-F238E27FC236}">
              <a16:creationId xmlns:a16="http://schemas.microsoft.com/office/drawing/2014/main" id="{177CB86D-7703-4F8D-938E-E049C397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51" name="BExS343F8GCKP6HTF9Y97L133DX8" descr="ZRF0KB1IYQSNV63CTXT25G67G" hidden="1">
          <a:extLst>
            <a:ext uri="{FF2B5EF4-FFF2-40B4-BE49-F238E27FC236}">
              <a16:creationId xmlns:a16="http://schemas.microsoft.com/office/drawing/2014/main" id="{CE477A20-50B0-476C-9B9D-8633D90B3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152" name="BExZMRC09W87CY4B73NPZMNH21AH" descr="78CUMI0OVLYJRSDRQ3V2YX812" hidden="1">
          <a:extLst>
            <a:ext uri="{FF2B5EF4-FFF2-40B4-BE49-F238E27FC236}">
              <a16:creationId xmlns:a16="http://schemas.microsoft.com/office/drawing/2014/main" id="{7E8E4F0D-873D-41F0-B6B5-B13752951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98428</xdr:rowOff>
    </xdr:to>
    <xdr:pic>
      <xdr:nvPicPr>
        <xdr:cNvPr id="153" name="BExZXVFJ4DY4I24AARDT4AMP6EN1" descr="TXSMH2MTH86CYKA26740RQPUC" hidden="1">
          <a:extLst>
            <a:ext uri="{FF2B5EF4-FFF2-40B4-BE49-F238E27FC236}">
              <a16:creationId xmlns:a16="http://schemas.microsoft.com/office/drawing/2014/main" id="{4FCC7DDF-CD07-41E2-B97F-03B8AEA4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161924</xdr:rowOff>
    </xdr:to>
    <xdr:pic>
      <xdr:nvPicPr>
        <xdr:cNvPr id="154" name="BExOCUIOFQWUGTBU5ESTW3EYEP5C" descr="9BNF49V0R6VVYPHEVMJ3ABDQZ" hidden="1">
          <a:extLst>
            <a:ext uri="{FF2B5EF4-FFF2-40B4-BE49-F238E27FC236}">
              <a16:creationId xmlns:a16="http://schemas.microsoft.com/office/drawing/2014/main" id="{2B6DC3CD-D381-4A1B-A278-EA159B32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881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22227</xdr:rowOff>
    </xdr:to>
    <xdr:pic>
      <xdr:nvPicPr>
        <xdr:cNvPr id="155" name="BExU65O9OE4B4MQ2A3OYH13M8BZJ" descr="3INNIMMPDBB0JF37L81M6ID21" hidden="1">
          <a:extLst>
            <a:ext uri="{FF2B5EF4-FFF2-40B4-BE49-F238E27FC236}">
              <a16:creationId xmlns:a16="http://schemas.microsoft.com/office/drawing/2014/main" id="{68B94E92-D266-4188-89B0-82A286905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56" name="BExOPRCR0UW7TKXSV5WDTL348FGL" descr="S9JM17GP1802LHN4GT14BJYIC" hidden="1">
          <a:extLst>
            <a:ext uri="{FF2B5EF4-FFF2-40B4-BE49-F238E27FC236}">
              <a16:creationId xmlns:a16="http://schemas.microsoft.com/office/drawing/2014/main" id="{8CA0B060-B7A0-40A1-BF8A-29B3ED31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136071</xdr:rowOff>
    </xdr:to>
    <xdr:pic>
      <xdr:nvPicPr>
        <xdr:cNvPr id="157" name="BEx5OESAY2W8SEGI3TSB65EHJ04B" descr="9CN2Y88X8WYV1HWZG1QILY9BK" hidden="1">
          <a:extLst>
            <a:ext uri="{FF2B5EF4-FFF2-40B4-BE49-F238E27FC236}">
              <a16:creationId xmlns:a16="http://schemas.microsoft.com/office/drawing/2014/main" id="{878C05B5-C2AE-4638-9FA9-9FEAE2441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58" name="BExGMWEQ2BYRY9BAO5T1X850MJN1" descr="AZ9ST0XDIOP50HSUFO5V31BR0" hidden="1">
          <a:extLst>
            <a:ext uri="{FF2B5EF4-FFF2-40B4-BE49-F238E27FC236}">
              <a16:creationId xmlns:a16="http://schemas.microsoft.com/office/drawing/2014/main" id="{39FAA935-6AFE-4939-BD39-C526C8460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59" name="BExMO7VFCN4EL59982UR4AJ25JNJ" descr="XX6TINEJADZGKR0CTM7ZRT0RA" hidden="1">
          <a:extLst>
            <a:ext uri="{FF2B5EF4-FFF2-40B4-BE49-F238E27FC236}">
              <a16:creationId xmlns:a16="http://schemas.microsoft.com/office/drawing/2014/main" id="{924A60A0-DE27-410D-8EBD-DBA2091F7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0" name="BExU3EX5JJCXCII4YKUJBFBGIJR2" descr="OF5ZI9PI5WH36VPANJ2DYLNMI" hidden="1">
          <a:extLst>
            <a:ext uri="{FF2B5EF4-FFF2-40B4-BE49-F238E27FC236}">
              <a16:creationId xmlns:a16="http://schemas.microsoft.com/office/drawing/2014/main" id="{005329CC-54F6-439F-A5EC-786FF529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61" name="BEx1KD7H6UB1VYCJ7O61P562EIUY" descr="IQGV9140X0K0UPBL8OGU3I44J" hidden="1">
          <a:extLst>
            <a:ext uri="{FF2B5EF4-FFF2-40B4-BE49-F238E27FC236}">
              <a16:creationId xmlns:a16="http://schemas.microsoft.com/office/drawing/2014/main" id="{DA661862-3118-4873-95EE-7E6BAFB6B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62" name="BEx5BJQWS6YWHH4ZMSUAMD641V6Y" descr="ZTMFMXCIQSECDX38ALEFHUB00" hidden="1">
          <a:extLst>
            <a:ext uri="{FF2B5EF4-FFF2-40B4-BE49-F238E27FC236}">
              <a16:creationId xmlns:a16="http://schemas.microsoft.com/office/drawing/2014/main" id="{F821E29C-0591-4D62-B11E-D57CFC2D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163" name="BExVTO5Q8G2M7BPL4B2584LQS0R0" descr="OB6Q8NA4LZFE4GM9Y3V56BPMQ" hidden="1">
          <a:extLst>
            <a:ext uri="{FF2B5EF4-FFF2-40B4-BE49-F238E27FC236}">
              <a16:creationId xmlns:a16="http://schemas.microsoft.com/office/drawing/2014/main" id="{157B5171-4E9D-4693-BF0C-3AB8AFD6C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164" name="BExIFSCLN1G86X78PFLTSMRP0US5" descr="9JK4SPV4DG7VTCZIILWHXQU5J" hidden="1">
          <a:extLst>
            <a:ext uri="{FF2B5EF4-FFF2-40B4-BE49-F238E27FC236}">
              <a16:creationId xmlns:a16="http://schemas.microsoft.com/office/drawing/2014/main" id="{4BE008DC-7FEE-4955-B14B-58BF68D9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5" name="BEx1I152WN2D3A85O2XN0DGXCWHN" descr="KHBZFMANRA4UMJR1AB4M5NJNT" hidden="1">
          <a:extLst>
            <a:ext uri="{FF2B5EF4-FFF2-40B4-BE49-F238E27FC236}">
              <a16:creationId xmlns:a16="http://schemas.microsoft.com/office/drawing/2014/main" id="{D0AC286F-29EF-4D0A-9F5F-25FE2C7E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6" name="BExW9676P0SKCVKK25QCGHPA3PAD" descr="9A4PWZ20RMSRF0PNECCDM75CA" hidden="1">
          <a:extLst>
            <a:ext uri="{FF2B5EF4-FFF2-40B4-BE49-F238E27FC236}">
              <a16:creationId xmlns:a16="http://schemas.microsoft.com/office/drawing/2014/main" id="{DB1139DF-2B6C-4965-B209-80F92C7E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167" name="BExW253QPOZK9KW8BJC3LBXGCG2N" descr="Y5HX37BEUWSN1NEFJKZJXI3SX" hidden="1">
          <a:extLst>
            <a:ext uri="{FF2B5EF4-FFF2-40B4-BE49-F238E27FC236}">
              <a16:creationId xmlns:a16="http://schemas.microsoft.com/office/drawing/2014/main" id="{6F110CE4-13A4-4F35-B7BA-A6749CF7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8" name="BExS5CPQ8P8JOQPK7ANNKHLSGOKU" hidden="1">
          <a:extLst>
            <a:ext uri="{FF2B5EF4-FFF2-40B4-BE49-F238E27FC236}">
              <a16:creationId xmlns:a16="http://schemas.microsoft.com/office/drawing/2014/main" id="{C4C0A400-E93D-426B-AAA7-C86ECE38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9" name="BExMM0AVUAIRNJLXB1FW8R0YB4ZZ" hidden="1">
          <a:extLst>
            <a:ext uri="{FF2B5EF4-FFF2-40B4-BE49-F238E27FC236}">
              <a16:creationId xmlns:a16="http://schemas.microsoft.com/office/drawing/2014/main" id="{C803FE2E-339C-4DCB-B9E6-90CA8D99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70" name="BExXZ7Y09CBS0XA7IPB3IRJ8RJM4" hidden="1">
          <a:extLst>
            <a:ext uri="{FF2B5EF4-FFF2-40B4-BE49-F238E27FC236}">
              <a16:creationId xmlns:a16="http://schemas.microsoft.com/office/drawing/2014/main" id="{38DA0EE4-E001-4C4F-8063-2B1F323B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71" name="BExQ7SXS9VUG7P6CACU2J7R2SGIZ" hidden="1">
          <a:extLst>
            <a:ext uri="{FF2B5EF4-FFF2-40B4-BE49-F238E27FC236}">
              <a16:creationId xmlns:a16="http://schemas.microsoft.com/office/drawing/2014/main" id="{514AA3FD-F4CA-4B63-9583-6E0DAB13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72" name="BEx5AQZ4ETQ9LMY5EBWVH20Z7VXQ" hidden="1">
          <a:extLst>
            <a:ext uri="{FF2B5EF4-FFF2-40B4-BE49-F238E27FC236}">
              <a16:creationId xmlns:a16="http://schemas.microsoft.com/office/drawing/2014/main" id="{B0825F31-3D73-460D-9274-026FD3D7B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73" name="BExUBK0YZ5VYFY8TTITJGJU9S06A" hidden="1">
          <a:extLst>
            <a:ext uri="{FF2B5EF4-FFF2-40B4-BE49-F238E27FC236}">
              <a16:creationId xmlns:a16="http://schemas.microsoft.com/office/drawing/2014/main" id="{1F77D1A4-41FF-491C-AEF0-C18D9D2D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174" name="BExUEZCSSJ7RN4J18I2NUIQR2FZS" hidden="1">
          <a:extLst>
            <a:ext uri="{FF2B5EF4-FFF2-40B4-BE49-F238E27FC236}">
              <a16:creationId xmlns:a16="http://schemas.microsoft.com/office/drawing/2014/main" id="{63FCD6B4-6AFE-44CE-AFA1-4FDAE278B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175" name="BExS3JDQWF7U3F5JTEVOE16ASIYK" hidden="1">
          <a:extLst>
            <a:ext uri="{FF2B5EF4-FFF2-40B4-BE49-F238E27FC236}">
              <a16:creationId xmlns:a16="http://schemas.microsoft.com/office/drawing/2014/main" id="{08D407DB-F566-47DD-9F9B-20DE3313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76" name="BEx973S463FCQVJ7QDFBUIU0WJ3F" descr="ZQTVYL8DCSADVT0QMRXFLU0TR" hidden="1">
          <a:extLst>
            <a:ext uri="{FF2B5EF4-FFF2-40B4-BE49-F238E27FC236}">
              <a16:creationId xmlns:a16="http://schemas.microsoft.com/office/drawing/2014/main" id="{50C01E63-9F49-471C-A35A-B023FA4D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177" name="BExRZO0PLWWMCLGRH7EH6UXYWGAJ" descr="9D4GQ34QB727H10MA3SSAR2R9" hidden="1">
          <a:extLst>
            <a:ext uri="{FF2B5EF4-FFF2-40B4-BE49-F238E27FC236}">
              <a16:creationId xmlns:a16="http://schemas.microsoft.com/office/drawing/2014/main" id="{711C92BA-7D80-4D37-89B7-7EB976E64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178" name="BExBDP6HNAAJUM39SE5G2C8BKNRQ" descr="1TM64TL2QIMYV7WYSV2VLGXY4" hidden="1">
          <a:extLst>
            <a:ext uri="{FF2B5EF4-FFF2-40B4-BE49-F238E27FC236}">
              <a16:creationId xmlns:a16="http://schemas.microsoft.com/office/drawing/2014/main" id="{C98DFDA5-33D2-4BA0-9A1A-61E14CD9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179" name="BExQEGJP61DL2NZY6LMBHBZ0J5YT" descr="D6ZNRZJ7EX4GZT9RO8LE0C905" hidden="1">
          <a:extLst>
            <a:ext uri="{FF2B5EF4-FFF2-40B4-BE49-F238E27FC236}">
              <a16:creationId xmlns:a16="http://schemas.microsoft.com/office/drawing/2014/main" id="{25C1AC53-D58C-49A9-BB69-E21BA78B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180" name="BExTY1BCS6HZIF6HI5491FGHDVAE" descr="MJ6976KI2UH1IE8M227DUYXMJ" hidden="1">
          <a:extLst>
            <a:ext uri="{FF2B5EF4-FFF2-40B4-BE49-F238E27FC236}">
              <a16:creationId xmlns:a16="http://schemas.microsoft.com/office/drawing/2014/main" id="{2A024F72-2BE8-487F-A452-2C732E4C7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1" name="BEx5FXJGJOT93D0J2IRJ3985IUMI" hidden="1">
          <a:extLst>
            <a:ext uri="{FF2B5EF4-FFF2-40B4-BE49-F238E27FC236}">
              <a16:creationId xmlns:a16="http://schemas.microsoft.com/office/drawing/2014/main" id="{52E6934C-9021-4A68-B7F7-D34F0095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2" name="BEx3RTMHAR35NUAAK49TV6NU7EPA" descr="QFXLG4ZCXTRQSJYFCKJ58G9N8" hidden="1">
          <a:extLst>
            <a:ext uri="{FF2B5EF4-FFF2-40B4-BE49-F238E27FC236}">
              <a16:creationId xmlns:a16="http://schemas.microsoft.com/office/drawing/2014/main" id="{EE7C151E-C1EE-4572-B246-466A53A0B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83" name="BExS8T38WLC2R738ZC7BDJQAKJAJ" descr="MRI962L5PB0E0YWXCIBN82VJH" hidden="1">
          <a:extLst>
            <a:ext uri="{FF2B5EF4-FFF2-40B4-BE49-F238E27FC236}">
              <a16:creationId xmlns:a16="http://schemas.microsoft.com/office/drawing/2014/main" id="{A308F545-5A6C-4D52-BCA0-CCCE8FC8C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4" name="BEx5F64BJ6DCM4EJH81D5ZFNPZ0V" descr="7DJ9FILZD2YPS6X1JBP9E76TU" hidden="1">
          <a:extLst>
            <a:ext uri="{FF2B5EF4-FFF2-40B4-BE49-F238E27FC236}">
              <a16:creationId xmlns:a16="http://schemas.microsoft.com/office/drawing/2014/main" id="{379BBBF6-A0A1-4786-B7F7-E84D0119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5" name="BExQEXXHA3EEXR44LT6RKCDWM6ZT" hidden="1">
          <a:extLst>
            <a:ext uri="{FF2B5EF4-FFF2-40B4-BE49-F238E27FC236}">
              <a16:creationId xmlns:a16="http://schemas.microsoft.com/office/drawing/2014/main" id="{4BA69CD8-1ED8-4023-A580-D3A57BB4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186" name="BEx1X6AMHV6ZK3UJB2BXIJTJHYJU" descr="OALR4L95ELQLZ1Y1LETHM1CS9" hidden="1">
          <a:extLst>
            <a:ext uri="{FF2B5EF4-FFF2-40B4-BE49-F238E27FC236}">
              <a16:creationId xmlns:a16="http://schemas.microsoft.com/office/drawing/2014/main" id="{81E2D654-B6B7-4245-BE80-F6434DF19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7" name="BExSDIVCE09QKG3CT52PHCS6ZJ09" descr="9F076L7EQCF2COMMGCQG6BQGU" hidden="1">
          <a:extLst>
            <a:ext uri="{FF2B5EF4-FFF2-40B4-BE49-F238E27FC236}">
              <a16:creationId xmlns:a16="http://schemas.microsoft.com/office/drawing/2014/main" id="{BBFA5A7D-EC91-430E-AE6B-241B15537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188" name="BEx1QZGQZBAWJ8591VXEIPUOVS7X" descr="MEW27CPIFG44B7E7HEQUUF5QF" hidden="1">
          <a:extLst>
            <a:ext uri="{FF2B5EF4-FFF2-40B4-BE49-F238E27FC236}">
              <a16:creationId xmlns:a16="http://schemas.microsoft.com/office/drawing/2014/main" id="{78CC25C3-09FA-4C77-B3EC-1FC481037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189" name="BExMF7LICJLPXSHM63A6EQ79YQKG" descr="U084VZL15IMB1OFRRAY6GVKAE" hidden="1">
          <a:extLst>
            <a:ext uri="{FF2B5EF4-FFF2-40B4-BE49-F238E27FC236}">
              <a16:creationId xmlns:a16="http://schemas.microsoft.com/office/drawing/2014/main" id="{2A68D294-5A79-4B29-9031-44E527FD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90" name="BExS343F8GCKP6HTF9Y97L133DX8" descr="ZRF0KB1IYQSNV63CTXT25G67G" hidden="1">
          <a:extLst>
            <a:ext uri="{FF2B5EF4-FFF2-40B4-BE49-F238E27FC236}">
              <a16:creationId xmlns:a16="http://schemas.microsoft.com/office/drawing/2014/main" id="{7CCB02FD-E6AD-46AB-9944-784C0538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91" name="BExZMRC09W87CY4B73NPZMNH21AH" descr="78CUMI0OVLYJRSDRQ3V2YX812" hidden="1">
          <a:extLst>
            <a:ext uri="{FF2B5EF4-FFF2-40B4-BE49-F238E27FC236}">
              <a16:creationId xmlns:a16="http://schemas.microsoft.com/office/drawing/2014/main" id="{7417AE54-8687-4356-A21D-60F70446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192" name="BExZXVFJ4DY4I24AARDT4AMP6EN1" descr="TXSMH2MTH86CYKA26740RQPUC" hidden="1">
          <a:extLst>
            <a:ext uri="{FF2B5EF4-FFF2-40B4-BE49-F238E27FC236}">
              <a16:creationId xmlns:a16="http://schemas.microsoft.com/office/drawing/2014/main" id="{7FB261E2-7DF3-4E8B-9705-DED784E1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93" name="BExOCUIOFQWUGTBU5ESTW3EYEP5C" descr="9BNF49V0R6VVYPHEVMJ3ABDQZ" hidden="1">
          <a:extLst>
            <a:ext uri="{FF2B5EF4-FFF2-40B4-BE49-F238E27FC236}">
              <a16:creationId xmlns:a16="http://schemas.microsoft.com/office/drawing/2014/main" id="{C9BF89D7-A1A1-4729-9984-B6B5F332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194" name="BExU65O9OE4B4MQ2A3OYH13M8BZJ" descr="3INNIMMPDBB0JF37L81M6ID21" hidden="1">
          <a:extLst>
            <a:ext uri="{FF2B5EF4-FFF2-40B4-BE49-F238E27FC236}">
              <a16:creationId xmlns:a16="http://schemas.microsoft.com/office/drawing/2014/main" id="{E634283E-1E41-4F46-874E-ABEB06CE9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195" name="BExOPRCR0UW7TKXSV5WDTL348FGL" descr="S9JM17GP1802LHN4GT14BJYIC" hidden="1">
          <a:extLst>
            <a:ext uri="{FF2B5EF4-FFF2-40B4-BE49-F238E27FC236}">
              <a16:creationId xmlns:a16="http://schemas.microsoft.com/office/drawing/2014/main" id="{EB0D5629-7E08-4F92-90F1-127D15F9F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96" name="BEx5OESAY2W8SEGI3TSB65EHJ04B" descr="9CN2Y88X8WYV1HWZG1QILY9BK" hidden="1">
          <a:extLst>
            <a:ext uri="{FF2B5EF4-FFF2-40B4-BE49-F238E27FC236}">
              <a16:creationId xmlns:a16="http://schemas.microsoft.com/office/drawing/2014/main" id="{5763F6BA-2C5C-4FF0-9676-3AF7A97F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97" name="BExGMWEQ2BYRY9BAO5T1X850MJN1" descr="AZ9ST0XDIOP50HSUFO5V31BR0" hidden="1">
          <a:extLst>
            <a:ext uri="{FF2B5EF4-FFF2-40B4-BE49-F238E27FC236}">
              <a16:creationId xmlns:a16="http://schemas.microsoft.com/office/drawing/2014/main" id="{131CC512-18D8-4B89-9EA1-064476A4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98" name="BExMO7VFCN4EL59982UR4AJ25JNJ" descr="XX6TINEJADZGKR0CTM7ZRT0RA" hidden="1">
          <a:extLst>
            <a:ext uri="{FF2B5EF4-FFF2-40B4-BE49-F238E27FC236}">
              <a16:creationId xmlns:a16="http://schemas.microsoft.com/office/drawing/2014/main" id="{404FFF6A-084B-43AC-B6B9-5C330C43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99" name="BExU3EX5JJCXCII4YKUJBFBGIJR2" descr="OF5ZI9PI5WH36VPANJ2DYLNMI" hidden="1">
          <a:extLst>
            <a:ext uri="{FF2B5EF4-FFF2-40B4-BE49-F238E27FC236}">
              <a16:creationId xmlns:a16="http://schemas.microsoft.com/office/drawing/2014/main" id="{C0E49763-AE33-432D-8605-7EBAC034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00" name="BEx1KD7H6UB1VYCJ7O61P562EIUY" descr="IQGV9140X0K0UPBL8OGU3I44J" hidden="1">
          <a:extLst>
            <a:ext uri="{FF2B5EF4-FFF2-40B4-BE49-F238E27FC236}">
              <a16:creationId xmlns:a16="http://schemas.microsoft.com/office/drawing/2014/main" id="{434C14C5-5CEA-4324-A041-25E8A02B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01" name="BEx5BJQWS6YWHH4ZMSUAMD641V6Y" descr="ZTMFMXCIQSECDX38ALEFHUB00" hidden="1">
          <a:extLst>
            <a:ext uri="{FF2B5EF4-FFF2-40B4-BE49-F238E27FC236}">
              <a16:creationId xmlns:a16="http://schemas.microsoft.com/office/drawing/2014/main" id="{F5BDE681-F299-4C85-BC8B-EADA71900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02" name="BExVTO5Q8G2M7BPL4B2584LQS0R0" descr="OB6Q8NA4LZFE4GM9Y3V56BPMQ" hidden="1">
          <a:extLst>
            <a:ext uri="{FF2B5EF4-FFF2-40B4-BE49-F238E27FC236}">
              <a16:creationId xmlns:a16="http://schemas.microsoft.com/office/drawing/2014/main" id="{F8EF673C-D6AB-4B42-A282-FA5EC8C8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03" name="BExIFSCLN1G86X78PFLTSMRP0US5" descr="9JK4SPV4DG7VTCZIILWHXQU5J" hidden="1">
          <a:extLst>
            <a:ext uri="{FF2B5EF4-FFF2-40B4-BE49-F238E27FC236}">
              <a16:creationId xmlns:a16="http://schemas.microsoft.com/office/drawing/2014/main" id="{340F5479-87F3-476E-888C-D897747D4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4" name="BEx1I152WN2D3A85O2XN0DGXCWHN" descr="KHBZFMANRA4UMJR1AB4M5NJNT" hidden="1">
          <a:extLst>
            <a:ext uri="{FF2B5EF4-FFF2-40B4-BE49-F238E27FC236}">
              <a16:creationId xmlns:a16="http://schemas.microsoft.com/office/drawing/2014/main" id="{7F5E4683-D63B-42CC-809F-B678B6BB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5" name="BExW9676P0SKCVKK25QCGHPA3PAD" descr="9A4PWZ20RMSRF0PNECCDM75CA" hidden="1">
          <a:extLst>
            <a:ext uri="{FF2B5EF4-FFF2-40B4-BE49-F238E27FC236}">
              <a16:creationId xmlns:a16="http://schemas.microsoft.com/office/drawing/2014/main" id="{3A337848-1D58-45AA-9AFD-FB647FF3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06" name="BExW253QPOZK9KW8BJC3LBXGCG2N" descr="Y5HX37BEUWSN1NEFJKZJXI3SX" hidden="1">
          <a:extLst>
            <a:ext uri="{FF2B5EF4-FFF2-40B4-BE49-F238E27FC236}">
              <a16:creationId xmlns:a16="http://schemas.microsoft.com/office/drawing/2014/main" id="{7EBD9779-14A2-4FE6-94EA-955451F41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7" name="BExS5CPQ8P8JOQPK7ANNKHLSGOKU" hidden="1">
          <a:extLst>
            <a:ext uri="{FF2B5EF4-FFF2-40B4-BE49-F238E27FC236}">
              <a16:creationId xmlns:a16="http://schemas.microsoft.com/office/drawing/2014/main" id="{327B726D-1D01-4719-B5FE-864B3F7F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8" name="BExMM0AVUAIRNJLXB1FW8R0YB4ZZ" hidden="1">
          <a:extLst>
            <a:ext uri="{FF2B5EF4-FFF2-40B4-BE49-F238E27FC236}">
              <a16:creationId xmlns:a16="http://schemas.microsoft.com/office/drawing/2014/main" id="{7EF4EC2E-77F1-46C6-9A46-BF0D49DF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9" name="BExXZ7Y09CBS0XA7IPB3IRJ8RJM4" hidden="1">
          <a:extLst>
            <a:ext uri="{FF2B5EF4-FFF2-40B4-BE49-F238E27FC236}">
              <a16:creationId xmlns:a16="http://schemas.microsoft.com/office/drawing/2014/main" id="{5A2078EE-F44A-4675-A300-07B1C8EB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10" name="BExQ7SXS9VUG7P6CACU2J7R2SGIZ" hidden="1">
          <a:extLst>
            <a:ext uri="{FF2B5EF4-FFF2-40B4-BE49-F238E27FC236}">
              <a16:creationId xmlns:a16="http://schemas.microsoft.com/office/drawing/2014/main" id="{804B2DEF-46F0-45D3-88A1-CE9FDF86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11" name="BEx5AQZ4ETQ9LMY5EBWVH20Z7VXQ" hidden="1">
          <a:extLst>
            <a:ext uri="{FF2B5EF4-FFF2-40B4-BE49-F238E27FC236}">
              <a16:creationId xmlns:a16="http://schemas.microsoft.com/office/drawing/2014/main" id="{53880886-4326-4117-A71A-37208DA9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12" name="BExUBK0YZ5VYFY8TTITJGJU9S06A" hidden="1">
          <a:extLst>
            <a:ext uri="{FF2B5EF4-FFF2-40B4-BE49-F238E27FC236}">
              <a16:creationId xmlns:a16="http://schemas.microsoft.com/office/drawing/2014/main" id="{8014D006-E88C-470F-815F-23298C76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13" name="BExUEZCSSJ7RN4J18I2NUIQR2FZS" hidden="1">
          <a:extLst>
            <a:ext uri="{FF2B5EF4-FFF2-40B4-BE49-F238E27FC236}">
              <a16:creationId xmlns:a16="http://schemas.microsoft.com/office/drawing/2014/main" id="{AFF9B264-F258-4456-BE70-12AD0899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14" name="BExS3JDQWF7U3F5JTEVOE16ASIYK" hidden="1">
          <a:extLst>
            <a:ext uri="{FF2B5EF4-FFF2-40B4-BE49-F238E27FC236}">
              <a16:creationId xmlns:a16="http://schemas.microsoft.com/office/drawing/2014/main" id="{8E90D72C-ADF9-440D-ABC7-A0F4B97F7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5" name="BEx973S463FCQVJ7QDFBUIU0WJ3F" descr="ZQTVYL8DCSADVT0QMRXFLU0TR" hidden="1">
          <a:extLst>
            <a:ext uri="{FF2B5EF4-FFF2-40B4-BE49-F238E27FC236}">
              <a16:creationId xmlns:a16="http://schemas.microsoft.com/office/drawing/2014/main" id="{3688E92C-4E3B-4381-8E22-C79DC552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16" name="BExRZO0PLWWMCLGRH7EH6UXYWGAJ" descr="9D4GQ34QB727H10MA3SSAR2R9" hidden="1">
          <a:extLst>
            <a:ext uri="{FF2B5EF4-FFF2-40B4-BE49-F238E27FC236}">
              <a16:creationId xmlns:a16="http://schemas.microsoft.com/office/drawing/2014/main" id="{D42AB0B2-7941-425B-AF19-6591C77B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17" name="BExBDP6HNAAJUM39SE5G2C8BKNRQ" descr="1TM64TL2QIMYV7WYSV2VLGXY4" hidden="1">
          <a:extLst>
            <a:ext uri="{FF2B5EF4-FFF2-40B4-BE49-F238E27FC236}">
              <a16:creationId xmlns:a16="http://schemas.microsoft.com/office/drawing/2014/main" id="{5E49D4A2-6199-4804-BAE4-771DC87B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18" name="BExQEGJP61DL2NZY6LMBHBZ0J5YT" descr="D6ZNRZJ7EX4GZT9RO8LE0C905" hidden="1">
          <a:extLst>
            <a:ext uri="{FF2B5EF4-FFF2-40B4-BE49-F238E27FC236}">
              <a16:creationId xmlns:a16="http://schemas.microsoft.com/office/drawing/2014/main" id="{F0BB496A-F761-4C4A-A3E4-CEE876F2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19" name="BExTY1BCS6HZIF6HI5491FGHDVAE" descr="MJ6976KI2UH1IE8M227DUYXMJ" hidden="1">
          <a:extLst>
            <a:ext uri="{FF2B5EF4-FFF2-40B4-BE49-F238E27FC236}">
              <a16:creationId xmlns:a16="http://schemas.microsoft.com/office/drawing/2014/main" id="{6A8ABB12-8C87-4E6E-AFFC-411267EE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0" name="BEx5FXJGJOT93D0J2IRJ3985IUMI" hidden="1">
          <a:extLst>
            <a:ext uri="{FF2B5EF4-FFF2-40B4-BE49-F238E27FC236}">
              <a16:creationId xmlns:a16="http://schemas.microsoft.com/office/drawing/2014/main" id="{68F0AE27-0E50-431B-80B0-E7754A29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1" name="BEx3RTMHAR35NUAAK49TV6NU7EPA" descr="QFXLG4ZCXTRQSJYFCKJ58G9N8" hidden="1">
          <a:extLst>
            <a:ext uri="{FF2B5EF4-FFF2-40B4-BE49-F238E27FC236}">
              <a16:creationId xmlns:a16="http://schemas.microsoft.com/office/drawing/2014/main" id="{07456486-9C77-47EE-A15A-D38F8F0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22" name="BExS8T38WLC2R738ZC7BDJQAKJAJ" descr="MRI962L5PB0E0YWXCIBN82VJH" hidden="1">
          <a:extLst>
            <a:ext uri="{FF2B5EF4-FFF2-40B4-BE49-F238E27FC236}">
              <a16:creationId xmlns:a16="http://schemas.microsoft.com/office/drawing/2014/main" id="{B2A432B7-7700-4685-9F5D-1DA06E195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3" name="BEx5F64BJ6DCM4EJH81D5ZFNPZ0V" descr="7DJ9FILZD2YPS6X1JBP9E76TU" hidden="1">
          <a:extLst>
            <a:ext uri="{FF2B5EF4-FFF2-40B4-BE49-F238E27FC236}">
              <a16:creationId xmlns:a16="http://schemas.microsoft.com/office/drawing/2014/main" id="{1C0ABFCA-9801-4AAD-9607-14E1481F6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4" name="BExQEXXHA3EEXR44LT6RKCDWM6ZT" hidden="1">
          <a:extLst>
            <a:ext uri="{FF2B5EF4-FFF2-40B4-BE49-F238E27FC236}">
              <a16:creationId xmlns:a16="http://schemas.microsoft.com/office/drawing/2014/main" id="{48C26256-6096-42C2-9D0E-9DAD5496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25" name="BEx1X6AMHV6ZK3UJB2BXIJTJHYJU" descr="OALR4L95ELQLZ1Y1LETHM1CS9" hidden="1">
          <a:extLst>
            <a:ext uri="{FF2B5EF4-FFF2-40B4-BE49-F238E27FC236}">
              <a16:creationId xmlns:a16="http://schemas.microsoft.com/office/drawing/2014/main" id="{39CB8730-AD6A-4D8C-8A1A-5F2CDE27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6" name="BExSDIVCE09QKG3CT52PHCS6ZJ09" descr="9F076L7EQCF2COMMGCQG6BQGU" hidden="1">
          <a:extLst>
            <a:ext uri="{FF2B5EF4-FFF2-40B4-BE49-F238E27FC236}">
              <a16:creationId xmlns:a16="http://schemas.microsoft.com/office/drawing/2014/main" id="{9C6F5217-085B-48BB-A365-A15711156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27" name="BEx1QZGQZBAWJ8591VXEIPUOVS7X" descr="MEW27CPIFG44B7E7HEQUUF5QF" hidden="1">
          <a:extLst>
            <a:ext uri="{FF2B5EF4-FFF2-40B4-BE49-F238E27FC236}">
              <a16:creationId xmlns:a16="http://schemas.microsoft.com/office/drawing/2014/main" id="{734E103D-1BA0-4483-A96A-F04A7EE90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28" name="BExMF7LICJLPXSHM63A6EQ79YQKG" descr="U084VZL15IMB1OFRRAY6GVKAE" hidden="1">
          <a:extLst>
            <a:ext uri="{FF2B5EF4-FFF2-40B4-BE49-F238E27FC236}">
              <a16:creationId xmlns:a16="http://schemas.microsoft.com/office/drawing/2014/main" id="{166E0D8E-B8B6-4769-902C-83611E01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29" name="BExS343F8GCKP6HTF9Y97L133DX8" descr="ZRF0KB1IYQSNV63CTXT25G67G" hidden="1">
          <a:extLst>
            <a:ext uri="{FF2B5EF4-FFF2-40B4-BE49-F238E27FC236}">
              <a16:creationId xmlns:a16="http://schemas.microsoft.com/office/drawing/2014/main" id="{44AE9614-17BC-4329-A5C8-31395D69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30" name="BExZMRC09W87CY4B73NPZMNH21AH" descr="78CUMI0OVLYJRSDRQ3V2YX812" hidden="1">
          <a:extLst>
            <a:ext uri="{FF2B5EF4-FFF2-40B4-BE49-F238E27FC236}">
              <a16:creationId xmlns:a16="http://schemas.microsoft.com/office/drawing/2014/main" id="{E8C69182-A555-4B0C-A9CA-20257E755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31" name="BExZXVFJ4DY4I24AARDT4AMP6EN1" descr="TXSMH2MTH86CYKA26740RQPUC" hidden="1">
          <a:extLst>
            <a:ext uri="{FF2B5EF4-FFF2-40B4-BE49-F238E27FC236}">
              <a16:creationId xmlns:a16="http://schemas.microsoft.com/office/drawing/2014/main" id="{5F4173FF-6F08-41B9-84FF-582E654BE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32" name="BExOCUIOFQWUGTBU5ESTW3EYEP5C" descr="9BNF49V0R6VVYPHEVMJ3ABDQZ" hidden="1">
          <a:extLst>
            <a:ext uri="{FF2B5EF4-FFF2-40B4-BE49-F238E27FC236}">
              <a16:creationId xmlns:a16="http://schemas.microsoft.com/office/drawing/2014/main" id="{087F5C4E-570E-422A-8D1E-E9832991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33" name="BExU65O9OE4B4MQ2A3OYH13M8BZJ" descr="3INNIMMPDBB0JF37L81M6ID21" hidden="1">
          <a:extLst>
            <a:ext uri="{FF2B5EF4-FFF2-40B4-BE49-F238E27FC236}">
              <a16:creationId xmlns:a16="http://schemas.microsoft.com/office/drawing/2014/main" id="{0673B76E-4C9D-4BC6-BC02-42F74AC6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34" name="BExOPRCR0UW7TKXSV5WDTL348FGL" descr="S9JM17GP1802LHN4GT14BJYIC" hidden="1">
          <a:extLst>
            <a:ext uri="{FF2B5EF4-FFF2-40B4-BE49-F238E27FC236}">
              <a16:creationId xmlns:a16="http://schemas.microsoft.com/office/drawing/2014/main" id="{73CA7A57-0C11-44F7-A3CE-231881F9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35" name="BEx5OESAY2W8SEGI3TSB65EHJ04B" descr="9CN2Y88X8WYV1HWZG1QILY9BK" hidden="1">
          <a:extLst>
            <a:ext uri="{FF2B5EF4-FFF2-40B4-BE49-F238E27FC236}">
              <a16:creationId xmlns:a16="http://schemas.microsoft.com/office/drawing/2014/main" id="{B0A9682A-9C0B-4502-9EFC-10A324E0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36" name="BExGMWEQ2BYRY9BAO5T1X850MJN1" descr="AZ9ST0XDIOP50HSUFO5V31BR0" hidden="1">
          <a:extLst>
            <a:ext uri="{FF2B5EF4-FFF2-40B4-BE49-F238E27FC236}">
              <a16:creationId xmlns:a16="http://schemas.microsoft.com/office/drawing/2014/main" id="{B1ED4BA7-2B8D-4B8C-AA0E-54ED47C4D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37" name="BExMO7VFCN4EL59982UR4AJ25JNJ" descr="XX6TINEJADZGKR0CTM7ZRT0RA" hidden="1">
          <a:extLst>
            <a:ext uri="{FF2B5EF4-FFF2-40B4-BE49-F238E27FC236}">
              <a16:creationId xmlns:a16="http://schemas.microsoft.com/office/drawing/2014/main" id="{42B7F035-7C84-4A95-ADE0-26177E7A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38" name="BExU3EX5JJCXCII4YKUJBFBGIJR2" descr="OF5ZI9PI5WH36VPANJ2DYLNMI" hidden="1">
          <a:extLst>
            <a:ext uri="{FF2B5EF4-FFF2-40B4-BE49-F238E27FC236}">
              <a16:creationId xmlns:a16="http://schemas.microsoft.com/office/drawing/2014/main" id="{BA454C6D-0355-4D90-BA66-18E208DC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39" name="BEx1KD7H6UB1VYCJ7O61P562EIUY" descr="IQGV9140X0K0UPBL8OGU3I44J" hidden="1">
          <a:extLst>
            <a:ext uri="{FF2B5EF4-FFF2-40B4-BE49-F238E27FC236}">
              <a16:creationId xmlns:a16="http://schemas.microsoft.com/office/drawing/2014/main" id="{DC1E77A7-1282-4409-8F6A-DB9D8BB5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40" name="BEx5BJQWS6YWHH4ZMSUAMD641V6Y" descr="ZTMFMXCIQSECDX38ALEFHUB00" hidden="1">
          <a:extLst>
            <a:ext uri="{FF2B5EF4-FFF2-40B4-BE49-F238E27FC236}">
              <a16:creationId xmlns:a16="http://schemas.microsoft.com/office/drawing/2014/main" id="{B747BE90-F77B-4F94-9E0F-13A72561B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41" name="BExVTO5Q8G2M7BPL4B2584LQS0R0" descr="OB6Q8NA4LZFE4GM9Y3V56BPMQ" hidden="1">
          <a:extLst>
            <a:ext uri="{FF2B5EF4-FFF2-40B4-BE49-F238E27FC236}">
              <a16:creationId xmlns:a16="http://schemas.microsoft.com/office/drawing/2014/main" id="{40EE134A-9525-40DF-BE69-FAF296CCF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42" name="BExIFSCLN1G86X78PFLTSMRP0US5" descr="9JK4SPV4DG7VTCZIILWHXQU5J" hidden="1">
          <a:extLst>
            <a:ext uri="{FF2B5EF4-FFF2-40B4-BE49-F238E27FC236}">
              <a16:creationId xmlns:a16="http://schemas.microsoft.com/office/drawing/2014/main" id="{54F557A0-344C-4F54-9F22-DE6224C0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3" name="BEx1I152WN2D3A85O2XN0DGXCWHN" descr="KHBZFMANRA4UMJR1AB4M5NJNT" hidden="1">
          <a:extLst>
            <a:ext uri="{FF2B5EF4-FFF2-40B4-BE49-F238E27FC236}">
              <a16:creationId xmlns:a16="http://schemas.microsoft.com/office/drawing/2014/main" id="{79CF2D03-E26F-4941-9698-052FE4AD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4" name="BExW9676P0SKCVKK25QCGHPA3PAD" descr="9A4PWZ20RMSRF0PNECCDM75CA" hidden="1">
          <a:extLst>
            <a:ext uri="{FF2B5EF4-FFF2-40B4-BE49-F238E27FC236}">
              <a16:creationId xmlns:a16="http://schemas.microsoft.com/office/drawing/2014/main" id="{5B33083A-74EB-4063-B070-15A80BB3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45" name="BExW253QPOZK9KW8BJC3LBXGCG2N" descr="Y5HX37BEUWSN1NEFJKZJXI3SX" hidden="1">
          <a:extLst>
            <a:ext uri="{FF2B5EF4-FFF2-40B4-BE49-F238E27FC236}">
              <a16:creationId xmlns:a16="http://schemas.microsoft.com/office/drawing/2014/main" id="{008E45CE-F08A-4900-87BC-11314673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6" name="BExS5CPQ8P8JOQPK7ANNKHLSGOKU" hidden="1">
          <a:extLst>
            <a:ext uri="{FF2B5EF4-FFF2-40B4-BE49-F238E27FC236}">
              <a16:creationId xmlns:a16="http://schemas.microsoft.com/office/drawing/2014/main" id="{426ABBF7-EC33-4DD6-B86F-BEBEFB31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7" name="BExMM0AVUAIRNJLXB1FW8R0YB4ZZ" hidden="1">
          <a:extLst>
            <a:ext uri="{FF2B5EF4-FFF2-40B4-BE49-F238E27FC236}">
              <a16:creationId xmlns:a16="http://schemas.microsoft.com/office/drawing/2014/main" id="{30D7F842-2D48-4943-8B12-17C917E0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8" name="BExXZ7Y09CBS0XA7IPB3IRJ8RJM4" hidden="1">
          <a:extLst>
            <a:ext uri="{FF2B5EF4-FFF2-40B4-BE49-F238E27FC236}">
              <a16:creationId xmlns:a16="http://schemas.microsoft.com/office/drawing/2014/main" id="{0285BBBE-162C-44AC-8109-CE01D85C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9" name="BExQ7SXS9VUG7P6CACU2J7R2SGIZ" hidden="1">
          <a:extLst>
            <a:ext uri="{FF2B5EF4-FFF2-40B4-BE49-F238E27FC236}">
              <a16:creationId xmlns:a16="http://schemas.microsoft.com/office/drawing/2014/main" id="{80A87B6A-F696-4716-B170-1D3E9983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50" name="BEx5AQZ4ETQ9LMY5EBWVH20Z7VXQ" hidden="1">
          <a:extLst>
            <a:ext uri="{FF2B5EF4-FFF2-40B4-BE49-F238E27FC236}">
              <a16:creationId xmlns:a16="http://schemas.microsoft.com/office/drawing/2014/main" id="{D2425935-A12B-4F15-A8FD-3F680C0A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51" name="BExUBK0YZ5VYFY8TTITJGJU9S06A" hidden="1">
          <a:extLst>
            <a:ext uri="{FF2B5EF4-FFF2-40B4-BE49-F238E27FC236}">
              <a16:creationId xmlns:a16="http://schemas.microsoft.com/office/drawing/2014/main" id="{07A81B18-CCFE-4A4C-94CB-F0F35835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52" name="BExUEZCSSJ7RN4J18I2NUIQR2FZS" hidden="1">
          <a:extLst>
            <a:ext uri="{FF2B5EF4-FFF2-40B4-BE49-F238E27FC236}">
              <a16:creationId xmlns:a16="http://schemas.microsoft.com/office/drawing/2014/main" id="{62B03B19-D745-4261-8B6D-9EA6C281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53" name="BExS3JDQWF7U3F5JTEVOE16ASIYK" hidden="1">
          <a:extLst>
            <a:ext uri="{FF2B5EF4-FFF2-40B4-BE49-F238E27FC236}">
              <a16:creationId xmlns:a16="http://schemas.microsoft.com/office/drawing/2014/main" id="{0FC791FB-5F4C-4CF7-9EE2-E9E3646F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54" name="BEx973S463FCQVJ7QDFBUIU0WJ3F" descr="ZQTVYL8DCSADVT0QMRXFLU0TR" hidden="1">
          <a:extLst>
            <a:ext uri="{FF2B5EF4-FFF2-40B4-BE49-F238E27FC236}">
              <a16:creationId xmlns:a16="http://schemas.microsoft.com/office/drawing/2014/main" id="{5ABA0A44-AC85-4EA8-BF84-8C5C81656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55" name="BExRZO0PLWWMCLGRH7EH6UXYWGAJ" descr="9D4GQ34QB727H10MA3SSAR2R9" hidden="1">
          <a:extLst>
            <a:ext uri="{FF2B5EF4-FFF2-40B4-BE49-F238E27FC236}">
              <a16:creationId xmlns:a16="http://schemas.microsoft.com/office/drawing/2014/main" id="{A4ED67FB-D888-4DDE-8384-6DF8F374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56" name="BExBDP6HNAAJUM39SE5G2C8BKNRQ" descr="1TM64TL2QIMYV7WYSV2VLGXY4" hidden="1">
          <a:extLst>
            <a:ext uri="{FF2B5EF4-FFF2-40B4-BE49-F238E27FC236}">
              <a16:creationId xmlns:a16="http://schemas.microsoft.com/office/drawing/2014/main" id="{754E9898-5F01-482D-98E3-189C8172A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57" name="BExQEGJP61DL2NZY6LMBHBZ0J5YT" descr="D6ZNRZJ7EX4GZT9RO8LE0C905" hidden="1">
          <a:extLst>
            <a:ext uri="{FF2B5EF4-FFF2-40B4-BE49-F238E27FC236}">
              <a16:creationId xmlns:a16="http://schemas.microsoft.com/office/drawing/2014/main" id="{E7E58731-E112-4627-A2BE-7113CEE3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58" name="BExTY1BCS6HZIF6HI5491FGHDVAE" descr="MJ6976KI2UH1IE8M227DUYXMJ" hidden="1">
          <a:extLst>
            <a:ext uri="{FF2B5EF4-FFF2-40B4-BE49-F238E27FC236}">
              <a16:creationId xmlns:a16="http://schemas.microsoft.com/office/drawing/2014/main" id="{28E659DB-797C-4C98-88E9-A3399568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59" name="BEx5FXJGJOT93D0J2IRJ3985IUMI" hidden="1">
          <a:extLst>
            <a:ext uri="{FF2B5EF4-FFF2-40B4-BE49-F238E27FC236}">
              <a16:creationId xmlns:a16="http://schemas.microsoft.com/office/drawing/2014/main" id="{D92D0971-500F-49CE-BF03-BDD077CD6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0" name="BEx3RTMHAR35NUAAK49TV6NU7EPA" descr="QFXLG4ZCXTRQSJYFCKJ58G9N8" hidden="1">
          <a:extLst>
            <a:ext uri="{FF2B5EF4-FFF2-40B4-BE49-F238E27FC236}">
              <a16:creationId xmlns:a16="http://schemas.microsoft.com/office/drawing/2014/main" id="{03A88681-104A-4B1E-9503-8ADCE397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61" name="BExS8T38WLC2R738ZC7BDJQAKJAJ" descr="MRI962L5PB0E0YWXCIBN82VJH" hidden="1">
          <a:extLst>
            <a:ext uri="{FF2B5EF4-FFF2-40B4-BE49-F238E27FC236}">
              <a16:creationId xmlns:a16="http://schemas.microsoft.com/office/drawing/2014/main" id="{D8A98F4E-F80C-43CF-9F10-BA6B0E19E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2" name="BEx5F64BJ6DCM4EJH81D5ZFNPZ0V" descr="7DJ9FILZD2YPS6X1JBP9E76TU" hidden="1">
          <a:extLst>
            <a:ext uri="{FF2B5EF4-FFF2-40B4-BE49-F238E27FC236}">
              <a16:creationId xmlns:a16="http://schemas.microsoft.com/office/drawing/2014/main" id="{18E9B612-6826-42A4-BF4F-47E70C63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3" name="BExQEXXHA3EEXR44LT6RKCDWM6ZT" hidden="1">
          <a:extLst>
            <a:ext uri="{FF2B5EF4-FFF2-40B4-BE49-F238E27FC236}">
              <a16:creationId xmlns:a16="http://schemas.microsoft.com/office/drawing/2014/main" id="{02CB6F5C-88AA-4D64-BF7C-45FFC85F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64" name="BEx1X6AMHV6ZK3UJB2BXIJTJHYJU" descr="OALR4L95ELQLZ1Y1LETHM1CS9" hidden="1">
          <a:extLst>
            <a:ext uri="{FF2B5EF4-FFF2-40B4-BE49-F238E27FC236}">
              <a16:creationId xmlns:a16="http://schemas.microsoft.com/office/drawing/2014/main" id="{B5F17FF8-C395-4870-A6D0-4657B42D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5" name="BExSDIVCE09QKG3CT52PHCS6ZJ09" descr="9F076L7EQCF2COMMGCQG6BQGU" hidden="1">
          <a:extLst>
            <a:ext uri="{FF2B5EF4-FFF2-40B4-BE49-F238E27FC236}">
              <a16:creationId xmlns:a16="http://schemas.microsoft.com/office/drawing/2014/main" id="{84254B04-31DC-4AD2-A1F4-53BDBC5EE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66" name="BEx1QZGQZBAWJ8591VXEIPUOVS7X" descr="MEW27CPIFG44B7E7HEQUUF5QF" hidden="1">
          <a:extLst>
            <a:ext uri="{FF2B5EF4-FFF2-40B4-BE49-F238E27FC236}">
              <a16:creationId xmlns:a16="http://schemas.microsoft.com/office/drawing/2014/main" id="{398C2DF7-73DB-4BF2-B061-E277CA19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67" name="BExMF7LICJLPXSHM63A6EQ79YQKG" descr="U084VZL15IMB1OFRRAY6GVKAE" hidden="1">
          <a:extLst>
            <a:ext uri="{FF2B5EF4-FFF2-40B4-BE49-F238E27FC236}">
              <a16:creationId xmlns:a16="http://schemas.microsoft.com/office/drawing/2014/main" id="{0113AC4B-1093-46FD-9C9C-4BF29F72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68" name="BExS343F8GCKP6HTF9Y97L133DX8" descr="ZRF0KB1IYQSNV63CTXT25G67G" hidden="1">
          <a:extLst>
            <a:ext uri="{FF2B5EF4-FFF2-40B4-BE49-F238E27FC236}">
              <a16:creationId xmlns:a16="http://schemas.microsoft.com/office/drawing/2014/main" id="{7CC323C6-51E2-46B5-8418-F4B24EAF2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69" name="BExZMRC09W87CY4B73NPZMNH21AH" descr="78CUMI0OVLYJRSDRQ3V2YX812" hidden="1">
          <a:extLst>
            <a:ext uri="{FF2B5EF4-FFF2-40B4-BE49-F238E27FC236}">
              <a16:creationId xmlns:a16="http://schemas.microsoft.com/office/drawing/2014/main" id="{236D10CC-25A1-448E-8849-501BC6B1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70" name="BExZXVFJ4DY4I24AARDT4AMP6EN1" descr="TXSMH2MTH86CYKA26740RQPUC" hidden="1">
          <a:extLst>
            <a:ext uri="{FF2B5EF4-FFF2-40B4-BE49-F238E27FC236}">
              <a16:creationId xmlns:a16="http://schemas.microsoft.com/office/drawing/2014/main" id="{FF190466-6F58-4B1C-8721-D880CCBC2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71" name="BExOCUIOFQWUGTBU5ESTW3EYEP5C" descr="9BNF49V0R6VVYPHEVMJ3ABDQZ" hidden="1">
          <a:extLst>
            <a:ext uri="{FF2B5EF4-FFF2-40B4-BE49-F238E27FC236}">
              <a16:creationId xmlns:a16="http://schemas.microsoft.com/office/drawing/2014/main" id="{71DB8B8D-72FC-4F74-B16E-400762BE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72" name="BExU65O9OE4B4MQ2A3OYH13M8BZJ" descr="3INNIMMPDBB0JF37L81M6ID21" hidden="1">
          <a:extLst>
            <a:ext uri="{FF2B5EF4-FFF2-40B4-BE49-F238E27FC236}">
              <a16:creationId xmlns:a16="http://schemas.microsoft.com/office/drawing/2014/main" id="{9F82EBA0-A938-470B-B070-41A71A20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73" name="BExOPRCR0UW7TKXSV5WDTL348FGL" descr="S9JM17GP1802LHN4GT14BJYIC" hidden="1">
          <a:extLst>
            <a:ext uri="{FF2B5EF4-FFF2-40B4-BE49-F238E27FC236}">
              <a16:creationId xmlns:a16="http://schemas.microsoft.com/office/drawing/2014/main" id="{5E80CBA9-3924-433D-9347-80782E66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74" name="BEx5OESAY2W8SEGI3TSB65EHJ04B" descr="9CN2Y88X8WYV1HWZG1QILY9BK" hidden="1">
          <a:extLst>
            <a:ext uri="{FF2B5EF4-FFF2-40B4-BE49-F238E27FC236}">
              <a16:creationId xmlns:a16="http://schemas.microsoft.com/office/drawing/2014/main" id="{74EDD67E-7B72-4C9C-8E1E-DA9FC96A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75" name="BExGMWEQ2BYRY9BAO5T1X850MJN1" descr="AZ9ST0XDIOP50HSUFO5V31BR0" hidden="1">
          <a:extLst>
            <a:ext uri="{FF2B5EF4-FFF2-40B4-BE49-F238E27FC236}">
              <a16:creationId xmlns:a16="http://schemas.microsoft.com/office/drawing/2014/main" id="{D9928944-84FA-4F84-935E-7C53AC8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76" name="BExMO7VFCN4EL59982UR4AJ25JNJ" descr="XX6TINEJADZGKR0CTM7ZRT0RA" hidden="1">
          <a:extLst>
            <a:ext uri="{FF2B5EF4-FFF2-40B4-BE49-F238E27FC236}">
              <a16:creationId xmlns:a16="http://schemas.microsoft.com/office/drawing/2014/main" id="{99E96C91-45A2-4372-AFA1-312ED0304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77" name="BExU3EX5JJCXCII4YKUJBFBGIJR2" descr="OF5ZI9PI5WH36VPANJ2DYLNMI" hidden="1">
          <a:extLst>
            <a:ext uri="{FF2B5EF4-FFF2-40B4-BE49-F238E27FC236}">
              <a16:creationId xmlns:a16="http://schemas.microsoft.com/office/drawing/2014/main" id="{4013AF6B-E188-44B2-B4DB-1CC68CEF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78" name="BEx1KD7H6UB1VYCJ7O61P562EIUY" descr="IQGV9140X0K0UPBL8OGU3I44J" hidden="1">
          <a:extLst>
            <a:ext uri="{FF2B5EF4-FFF2-40B4-BE49-F238E27FC236}">
              <a16:creationId xmlns:a16="http://schemas.microsoft.com/office/drawing/2014/main" id="{5FFB9B02-1E97-4060-A452-9AA7FC14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79" name="BEx5BJQWS6YWHH4ZMSUAMD641V6Y" descr="ZTMFMXCIQSECDX38ALEFHUB00" hidden="1">
          <a:extLst>
            <a:ext uri="{FF2B5EF4-FFF2-40B4-BE49-F238E27FC236}">
              <a16:creationId xmlns:a16="http://schemas.microsoft.com/office/drawing/2014/main" id="{BB0A7583-8D5E-474D-9D7E-E2729200A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1361</xdr:colOff>
      <xdr:row>0</xdr:row>
      <xdr:rowOff>58965</xdr:rowOff>
    </xdr:to>
    <xdr:pic>
      <xdr:nvPicPr>
        <xdr:cNvPr id="280" name="BExVTO5Q8G2M7BPL4B2584LQS0R0" descr="OB6Q8NA4LZFE4GM9Y3V56BPMQ" hidden="1">
          <a:extLst>
            <a:ext uri="{FF2B5EF4-FFF2-40B4-BE49-F238E27FC236}">
              <a16:creationId xmlns:a16="http://schemas.microsoft.com/office/drawing/2014/main" id="{393CDC23-A2CA-4A2B-9682-2A3670FCF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1361</xdr:colOff>
      <xdr:row>0</xdr:row>
      <xdr:rowOff>135165</xdr:rowOff>
    </xdr:to>
    <xdr:pic>
      <xdr:nvPicPr>
        <xdr:cNvPr id="281" name="BExIFSCLN1G86X78PFLTSMRP0US5" descr="9JK4SPV4DG7VTCZIILWHXQU5J" hidden="1">
          <a:extLst>
            <a:ext uri="{FF2B5EF4-FFF2-40B4-BE49-F238E27FC236}">
              <a16:creationId xmlns:a16="http://schemas.microsoft.com/office/drawing/2014/main" id="{6E6EEABC-831E-4F27-99C7-929C2339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2" name="BEx1I152WN2D3A85O2XN0DGXCWHN" descr="KHBZFMANRA4UMJR1AB4M5NJNT" hidden="1">
          <a:extLst>
            <a:ext uri="{FF2B5EF4-FFF2-40B4-BE49-F238E27FC236}">
              <a16:creationId xmlns:a16="http://schemas.microsoft.com/office/drawing/2014/main" id="{52E5710F-9FED-4C03-8EAC-DA05F001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3" name="BExW9676P0SKCVKK25QCGHPA3PAD" descr="9A4PWZ20RMSRF0PNECCDM75CA" hidden="1">
          <a:extLst>
            <a:ext uri="{FF2B5EF4-FFF2-40B4-BE49-F238E27FC236}">
              <a16:creationId xmlns:a16="http://schemas.microsoft.com/office/drawing/2014/main" id="{FC68C226-936D-4B70-A13C-6B4564AC8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15420</xdr:rowOff>
    </xdr:to>
    <xdr:pic>
      <xdr:nvPicPr>
        <xdr:cNvPr id="284" name="BExW253QPOZK9KW8BJC3LBXGCG2N" descr="Y5HX37BEUWSN1NEFJKZJXI3SX" hidden="1">
          <a:extLst>
            <a:ext uri="{FF2B5EF4-FFF2-40B4-BE49-F238E27FC236}">
              <a16:creationId xmlns:a16="http://schemas.microsoft.com/office/drawing/2014/main" id="{31202E4D-7D88-4A85-AEE1-1FE1798A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5" name="BExS5CPQ8P8JOQPK7ANNKHLSGOKU" hidden="1">
          <a:extLst>
            <a:ext uri="{FF2B5EF4-FFF2-40B4-BE49-F238E27FC236}">
              <a16:creationId xmlns:a16="http://schemas.microsoft.com/office/drawing/2014/main" id="{345EB1C7-8779-4A72-9CCD-4FE63B2F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6" name="BExMM0AVUAIRNJLXB1FW8R0YB4ZZ" hidden="1">
          <a:extLst>
            <a:ext uri="{FF2B5EF4-FFF2-40B4-BE49-F238E27FC236}">
              <a16:creationId xmlns:a16="http://schemas.microsoft.com/office/drawing/2014/main" id="{EE58F26B-45A2-4BEF-95B5-A57647EF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7" name="BExXZ7Y09CBS0XA7IPB3IRJ8RJM4" hidden="1">
          <a:extLst>
            <a:ext uri="{FF2B5EF4-FFF2-40B4-BE49-F238E27FC236}">
              <a16:creationId xmlns:a16="http://schemas.microsoft.com/office/drawing/2014/main" id="{C2328C68-F468-49F1-AECC-00278C32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8" name="BExQ7SXS9VUG7P6CACU2J7R2SGIZ" hidden="1">
          <a:extLst>
            <a:ext uri="{FF2B5EF4-FFF2-40B4-BE49-F238E27FC236}">
              <a16:creationId xmlns:a16="http://schemas.microsoft.com/office/drawing/2014/main" id="{B9BDE8C4-4AB3-4111-9CDF-B86EE867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89" name="BEx5AQZ4ETQ9LMY5EBWVH20Z7VXQ" hidden="1">
          <a:extLst>
            <a:ext uri="{FF2B5EF4-FFF2-40B4-BE49-F238E27FC236}">
              <a16:creationId xmlns:a16="http://schemas.microsoft.com/office/drawing/2014/main" id="{8DB371C4-FA0F-40A9-B7DA-67FE71C4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90" name="BExUBK0YZ5VYFY8TTITJGJU9S06A" hidden="1">
          <a:extLst>
            <a:ext uri="{FF2B5EF4-FFF2-40B4-BE49-F238E27FC236}">
              <a16:creationId xmlns:a16="http://schemas.microsoft.com/office/drawing/2014/main" id="{964ADEDC-ED03-414B-9F1B-ECE8B339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291" name="BExUEZCSSJ7RN4J18I2NUIQR2FZS" hidden="1">
          <a:extLst>
            <a:ext uri="{FF2B5EF4-FFF2-40B4-BE49-F238E27FC236}">
              <a16:creationId xmlns:a16="http://schemas.microsoft.com/office/drawing/2014/main" id="{4FFFB2E5-9AE8-4059-BE22-AAD4F234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292" name="BExS3JDQWF7U3F5JTEVOE16ASIYK" hidden="1">
          <a:extLst>
            <a:ext uri="{FF2B5EF4-FFF2-40B4-BE49-F238E27FC236}">
              <a16:creationId xmlns:a16="http://schemas.microsoft.com/office/drawing/2014/main" id="{B0A61046-EA7D-41A3-AFD5-ACD15199C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293" name="BEx973S463FCQVJ7QDFBUIU0WJ3F" descr="ZQTVYL8DCSADVT0QMRXFLU0TR" hidden="1">
          <a:extLst>
            <a:ext uri="{FF2B5EF4-FFF2-40B4-BE49-F238E27FC236}">
              <a16:creationId xmlns:a16="http://schemas.microsoft.com/office/drawing/2014/main" id="{FEDE73D3-E53C-4881-9264-7E6856A9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50798</xdr:rowOff>
    </xdr:to>
    <xdr:pic>
      <xdr:nvPicPr>
        <xdr:cNvPr id="294" name="BExRZO0PLWWMCLGRH7EH6UXYWGAJ" descr="9D4GQ34QB727H10MA3SSAR2R9" hidden="1">
          <a:extLst>
            <a:ext uri="{FF2B5EF4-FFF2-40B4-BE49-F238E27FC236}">
              <a16:creationId xmlns:a16="http://schemas.microsoft.com/office/drawing/2014/main" id="{B9364B03-33E8-422F-8959-F39A0445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908</xdr:rowOff>
    </xdr:to>
    <xdr:pic>
      <xdr:nvPicPr>
        <xdr:cNvPr id="295" name="BExBDP6HNAAJUM39SE5G2C8BKNRQ" descr="1TM64TL2QIMYV7WYSV2VLGXY4" hidden="1">
          <a:extLst>
            <a:ext uri="{FF2B5EF4-FFF2-40B4-BE49-F238E27FC236}">
              <a16:creationId xmlns:a16="http://schemas.microsoft.com/office/drawing/2014/main" id="{5E3037FC-DFFA-4945-928A-7B340984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296" name="BExQEGJP61DL2NZY6LMBHBZ0J5YT" descr="D6ZNRZJ7EX4GZT9RO8LE0C905" hidden="1">
          <a:extLst>
            <a:ext uri="{FF2B5EF4-FFF2-40B4-BE49-F238E27FC236}">
              <a16:creationId xmlns:a16="http://schemas.microsoft.com/office/drawing/2014/main" id="{9D62B498-517D-4AA3-832A-FF3AF4BDF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54430</xdr:rowOff>
    </xdr:to>
    <xdr:pic>
      <xdr:nvPicPr>
        <xdr:cNvPr id="297" name="BExTY1BCS6HZIF6HI5491FGHDVAE" descr="MJ6976KI2UH1IE8M227DUYXMJ" hidden="1">
          <a:extLst>
            <a:ext uri="{FF2B5EF4-FFF2-40B4-BE49-F238E27FC236}">
              <a16:creationId xmlns:a16="http://schemas.microsoft.com/office/drawing/2014/main" id="{D2F2ECBA-9074-4002-9916-4679115A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298" name="BEx5FXJGJOT93D0J2IRJ3985IUMI" hidden="1">
          <a:extLst>
            <a:ext uri="{FF2B5EF4-FFF2-40B4-BE49-F238E27FC236}">
              <a16:creationId xmlns:a16="http://schemas.microsoft.com/office/drawing/2014/main" id="{AF42B365-A2A3-47ED-B911-E3B31DF1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299" name="BEx3RTMHAR35NUAAK49TV6NU7EPA" descr="QFXLG4ZCXTRQSJYFCKJ58G9N8" hidden="1">
          <a:extLst>
            <a:ext uri="{FF2B5EF4-FFF2-40B4-BE49-F238E27FC236}">
              <a16:creationId xmlns:a16="http://schemas.microsoft.com/office/drawing/2014/main" id="{C262ED53-26A3-485F-8D64-20B9CD207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91620</xdr:rowOff>
    </xdr:to>
    <xdr:pic>
      <xdr:nvPicPr>
        <xdr:cNvPr id="300" name="BExS8T38WLC2R738ZC7BDJQAKJAJ" descr="MRI962L5PB0E0YWXCIBN82VJH" hidden="1">
          <a:extLst>
            <a:ext uri="{FF2B5EF4-FFF2-40B4-BE49-F238E27FC236}">
              <a16:creationId xmlns:a16="http://schemas.microsoft.com/office/drawing/2014/main" id="{4E1A7DD3-B8C9-4468-AABA-DD5662CB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301" name="BEx5F64BJ6DCM4EJH81D5ZFNPZ0V" descr="7DJ9FILZD2YPS6X1JBP9E76TU" hidden="1">
          <a:extLst>
            <a:ext uri="{FF2B5EF4-FFF2-40B4-BE49-F238E27FC236}">
              <a16:creationId xmlns:a16="http://schemas.microsoft.com/office/drawing/2014/main" id="{9EB2A7CA-975A-434A-A156-2E601ECF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302" name="BExQEXXHA3EEXR44LT6RKCDWM6ZT" hidden="1">
          <a:extLst>
            <a:ext uri="{FF2B5EF4-FFF2-40B4-BE49-F238E27FC236}">
              <a16:creationId xmlns:a16="http://schemas.microsoft.com/office/drawing/2014/main" id="{3D7EC61A-4D04-47E3-81D2-C54035A86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03" name="BEx1X6AMHV6ZK3UJB2BXIJTJHYJU" descr="OALR4L95ELQLZ1Y1LETHM1CS9" hidden="1">
          <a:extLst>
            <a:ext uri="{FF2B5EF4-FFF2-40B4-BE49-F238E27FC236}">
              <a16:creationId xmlns:a16="http://schemas.microsoft.com/office/drawing/2014/main" id="{887B6D2D-2C7E-4FB1-8A3A-24DE71FEA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304" name="BExSDIVCE09QKG3CT52PHCS6ZJ09" descr="9F076L7EQCF2COMMGCQG6BQGU" hidden="1">
          <a:extLst>
            <a:ext uri="{FF2B5EF4-FFF2-40B4-BE49-F238E27FC236}">
              <a16:creationId xmlns:a16="http://schemas.microsoft.com/office/drawing/2014/main" id="{19E3353E-717A-4E19-91EA-BAE54FE9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50798</xdr:rowOff>
    </xdr:to>
    <xdr:pic>
      <xdr:nvPicPr>
        <xdr:cNvPr id="305" name="BEx1QZGQZBAWJ8591VXEIPUOVS7X" descr="MEW27CPIFG44B7E7HEQUUF5QF" hidden="1">
          <a:extLst>
            <a:ext uri="{FF2B5EF4-FFF2-40B4-BE49-F238E27FC236}">
              <a16:creationId xmlns:a16="http://schemas.microsoft.com/office/drawing/2014/main" id="{B8189781-CDC9-45AE-ADF7-298C1F56E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470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92530</xdr:rowOff>
    </xdr:to>
    <xdr:pic>
      <xdr:nvPicPr>
        <xdr:cNvPr id="306" name="BExMF7LICJLPXSHM63A6EQ79YQKG" descr="U084VZL15IMB1OFRRAY6GVKAE" hidden="1">
          <a:extLst>
            <a:ext uri="{FF2B5EF4-FFF2-40B4-BE49-F238E27FC236}">
              <a16:creationId xmlns:a16="http://schemas.microsoft.com/office/drawing/2014/main" id="{C97DECF1-1BE2-497E-9BAE-78D78A9D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307" name="BExS343F8GCKP6HTF9Y97L133DX8" descr="ZRF0KB1IYQSNV63CTXT25G67G" hidden="1">
          <a:extLst>
            <a:ext uri="{FF2B5EF4-FFF2-40B4-BE49-F238E27FC236}">
              <a16:creationId xmlns:a16="http://schemas.microsoft.com/office/drawing/2014/main" id="{6C8056D0-6D29-4C4B-9A55-608DADB0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308" name="BExZMRC09W87CY4B73NPZMNH21AH" descr="78CUMI0OVLYJRSDRQ3V2YX812" hidden="1">
          <a:extLst>
            <a:ext uri="{FF2B5EF4-FFF2-40B4-BE49-F238E27FC236}">
              <a16:creationId xmlns:a16="http://schemas.microsoft.com/office/drawing/2014/main" id="{C274D6A1-6509-47FE-8ADC-57EEAA5B0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92530</xdr:rowOff>
    </xdr:to>
    <xdr:pic>
      <xdr:nvPicPr>
        <xdr:cNvPr id="309" name="BExZXVFJ4DY4I24AARDT4AMP6EN1" descr="TXSMH2MTH86CYKA26740RQPUC" hidden="1">
          <a:extLst>
            <a:ext uri="{FF2B5EF4-FFF2-40B4-BE49-F238E27FC236}">
              <a16:creationId xmlns:a16="http://schemas.microsoft.com/office/drawing/2014/main" id="{2612A51B-2B9F-4ECD-94A4-ECCB375E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10" name="BExOCUIOFQWUGTBU5ESTW3EYEP5C" descr="9BNF49V0R6VVYPHEVMJ3ABDQZ" hidden="1">
          <a:extLst>
            <a:ext uri="{FF2B5EF4-FFF2-40B4-BE49-F238E27FC236}">
              <a16:creationId xmlns:a16="http://schemas.microsoft.com/office/drawing/2014/main" id="{BC66EAD9-E43F-4553-8EBA-72C2506BB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16329</xdr:rowOff>
    </xdr:to>
    <xdr:pic>
      <xdr:nvPicPr>
        <xdr:cNvPr id="311" name="BExU65O9OE4B4MQ2A3OYH13M8BZJ" descr="3INNIMMPDBB0JF37L81M6ID21" hidden="1">
          <a:extLst>
            <a:ext uri="{FF2B5EF4-FFF2-40B4-BE49-F238E27FC236}">
              <a16:creationId xmlns:a16="http://schemas.microsoft.com/office/drawing/2014/main" id="{CFA1D532-6BB4-457D-9BBE-75E3921C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19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91620</xdr:rowOff>
    </xdr:to>
    <xdr:pic>
      <xdr:nvPicPr>
        <xdr:cNvPr id="312" name="BExOPRCR0UW7TKXSV5WDTL348FGL" descr="S9JM17GP1802LHN4GT14BJYIC" hidden="1">
          <a:extLst>
            <a:ext uri="{FF2B5EF4-FFF2-40B4-BE49-F238E27FC236}">
              <a16:creationId xmlns:a16="http://schemas.microsoft.com/office/drawing/2014/main" id="{BB0B72A0-D346-4EE1-8027-CA809AB37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313" name="BEx5OESAY2W8SEGI3TSB65EHJ04B" descr="9CN2Y88X8WYV1HWZG1QILY9BK" hidden="1">
          <a:extLst>
            <a:ext uri="{FF2B5EF4-FFF2-40B4-BE49-F238E27FC236}">
              <a16:creationId xmlns:a16="http://schemas.microsoft.com/office/drawing/2014/main" id="{345B9AD7-4267-4994-83BA-0BB5B3AC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15420</xdr:rowOff>
    </xdr:to>
    <xdr:pic>
      <xdr:nvPicPr>
        <xdr:cNvPr id="314" name="BExGMWEQ2BYRY9BAO5T1X850MJN1" descr="AZ9ST0XDIOP50HSUFO5V31BR0" hidden="1">
          <a:extLst>
            <a:ext uri="{FF2B5EF4-FFF2-40B4-BE49-F238E27FC236}">
              <a16:creationId xmlns:a16="http://schemas.microsoft.com/office/drawing/2014/main" id="{5377D4A8-D047-4188-8EB5-265CA0BC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402319</xdr:colOff>
      <xdr:row>79</xdr:row>
      <xdr:rowOff>54880</xdr:rowOff>
    </xdr:to>
    <xdr:pic>
      <xdr:nvPicPr>
        <xdr:cNvPr id="315" name="BExXRND8208TWULE9S50U89VKPB7" descr="ETUGZV0SKTQDQB8JOYY0DCX79" hidden="1">
          <a:extLst>
            <a:ext uri="{FF2B5EF4-FFF2-40B4-BE49-F238E27FC236}">
              <a16:creationId xmlns:a16="http://schemas.microsoft.com/office/drawing/2014/main" id="{6CECD98E-94B1-44EF-8565-8C026C8E1C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65548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16" name="BExMO7VFCN4EL59982UR4AJ25JNJ" descr="XX6TINEJADZGKR0CTM7ZRT0RA" hidden="1">
          <a:extLst>
            <a:ext uri="{FF2B5EF4-FFF2-40B4-BE49-F238E27FC236}">
              <a16:creationId xmlns:a16="http://schemas.microsoft.com/office/drawing/2014/main" id="{B9383D00-B76B-44BF-9B8C-C8EE9E0B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17" name="BExU3EX5JJCXCII4YKUJBFBGIJR2" descr="OF5ZI9PI5WH36VPANJ2DYLNMI" hidden="1">
          <a:extLst>
            <a:ext uri="{FF2B5EF4-FFF2-40B4-BE49-F238E27FC236}">
              <a16:creationId xmlns:a16="http://schemas.microsoft.com/office/drawing/2014/main" id="{161CE9CE-996B-4AEC-B82B-58AA7EF7A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18" name="BEx1KD7H6UB1VYCJ7O61P562EIUY" descr="IQGV9140X0K0UPBL8OGU3I44J" hidden="1">
          <a:extLst>
            <a:ext uri="{FF2B5EF4-FFF2-40B4-BE49-F238E27FC236}">
              <a16:creationId xmlns:a16="http://schemas.microsoft.com/office/drawing/2014/main" id="{FC37AA02-273B-4747-9D75-14EBF9E30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19" name="BEx5BJQWS6YWHH4ZMSUAMD641V6Y" descr="ZTMFMXCIQSECDX38ALEFHUB00" hidden="1">
          <a:extLst>
            <a:ext uri="{FF2B5EF4-FFF2-40B4-BE49-F238E27FC236}">
              <a16:creationId xmlns:a16="http://schemas.microsoft.com/office/drawing/2014/main" id="{195DC598-E5FE-48CA-A539-C55388C4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20" name="BExVTO5Q8G2M7BPL4B2584LQS0R0" descr="OB6Q8NA4LZFE4GM9Y3V56BPMQ" hidden="1">
          <a:extLst>
            <a:ext uri="{FF2B5EF4-FFF2-40B4-BE49-F238E27FC236}">
              <a16:creationId xmlns:a16="http://schemas.microsoft.com/office/drawing/2014/main" id="{F810EB07-3532-4D14-A610-DA774498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21" name="BExIFSCLN1G86X78PFLTSMRP0US5" descr="9JK4SPV4DG7VTCZIILWHXQU5J" hidden="1">
          <a:extLst>
            <a:ext uri="{FF2B5EF4-FFF2-40B4-BE49-F238E27FC236}">
              <a16:creationId xmlns:a16="http://schemas.microsoft.com/office/drawing/2014/main" id="{420420B9-C001-4F82-AE34-B57FAC0E3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2" name="BEx1I152WN2D3A85O2XN0DGXCWHN" descr="KHBZFMANRA4UMJR1AB4M5NJNT" hidden="1">
          <a:extLst>
            <a:ext uri="{FF2B5EF4-FFF2-40B4-BE49-F238E27FC236}">
              <a16:creationId xmlns:a16="http://schemas.microsoft.com/office/drawing/2014/main" id="{F4D55275-E05C-47E9-830D-7BB665A3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3" name="BExW9676P0SKCVKK25QCGHPA3PAD" descr="9A4PWZ20RMSRF0PNECCDM75CA" hidden="1">
          <a:extLst>
            <a:ext uri="{FF2B5EF4-FFF2-40B4-BE49-F238E27FC236}">
              <a16:creationId xmlns:a16="http://schemas.microsoft.com/office/drawing/2014/main" id="{C7C677E3-44BF-4BF6-BCA9-686634FF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24" name="BExW253QPOZK9KW8BJC3LBXGCG2N" descr="Y5HX37BEUWSN1NEFJKZJXI3SX" hidden="1">
          <a:extLst>
            <a:ext uri="{FF2B5EF4-FFF2-40B4-BE49-F238E27FC236}">
              <a16:creationId xmlns:a16="http://schemas.microsoft.com/office/drawing/2014/main" id="{7C682346-638E-467C-AAE4-EC5338E4B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5" name="BExS5CPQ8P8JOQPK7ANNKHLSGOKU" hidden="1">
          <a:extLst>
            <a:ext uri="{FF2B5EF4-FFF2-40B4-BE49-F238E27FC236}">
              <a16:creationId xmlns:a16="http://schemas.microsoft.com/office/drawing/2014/main" id="{9C9BB11B-35E9-495F-A9FA-8B2F3D8E3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6" name="BExMM0AVUAIRNJLXB1FW8R0YB4ZZ" hidden="1">
          <a:extLst>
            <a:ext uri="{FF2B5EF4-FFF2-40B4-BE49-F238E27FC236}">
              <a16:creationId xmlns:a16="http://schemas.microsoft.com/office/drawing/2014/main" id="{47EF28CD-5B77-4502-AF47-72C395FD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7" name="BExXZ7Y09CBS0XA7IPB3IRJ8RJM4" hidden="1">
          <a:extLst>
            <a:ext uri="{FF2B5EF4-FFF2-40B4-BE49-F238E27FC236}">
              <a16:creationId xmlns:a16="http://schemas.microsoft.com/office/drawing/2014/main" id="{C462F158-A442-4C5B-BD9C-E517B8A7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8" name="BExQ7SXS9VUG7P6CACU2J7R2SGIZ" hidden="1">
          <a:extLst>
            <a:ext uri="{FF2B5EF4-FFF2-40B4-BE49-F238E27FC236}">
              <a16:creationId xmlns:a16="http://schemas.microsoft.com/office/drawing/2014/main" id="{C814462D-9B00-4C21-8CB4-17D4001A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29" name="BEx5AQZ4ETQ9LMY5EBWVH20Z7VXQ" hidden="1">
          <a:extLst>
            <a:ext uri="{FF2B5EF4-FFF2-40B4-BE49-F238E27FC236}">
              <a16:creationId xmlns:a16="http://schemas.microsoft.com/office/drawing/2014/main" id="{724FAECD-CEF9-4176-9F3F-C28A206B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30" name="BExUBK0YZ5VYFY8TTITJGJU9S06A" hidden="1">
          <a:extLst>
            <a:ext uri="{FF2B5EF4-FFF2-40B4-BE49-F238E27FC236}">
              <a16:creationId xmlns:a16="http://schemas.microsoft.com/office/drawing/2014/main" id="{19C6EEA1-2DB1-42BC-BAEF-0C35A038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31" name="BExUEZCSSJ7RN4J18I2NUIQR2FZS" hidden="1">
          <a:extLst>
            <a:ext uri="{FF2B5EF4-FFF2-40B4-BE49-F238E27FC236}">
              <a16:creationId xmlns:a16="http://schemas.microsoft.com/office/drawing/2014/main" id="{FA7A32F2-B598-4DC3-8375-83274B61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32" name="BExS3JDQWF7U3F5JTEVOE16ASIYK" hidden="1">
          <a:extLst>
            <a:ext uri="{FF2B5EF4-FFF2-40B4-BE49-F238E27FC236}">
              <a16:creationId xmlns:a16="http://schemas.microsoft.com/office/drawing/2014/main" id="{47DEC51E-65A5-455A-9071-06F441B9B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333" name="BEx973S463FCQVJ7QDFBUIU0WJ3F" descr="ZQTVYL8DCSADVT0QMRXFLU0TR" hidden="1">
          <a:extLst>
            <a:ext uri="{FF2B5EF4-FFF2-40B4-BE49-F238E27FC236}">
              <a16:creationId xmlns:a16="http://schemas.microsoft.com/office/drawing/2014/main" id="{376F8911-DC7E-4DD9-9458-C56CFCB5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50344</xdr:rowOff>
    </xdr:to>
    <xdr:pic>
      <xdr:nvPicPr>
        <xdr:cNvPr id="334" name="BExRZO0PLWWMCLGRH7EH6UXYWGAJ" descr="9D4GQ34QB727H10MA3SSAR2R9" hidden="1">
          <a:extLst>
            <a:ext uri="{FF2B5EF4-FFF2-40B4-BE49-F238E27FC236}">
              <a16:creationId xmlns:a16="http://schemas.microsoft.com/office/drawing/2014/main" id="{33CDF637-CCA3-461F-A9CB-B9E6A0AB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908</xdr:rowOff>
    </xdr:to>
    <xdr:pic>
      <xdr:nvPicPr>
        <xdr:cNvPr id="335" name="BExBDP6HNAAJUM39SE5G2C8BKNRQ" descr="1TM64TL2QIMYV7WYSV2VLGXY4" hidden="1">
          <a:extLst>
            <a:ext uri="{FF2B5EF4-FFF2-40B4-BE49-F238E27FC236}">
              <a16:creationId xmlns:a16="http://schemas.microsoft.com/office/drawing/2014/main" id="{201C3C74-3CE5-40D6-8009-DDEED774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36" name="BExQEGJP61DL2NZY6LMBHBZ0J5YT" descr="D6ZNRZJ7EX4GZT9RO8LE0C905" hidden="1">
          <a:extLst>
            <a:ext uri="{FF2B5EF4-FFF2-40B4-BE49-F238E27FC236}">
              <a16:creationId xmlns:a16="http://schemas.microsoft.com/office/drawing/2014/main" id="{E2D30CF3-30C4-43A2-BEAD-70B18132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60328</xdr:rowOff>
    </xdr:to>
    <xdr:pic>
      <xdr:nvPicPr>
        <xdr:cNvPr id="337" name="BExTY1BCS6HZIF6HI5491FGHDVAE" descr="MJ6976KI2UH1IE8M227DUYXMJ" hidden="1">
          <a:extLst>
            <a:ext uri="{FF2B5EF4-FFF2-40B4-BE49-F238E27FC236}">
              <a16:creationId xmlns:a16="http://schemas.microsoft.com/office/drawing/2014/main" id="{66D43FF4-F32D-4853-A8CB-3340C497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38" name="BEx5FXJGJOT93D0J2IRJ3985IUMI" hidden="1">
          <a:extLst>
            <a:ext uri="{FF2B5EF4-FFF2-40B4-BE49-F238E27FC236}">
              <a16:creationId xmlns:a16="http://schemas.microsoft.com/office/drawing/2014/main" id="{7086D069-F07E-4949-B902-DEDAD26C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39" name="BEx3RTMHAR35NUAAK49TV6NU7EPA" descr="QFXLG4ZCXTRQSJYFCKJ58G9N8" hidden="1">
          <a:extLst>
            <a:ext uri="{FF2B5EF4-FFF2-40B4-BE49-F238E27FC236}">
              <a16:creationId xmlns:a16="http://schemas.microsoft.com/office/drawing/2014/main" id="{051784C6-8136-455D-9A58-0D8D9612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40" name="BExS8T38WLC2R738ZC7BDJQAKJAJ" descr="MRI962L5PB0E0YWXCIBN82VJH" hidden="1">
          <a:extLst>
            <a:ext uri="{FF2B5EF4-FFF2-40B4-BE49-F238E27FC236}">
              <a16:creationId xmlns:a16="http://schemas.microsoft.com/office/drawing/2014/main" id="{833BB99B-6F10-4FFF-B172-039BE1DC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1" name="BEx5F64BJ6DCM4EJH81D5ZFNPZ0V" descr="7DJ9FILZD2YPS6X1JBP9E76TU" hidden="1">
          <a:extLst>
            <a:ext uri="{FF2B5EF4-FFF2-40B4-BE49-F238E27FC236}">
              <a16:creationId xmlns:a16="http://schemas.microsoft.com/office/drawing/2014/main" id="{022405AB-EA2B-4951-8845-90A7C7C0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2" name="BExQEXXHA3EEXR44LT6RKCDWM6ZT" hidden="1">
          <a:extLst>
            <a:ext uri="{FF2B5EF4-FFF2-40B4-BE49-F238E27FC236}">
              <a16:creationId xmlns:a16="http://schemas.microsoft.com/office/drawing/2014/main" id="{797383BB-DDFC-4B52-B4A9-43A0F135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43" name="BEx1X6AMHV6ZK3UJB2BXIJTJHYJU" descr="OALR4L95ELQLZ1Y1LETHM1CS9" hidden="1">
          <a:extLst>
            <a:ext uri="{FF2B5EF4-FFF2-40B4-BE49-F238E27FC236}">
              <a16:creationId xmlns:a16="http://schemas.microsoft.com/office/drawing/2014/main" id="{85038EAE-FA13-43FF-9EEC-76E5A696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44" name="BExSDIVCE09QKG3CT52PHCS6ZJ09" descr="9F076L7EQCF2COMMGCQG6BQGU" hidden="1">
          <a:extLst>
            <a:ext uri="{FF2B5EF4-FFF2-40B4-BE49-F238E27FC236}">
              <a16:creationId xmlns:a16="http://schemas.microsoft.com/office/drawing/2014/main" id="{EB400900-3A13-4D05-AE4F-8859B10BE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50344</xdr:rowOff>
    </xdr:to>
    <xdr:pic>
      <xdr:nvPicPr>
        <xdr:cNvPr id="345" name="BEx1QZGQZBAWJ8591VXEIPUOVS7X" descr="MEW27CPIFG44B7E7HEQUUF5QF" hidden="1">
          <a:extLst>
            <a:ext uri="{FF2B5EF4-FFF2-40B4-BE49-F238E27FC236}">
              <a16:creationId xmlns:a16="http://schemas.microsoft.com/office/drawing/2014/main" id="{93DB3B66-3AC9-4638-B304-A223A6797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98428</xdr:rowOff>
    </xdr:to>
    <xdr:pic>
      <xdr:nvPicPr>
        <xdr:cNvPr id="346" name="BExMF7LICJLPXSHM63A6EQ79YQKG" descr="U084VZL15IMB1OFRRAY6GVKAE" hidden="1">
          <a:extLst>
            <a:ext uri="{FF2B5EF4-FFF2-40B4-BE49-F238E27FC236}">
              <a16:creationId xmlns:a16="http://schemas.microsoft.com/office/drawing/2014/main" id="{DDC42BDB-0390-4B63-B3F2-70B9FDD1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47" name="BExS343F8GCKP6HTF9Y97L133DX8" descr="ZRF0KB1IYQSNV63CTXT25G67G" hidden="1">
          <a:extLst>
            <a:ext uri="{FF2B5EF4-FFF2-40B4-BE49-F238E27FC236}">
              <a16:creationId xmlns:a16="http://schemas.microsoft.com/office/drawing/2014/main" id="{976A959E-F841-496C-ACA8-329671FF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348" name="BExZMRC09W87CY4B73NPZMNH21AH" descr="78CUMI0OVLYJRSDRQ3V2YX812" hidden="1">
          <a:extLst>
            <a:ext uri="{FF2B5EF4-FFF2-40B4-BE49-F238E27FC236}">
              <a16:creationId xmlns:a16="http://schemas.microsoft.com/office/drawing/2014/main" id="{4062A83E-D8E7-4119-8FAE-9C6D62DF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98428</xdr:rowOff>
    </xdr:to>
    <xdr:pic>
      <xdr:nvPicPr>
        <xdr:cNvPr id="349" name="BExZXVFJ4DY4I24AARDT4AMP6EN1" descr="TXSMH2MTH86CYKA26740RQPUC" hidden="1">
          <a:extLst>
            <a:ext uri="{FF2B5EF4-FFF2-40B4-BE49-F238E27FC236}">
              <a16:creationId xmlns:a16="http://schemas.microsoft.com/office/drawing/2014/main" id="{6999D151-2E20-4C52-950C-91608624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50" name="BExOCUIOFQWUGTBU5ESTW3EYEP5C" descr="9BNF49V0R6VVYPHEVMJ3ABDQZ" hidden="1">
          <a:extLst>
            <a:ext uri="{FF2B5EF4-FFF2-40B4-BE49-F238E27FC236}">
              <a16:creationId xmlns:a16="http://schemas.microsoft.com/office/drawing/2014/main" id="{70BE5EA2-D553-4960-81EE-BFCEDCC8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22227</xdr:rowOff>
    </xdr:to>
    <xdr:pic>
      <xdr:nvPicPr>
        <xdr:cNvPr id="351" name="BExU65O9OE4B4MQ2A3OYH13M8BZJ" descr="3INNIMMPDBB0JF37L81M6ID21" hidden="1">
          <a:extLst>
            <a:ext uri="{FF2B5EF4-FFF2-40B4-BE49-F238E27FC236}">
              <a16:creationId xmlns:a16="http://schemas.microsoft.com/office/drawing/2014/main" id="{99A70C8F-9FDD-4F9C-A577-670AEF5D1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52" name="BExOPRCR0UW7TKXSV5WDTL348FGL" descr="S9JM17GP1802LHN4GT14BJYIC" hidden="1">
          <a:extLst>
            <a:ext uri="{FF2B5EF4-FFF2-40B4-BE49-F238E27FC236}">
              <a16:creationId xmlns:a16="http://schemas.microsoft.com/office/drawing/2014/main" id="{B761852F-BD4F-469D-8D46-3C1631B2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353" name="BEx5OESAY2W8SEGI3TSB65EHJ04B" descr="9CN2Y88X8WYV1HWZG1QILY9BK" hidden="1">
          <a:extLst>
            <a:ext uri="{FF2B5EF4-FFF2-40B4-BE49-F238E27FC236}">
              <a16:creationId xmlns:a16="http://schemas.microsoft.com/office/drawing/2014/main" id="{837AE1B6-2A5D-45DC-BC1D-8FAB2A989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54" name="BExGMWEQ2BYRY9BAO5T1X850MJN1" descr="AZ9ST0XDIOP50HSUFO5V31BR0" hidden="1">
          <a:extLst>
            <a:ext uri="{FF2B5EF4-FFF2-40B4-BE49-F238E27FC236}">
              <a16:creationId xmlns:a16="http://schemas.microsoft.com/office/drawing/2014/main" id="{B00C322F-8021-4D8D-B0B1-B3A0F1A6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436332</xdr:colOff>
      <xdr:row>79</xdr:row>
      <xdr:rowOff>54880</xdr:rowOff>
    </xdr:to>
    <xdr:pic>
      <xdr:nvPicPr>
        <xdr:cNvPr id="355" name="BExXRND8208TWULE9S50U89VKPB7" descr="ETUGZV0SKTQDQB8JOYY0DCX79" hidden="1">
          <a:extLst>
            <a:ext uri="{FF2B5EF4-FFF2-40B4-BE49-F238E27FC236}">
              <a16:creationId xmlns:a16="http://schemas.microsoft.com/office/drawing/2014/main" id="{28F7A6DA-8FE0-4F85-BA29-52A27E5C68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93212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56" name="BExMO7VFCN4EL59982UR4AJ25JNJ" descr="XX6TINEJADZGKR0CTM7ZRT0RA" hidden="1">
          <a:extLst>
            <a:ext uri="{FF2B5EF4-FFF2-40B4-BE49-F238E27FC236}">
              <a16:creationId xmlns:a16="http://schemas.microsoft.com/office/drawing/2014/main" id="{16C5D535-39EB-4DB5-83C5-0604A7AE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57" name="BExU3EX5JJCXCII4YKUJBFBGIJR2" descr="OF5ZI9PI5WH36VPANJ2DYLNMI" hidden="1">
          <a:extLst>
            <a:ext uri="{FF2B5EF4-FFF2-40B4-BE49-F238E27FC236}">
              <a16:creationId xmlns:a16="http://schemas.microsoft.com/office/drawing/2014/main" id="{C010286B-CDCB-465F-A7AE-298E1EB59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58" name="BEx1KD7H6UB1VYCJ7O61P562EIUY" descr="IQGV9140X0K0UPBL8OGU3I44J" hidden="1">
          <a:extLst>
            <a:ext uri="{FF2B5EF4-FFF2-40B4-BE49-F238E27FC236}">
              <a16:creationId xmlns:a16="http://schemas.microsoft.com/office/drawing/2014/main" id="{4196145F-A36A-492C-AF9B-515B12844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59" name="BEx5BJQWS6YWHH4ZMSUAMD641V6Y" descr="ZTMFMXCIQSECDX38ALEFHUB00" hidden="1">
          <a:extLst>
            <a:ext uri="{FF2B5EF4-FFF2-40B4-BE49-F238E27FC236}">
              <a16:creationId xmlns:a16="http://schemas.microsoft.com/office/drawing/2014/main" id="{395A5102-8722-4D1D-AA36-333F1DC3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60" name="BExVTO5Q8G2M7BPL4B2584LQS0R0" descr="OB6Q8NA4LZFE4GM9Y3V56BPMQ" hidden="1">
          <a:extLst>
            <a:ext uri="{FF2B5EF4-FFF2-40B4-BE49-F238E27FC236}">
              <a16:creationId xmlns:a16="http://schemas.microsoft.com/office/drawing/2014/main" id="{607675A4-6191-4648-938C-458FF328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801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61" name="BExIFSCLN1G86X78PFLTSMRP0US5" descr="9JK4SPV4DG7VTCZIILWHXQU5J" hidden="1">
          <a:extLst>
            <a:ext uri="{FF2B5EF4-FFF2-40B4-BE49-F238E27FC236}">
              <a16:creationId xmlns:a16="http://schemas.microsoft.com/office/drawing/2014/main" id="{2C6D41D3-B96E-4E88-A9B4-708AEB52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801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2" name="BEx1I152WN2D3A85O2XN0DGXCWHN" descr="KHBZFMANRA4UMJR1AB4M5NJNT" hidden="1">
          <a:extLst>
            <a:ext uri="{FF2B5EF4-FFF2-40B4-BE49-F238E27FC236}">
              <a16:creationId xmlns:a16="http://schemas.microsoft.com/office/drawing/2014/main" id="{6F80708F-ACAB-4FAB-9258-80E9CD494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3" name="BExW9676P0SKCVKK25QCGHPA3PAD" descr="9A4PWZ20RMSRF0PNECCDM75CA" hidden="1">
          <a:extLst>
            <a:ext uri="{FF2B5EF4-FFF2-40B4-BE49-F238E27FC236}">
              <a16:creationId xmlns:a16="http://schemas.microsoft.com/office/drawing/2014/main" id="{F196C4ED-1953-41FB-AB5D-DC83C522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64" name="BExW253QPOZK9KW8BJC3LBXGCG2N" descr="Y5HX37BEUWSN1NEFJKZJXI3SX" hidden="1">
          <a:extLst>
            <a:ext uri="{FF2B5EF4-FFF2-40B4-BE49-F238E27FC236}">
              <a16:creationId xmlns:a16="http://schemas.microsoft.com/office/drawing/2014/main" id="{6B7550B0-E370-4235-AE10-8A06B33C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5" name="BExS5CPQ8P8JOQPK7ANNKHLSGOKU" hidden="1">
          <a:extLst>
            <a:ext uri="{FF2B5EF4-FFF2-40B4-BE49-F238E27FC236}">
              <a16:creationId xmlns:a16="http://schemas.microsoft.com/office/drawing/2014/main" id="{8CBF6876-969A-4670-A379-7EFDCDFC1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6" name="BExMM0AVUAIRNJLXB1FW8R0YB4ZZ" hidden="1">
          <a:extLst>
            <a:ext uri="{FF2B5EF4-FFF2-40B4-BE49-F238E27FC236}">
              <a16:creationId xmlns:a16="http://schemas.microsoft.com/office/drawing/2014/main" id="{EAC21AF0-69F5-4791-B5C9-4F3BB4DB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7" name="BExXZ7Y09CBS0XA7IPB3IRJ8RJM4" hidden="1">
          <a:extLst>
            <a:ext uri="{FF2B5EF4-FFF2-40B4-BE49-F238E27FC236}">
              <a16:creationId xmlns:a16="http://schemas.microsoft.com/office/drawing/2014/main" id="{AE390058-4ACE-4FD4-B6D5-13A4156A6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8" name="BExQ7SXS9VUG7P6CACU2J7R2SGIZ" hidden="1">
          <a:extLst>
            <a:ext uri="{FF2B5EF4-FFF2-40B4-BE49-F238E27FC236}">
              <a16:creationId xmlns:a16="http://schemas.microsoft.com/office/drawing/2014/main" id="{F093DA89-B984-4A54-AFB3-5CB97DD8F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69" name="BEx5AQZ4ETQ9LMY5EBWVH20Z7VXQ" hidden="1">
          <a:extLst>
            <a:ext uri="{FF2B5EF4-FFF2-40B4-BE49-F238E27FC236}">
              <a16:creationId xmlns:a16="http://schemas.microsoft.com/office/drawing/2014/main" id="{4E5616FA-5073-4924-A6BD-B533A8A7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70" name="BExUBK0YZ5VYFY8TTITJGJU9S06A" hidden="1">
          <a:extLst>
            <a:ext uri="{FF2B5EF4-FFF2-40B4-BE49-F238E27FC236}">
              <a16:creationId xmlns:a16="http://schemas.microsoft.com/office/drawing/2014/main" id="{A8DC39C7-63DD-47CA-A823-9E824267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630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71" name="BExUEZCSSJ7RN4J18I2NUIQR2FZS" hidden="1">
          <a:extLst>
            <a:ext uri="{FF2B5EF4-FFF2-40B4-BE49-F238E27FC236}">
              <a16:creationId xmlns:a16="http://schemas.microsoft.com/office/drawing/2014/main" id="{277C4940-F142-4B93-BD1D-F12A3091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1935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72" name="BExS3JDQWF7U3F5JTEVOE16ASIYK" hidden="1">
          <a:extLst>
            <a:ext uri="{FF2B5EF4-FFF2-40B4-BE49-F238E27FC236}">
              <a16:creationId xmlns:a16="http://schemas.microsoft.com/office/drawing/2014/main" id="{EAA4E4E8-16CE-451D-B59C-752844869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1935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373" name="BEx973S463FCQVJ7QDFBUIU0WJ3F" descr="ZQTVYL8DCSADVT0QMRXFLU0TR" hidden="1">
          <a:extLst>
            <a:ext uri="{FF2B5EF4-FFF2-40B4-BE49-F238E27FC236}">
              <a16:creationId xmlns:a16="http://schemas.microsoft.com/office/drawing/2014/main" id="{DEC31721-2979-4E03-BF91-4A3F7787B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50344</xdr:rowOff>
    </xdr:to>
    <xdr:pic>
      <xdr:nvPicPr>
        <xdr:cNvPr id="374" name="BExRZO0PLWWMCLGRH7EH6UXYWGAJ" descr="9D4GQ34QB727H10MA3SSAR2R9" hidden="1">
          <a:extLst>
            <a:ext uri="{FF2B5EF4-FFF2-40B4-BE49-F238E27FC236}">
              <a16:creationId xmlns:a16="http://schemas.microsoft.com/office/drawing/2014/main" id="{AD29BF2D-5A56-4623-938A-BCA0926C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908</xdr:rowOff>
    </xdr:to>
    <xdr:pic>
      <xdr:nvPicPr>
        <xdr:cNvPr id="375" name="BExBDP6HNAAJUM39SE5G2C8BKNRQ" descr="1TM64TL2QIMYV7WYSV2VLGXY4" hidden="1">
          <a:extLst>
            <a:ext uri="{FF2B5EF4-FFF2-40B4-BE49-F238E27FC236}">
              <a16:creationId xmlns:a16="http://schemas.microsoft.com/office/drawing/2014/main" id="{F16FA5CF-2472-44D9-B414-9FE25C0C0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76" name="BExQEGJP61DL2NZY6LMBHBZ0J5YT" descr="D6ZNRZJ7EX4GZT9RO8LE0C905" hidden="1">
          <a:extLst>
            <a:ext uri="{FF2B5EF4-FFF2-40B4-BE49-F238E27FC236}">
              <a16:creationId xmlns:a16="http://schemas.microsoft.com/office/drawing/2014/main" id="{5A67A5A6-60E6-476E-930C-0EC5C0FA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60328</xdr:rowOff>
    </xdr:to>
    <xdr:pic>
      <xdr:nvPicPr>
        <xdr:cNvPr id="377" name="BExTY1BCS6HZIF6HI5491FGHDVAE" descr="MJ6976KI2UH1IE8M227DUYXMJ" hidden="1">
          <a:extLst>
            <a:ext uri="{FF2B5EF4-FFF2-40B4-BE49-F238E27FC236}">
              <a16:creationId xmlns:a16="http://schemas.microsoft.com/office/drawing/2014/main" id="{BFAE7CDC-EBD2-4561-89ED-68738CFFA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78" name="BEx5FXJGJOT93D0J2IRJ3985IUMI" hidden="1">
          <a:extLst>
            <a:ext uri="{FF2B5EF4-FFF2-40B4-BE49-F238E27FC236}">
              <a16:creationId xmlns:a16="http://schemas.microsoft.com/office/drawing/2014/main" id="{55A4DB93-4A85-43F7-97C0-3C5B6FFE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79" name="BEx3RTMHAR35NUAAK49TV6NU7EPA" descr="QFXLG4ZCXTRQSJYFCKJ58G9N8" hidden="1">
          <a:extLst>
            <a:ext uri="{FF2B5EF4-FFF2-40B4-BE49-F238E27FC236}">
              <a16:creationId xmlns:a16="http://schemas.microsoft.com/office/drawing/2014/main" id="{C7D8B480-D0B1-4988-BA69-F01244744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80" name="BExS8T38WLC2R738ZC7BDJQAKJAJ" descr="MRI962L5PB0E0YWXCIBN82VJH" hidden="1">
          <a:extLst>
            <a:ext uri="{FF2B5EF4-FFF2-40B4-BE49-F238E27FC236}">
              <a16:creationId xmlns:a16="http://schemas.microsoft.com/office/drawing/2014/main" id="{792C7FF6-D217-4A4D-99C6-BB21E4B2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1" name="BEx5F64BJ6DCM4EJH81D5ZFNPZ0V" descr="7DJ9FILZD2YPS6X1JBP9E76TU" hidden="1">
          <a:extLst>
            <a:ext uri="{FF2B5EF4-FFF2-40B4-BE49-F238E27FC236}">
              <a16:creationId xmlns:a16="http://schemas.microsoft.com/office/drawing/2014/main" id="{4FEBDC16-4121-4B13-973D-0E978A33A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2" name="BExQEXXHA3EEXR44LT6RKCDWM6ZT" hidden="1">
          <a:extLst>
            <a:ext uri="{FF2B5EF4-FFF2-40B4-BE49-F238E27FC236}">
              <a16:creationId xmlns:a16="http://schemas.microsoft.com/office/drawing/2014/main" id="{23BF0E44-A842-441A-8505-47FCBAD9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172355</xdr:rowOff>
    </xdr:to>
    <xdr:pic>
      <xdr:nvPicPr>
        <xdr:cNvPr id="383" name="BEx1X6AMHV6ZK3UJB2BXIJTJHYJU" descr="OALR4L95ELQLZ1Y1LETHM1CS9" hidden="1">
          <a:extLst>
            <a:ext uri="{FF2B5EF4-FFF2-40B4-BE49-F238E27FC236}">
              <a16:creationId xmlns:a16="http://schemas.microsoft.com/office/drawing/2014/main" id="{8FA62488-5AC6-480B-B717-9899AAEAA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84" name="BExSDIVCE09QKG3CT52PHCS6ZJ09" descr="9F076L7EQCF2COMMGCQG6BQGU" hidden="1">
          <a:extLst>
            <a:ext uri="{FF2B5EF4-FFF2-40B4-BE49-F238E27FC236}">
              <a16:creationId xmlns:a16="http://schemas.microsoft.com/office/drawing/2014/main" id="{A0F0D887-10D9-4C06-A766-0E6E31324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50344</xdr:rowOff>
    </xdr:to>
    <xdr:pic>
      <xdr:nvPicPr>
        <xdr:cNvPr id="385" name="BEx1QZGQZBAWJ8591VXEIPUOVS7X" descr="MEW27CPIFG44B7E7HEQUUF5QF" hidden="1">
          <a:extLst>
            <a:ext uri="{FF2B5EF4-FFF2-40B4-BE49-F238E27FC236}">
              <a16:creationId xmlns:a16="http://schemas.microsoft.com/office/drawing/2014/main" id="{6FCAA4DD-B379-4206-9224-2F61666B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98428</xdr:rowOff>
    </xdr:to>
    <xdr:pic>
      <xdr:nvPicPr>
        <xdr:cNvPr id="386" name="BExMF7LICJLPXSHM63A6EQ79YQKG" descr="U084VZL15IMB1OFRRAY6GVKAE" hidden="1">
          <a:extLst>
            <a:ext uri="{FF2B5EF4-FFF2-40B4-BE49-F238E27FC236}">
              <a16:creationId xmlns:a16="http://schemas.microsoft.com/office/drawing/2014/main" id="{D4741070-4CAB-492D-A5A2-998125E5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87" name="BExS343F8GCKP6HTF9Y97L133DX8" descr="ZRF0KB1IYQSNV63CTXT25G67G" hidden="1">
          <a:extLst>
            <a:ext uri="{FF2B5EF4-FFF2-40B4-BE49-F238E27FC236}">
              <a16:creationId xmlns:a16="http://schemas.microsoft.com/office/drawing/2014/main" id="{BCB2A665-60C5-4F18-A91C-842D8EE1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15423</xdr:rowOff>
    </xdr:to>
    <xdr:pic>
      <xdr:nvPicPr>
        <xdr:cNvPr id="388" name="BExZMRC09W87CY4B73NPZMNH21AH" descr="78CUMI0OVLYJRSDRQ3V2YX812" hidden="1">
          <a:extLst>
            <a:ext uri="{FF2B5EF4-FFF2-40B4-BE49-F238E27FC236}">
              <a16:creationId xmlns:a16="http://schemas.microsoft.com/office/drawing/2014/main" id="{7DD69BD1-46F3-4058-9D35-ACFD7788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06138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98428</xdr:rowOff>
    </xdr:to>
    <xdr:pic>
      <xdr:nvPicPr>
        <xdr:cNvPr id="389" name="BExZXVFJ4DY4I24AARDT4AMP6EN1" descr="TXSMH2MTH86CYKA26740RQPUC" hidden="1">
          <a:extLst>
            <a:ext uri="{FF2B5EF4-FFF2-40B4-BE49-F238E27FC236}">
              <a16:creationId xmlns:a16="http://schemas.microsoft.com/office/drawing/2014/main" id="{8C04F1F1-393F-4347-8E49-43E9E74C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172355</xdr:rowOff>
    </xdr:to>
    <xdr:pic>
      <xdr:nvPicPr>
        <xdr:cNvPr id="390" name="BExOCUIOFQWUGTBU5ESTW3EYEP5C" descr="9BNF49V0R6VVYPHEVMJ3ABDQZ" hidden="1">
          <a:extLst>
            <a:ext uri="{FF2B5EF4-FFF2-40B4-BE49-F238E27FC236}">
              <a16:creationId xmlns:a16="http://schemas.microsoft.com/office/drawing/2014/main" id="{DE16C54C-F002-4E1D-9534-2083F2507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41966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22227</xdr:rowOff>
    </xdr:to>
    <xdr:pic>
      <xdr:nvPicPr>
        <xdr:cNvPr id="391" name="BExU65O9OE4B4MQ2A3OYH13M8BZJ" descr="3INNIMMPDBB0JF37L81M6ID21" hidden="1">
          <a:extLst>
            <a:ext uri="{FF2B5EF4-FFF2-40B4-BE49-F238E27FC236}">
              <a16:creationId xmlns:a16="http://schemas.microsoft.com/office/drawing/2014/main" id="{7F884080-95CE-41E1-97BE-BBF5EFCA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1105" cy="120652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92" name="BExOPRCR0UW7TKXSV5WDTL348FGL" descr="S9JM17GP1802LHN4GT14BJYIC" hidden="1">
          <a:extLst>
            <a:ext uri="{FF2B5EF4-FFF2-40B4-BE49-F238E27FC236}">
              <a16:creationId xmlns:a16="http://schemas.microsoft.com/office/drawing/2014/main" id="{A3AB4B68-883B-4FF0-A28E-85483968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139248</xdr:rowOff>
    </xdr:to>
    <xdr:pic>
      <xdr:nvPicPr>
        <xdr:cNvPr id="393" name="BEx5OESAY2W8SEGI3TSB65EHJ04B" descr="9CN2Y88X8WYV1HWZG1QILY9BK" hidden="1">
          <a:extLst>
            <a:ext uri="{FF2B5EF4-FFF2-40B4-BE49-F238E27FC236}">
              <a16:creationId xmlns:a16="http://schemas.microsoft.com/office/drawing/2014/main" id="{CBF2973E-05B7-4A7E-A708-9FC23E258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94" name="BExGMWEQ2BYRY9BAO5T1X850MJN1" descr="AZ9ST0XDIOP50HSUFO5V31BR0" hidden="1">
          <a:extLst>
            <a:ext uri="{FF2B5EF4-FFF2-40B4-BE49-F238E27FC236}">
              <a16:creationId xmlns:a16="http://schemas.microsoft.com/office/drawing/2014/main" id="{1619BDB1-1A2F-4D1E-8F62-C70E44DD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436332</xdr:colOff>
      <xdr:row>79</xdr:row>
      <xdr:rowOff>54880</xdr:rowOff>
    </xdr:to>
    <xdr:pic>
      <xdr:nvPicPr>
        <xdr:cNvPr id="395" name="BExXRND8208TWULE9S50U89VKPB7" descr="ETUGZV0SKTQDQB8JOYY0DCX79" hidden="1">
          <a:extLst>
            <a:ext uri="{FF2B5EF4-FFF2-40B4-BE49-F238E27FC236}">
              <a16:creationId xmlns:a16="http://schemas.microsoft.com/office/drawing/2014/main" id="{A3EBE7F3-0621-4F37-B5C1-8CA1C56893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7393212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396" name="BExMO7VFCN4EL59982UR4AJ25JNJ" descr="XX6TINEJADZGKR0CTM7ZRT0RA" hidden="1">
          <a:extLst>
            <a:ext uri="{FF2B5EF4-FFF2-40B4-BE49-F238E27FC236}">
              <a16:creationId xmlns:a16="http://schemas.microsoft.com/office/drawing/2014/main" id="{5DF20384-8B3D-41B4-8379-5E3262A6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397" name="BExU3EX5JJCXCII4YKUJBFBGIJR2" descr="OF5ZI9PI5WH36VPANJ2DYLNMI" hidden="1">
          <a:extLst>
            <a:ext uri="{FF2B5EF4-FFF2-40B4-BE49-F238E27FC236}">
              <a16:creationId xmlns:a16="http://schemas.microsoft.com/office/drawing/2014/main" id="{570B5C2E-13AC-4A47-B893-5E157ADD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398" name="BEx1KD7H6UB1VYCJ7O61P562EIUY" descr="IQGV9140X0K0UPBL8OGU3I44J" hidden="1">
          <a:extLst>
            <a:ext uri="{FF2B5EF4-FFF2-40B4-BE49-F238E27FC236}">
              <a16:creationId xmlns:a16="http://schemas.microsoft.com/office/drawing/2014/main" id="{8A69D4A0-A487-4A1F-B58D-A0D9B900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399" name="BEx5BJQWS6YWHH4ZMSUAMD641V6Y" descr="ZTMFMXCIQSECDX38ALEFHUB00" hidden="1">
          <a:extLst>
            <a:ext uri="{FF2B5EF4-FFF2-40B4-BE49-F238E27FC236}">
              <a16:creationId xmlns:a16="http://schemas.microsoft.com/office/drawing/2014/main" id="{30AD3C86-E93F-49CA-970E-FCBDA0A4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400" name="BExVTO5Q8G2M7BPL4B2584LQS0R0" descr="OB6Q8NA4LZFE4GM9Y3V56BPMQ" hidden="1">
          <a:extLst>
            <a:ext uri="{FF2B5EF4-FFF2-40B4-BE49-F238E27FC236}">
              <a16:creationId xmlns:a16="http://schemas.microsoft.com/office/drawing/2014/main" id="{1655ACD8-4917-4D80-8238-BDE3382B5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4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401" name="BExIFSCLN1G86X78PFLTSMRP0US5" descr="9JK4SPV4DG7VTCZIILWHXQU5J" hidden="1">
          <a:extLst>
            <a:ext uri="{FF2B5EF4-FFF2-40B4-BE49-F238E27FC236}">
              <a16:creationId xmlns:a16="http://schemas.microsoft.com/office/drawing/2014/main" id="{9260A05D-3895-4D94-B576-ED3EB69D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864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2" name="BEx1I152WN2D3A85O2XN0DGXCWHN" descr="KHBZFMANRA4UMJR1AB4M5NJNT" hidden="1">
          <a:extLst>
            <a:ext uri="{FF2B5EF4-FFF2-40B4-BE49-F238E27FC236}">
              <a16:creationId xmlns:a16="http://schemas.microsoft.com/office/drawing/2014/main" id="{B6985174-9E33-4EB3-AC02-BA117697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3" name="BExW9676P0SKCVKK25QCGHPA3PAD" descr="9A4PWZ20RMSRF0PNECCDM75CA" hidden="1">
          <a:extLst>
            <a:ext uri="{FF2B5EF4-FFF2-40B4-BE49-F238E27FC236}">
              <a16:creationId xmlns:a16="http://schemas.microsoft.com/office/drawing/2014/main" id="{DD24C265-2611-454E-9D62-54454A315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404" name="BExW253QPOZK9KW8BJC3LBXGCG2N" descr="Y5HX37BEUWSN1NEFJKZJXI3SX" hidden="1">
          <a:extLst>
            <a:ext uri="{FF2B5EF4-FFF2-40B4-BE49-F238E27FC236}">
              <a16:creationId xmlns:a16="http://schemas.microsoft.com/office/drawing/2014/main" id="{2CDE2038-FB5F-4769-A148-02EB1F51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76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5" name="BExS5CPQ8P8JOQPK7ANNKHLSGOKU" hidden="1">
          <a:extLst>
            <a:ext uri="{FF2B5EF4-FFF2-40B4-BE49-F238E27FC236}">
              <a16:creationId xmlns:a16="http://schemas.microsoft.com/office/drawing/2014/main" id="{94DC90BA-D87D-4969-B5FF-57325563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6" name="BExMM0AVUAIRNJLXB1FW8R0YB4ZZ" hidden="1">
          <a:extLst>
            <a:ext uri="{FF2B5EF4-FFF2-40B4-BE49-F238E27FC236}">
              <a16:creationId xmlns:a16="http://schemas.microsoft.com/office/drawing/2014/main" id="{3EAA6EB9-00D6-44E5-8C77-48EC232A2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7" name="BExXZ7Y09CBS0XA7IPB3IRJ8RJM4" hidden="1">
          <a:extLst>
            <a:ext uri="{FF2B5EF4-FFF2-40B4-BE49-F238E27FC236}">
              <a16:creationId xmlns:a16="http://schemas.microsoft.com/office/drawing/2014/main" id="{A0295057-9849-4145-AC07-7D331CFF3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8" name="BExQ7SXS9VUG7P6CACU2J7R2SGIZ" hidden="1">
          <a:extLst>
            <a:ext uri="{FF2B5EF4-FFF2-40B4-BE49-F238E27FC236}">
              <a16:creationId xmlns:a16="http://schemas.microsoft.com/office/drawing/2014/main" id="{54661067-6100-425D-830E-D3E8F4CC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409" name="BEx5AQZ4ETQ9LMY5EBWVH20Z7VXQ" hidden="1">
          <a:extLst>
            <a:ext uri="{FF2B5EF4-FFF2-40B4-BE49-F238E27FC236}">
              <a16:creationId xmlns:a16="http://schemas.microsoft.com/office/drawing/2014/main" id="{B6684241-3820-41E5-9361-4DECACB4E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97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410" name="BExUBK0YZ5VYFY8TTITJGJU9S06A" hidden="1">
          <a:extLst>
            <a:ext uri="{FF2B5EF4-FFF2-40B4-BE49-F238E27FC236}">
              <a16:creationId xmlns:a16="http://schemas.microsoft.com/office/drawing/2014/main" id="{575A50EC-D444-401E-8F72-BACCFFB4C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97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411" name="BExUEZCSSJ7RN4J18I2NUIQR2FZS" hidden="1">
          <a:extLst>
            <a:ext uri="{FF2B5EF4-FFF2-40B4-BE49-F238E27FC236}">
              <a16:creationId xmlns:a16="http://schemas.microsoft.com/office/drawing/2014/main" id="{4375F8FF-D46E-47CF-9EAB-075E15993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691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412" name="BExS3JDQWF7U3F5JTEVOE16ASIYK" hidden="1">
          <a:extLst>
            <a:ext uri="{FF2B5EF4-FFF2-40B4-BE49-F238E27FC236}">
              <a16:creationId xmlns:a16="http://schemas.microsoft.com/office/drawing/2014/main" id="{0A27B75E-0AD6-49D6-BAF2-F591AEEA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9691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13" name="BEx973S463FCQVJ7QDFBUIU0WJ3F" descr="ZQTVYL8DCSADVT0QMRXFLU0TR" hidden="1">
          <a:extLst>
            <a:ext uri="{FF2B5EF4-FFF2-40B4-BE49-F238E27FC236}">
              <a16:creationId xmlns:a16="http://schemas.microsoft.com/office/drawing/2014/main" id="{D96E2176-2C2B-49D7-BAA7-75FB6FAE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414" name="BExRZO0PLWWMCLGRH7EH6UXYWGAJ" descr="9D4GQ34QB727H10MA3SSAR2R9" hidden="1">
          <a:extLst>
            <a:ext uri="{FF2B5EF4-FFF2-40B4-BE49-F238E27FC236}">
              <a16:creationId xmlns:a16="http://schemas.microsoft.com/office/drawing/2014/main" id="{88D027BF-B252-42A0-A37C-19B539A2D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415" name="BExBDP6HNAAJUM39SE5G2C8BKNRQ" descr="1TM64TL2QIMYV7WYSV2VLGXY4" hidden="1">
          <a:extLst>
            <a:ext uri="{FF2B5EF4-FFF2-40B4-BE49-F238E27FC236}">
              <a16:creationId xmlns:a16="http://schemas.microsoft.com/office/drawing/2014/main" id="{7229EF52-5EE1-46FE-B4A4-1B14F0FB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416" name="BExQEGJP61DL2NZY6LMBHBZ0J5YT" descr="D6ZNRZJ7EX4GZT9RO8LE0C905" hidden="1">
          <a:extLst>
            <a:ext uri="{FF2B5EF4-FFF2-40B4-BE49-F238E27FC236}">
              <a16:creationId xmlns:a16="http://schemas.microsoft.com/office/drawing/2014/main" id="{F9286074-118C-4BAC-AC21-4248E44C7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417" name="BExTY1BCS6HZIF6HI5491FGHDVAE" descr="MJ6976KI2UH1IE8M227DUYXMJ" hidden="1">
          <a:extLst>
            <a:ext uri="{FF2B5EF4-FFF2-40B4-BE49-F238E27FC236}">
              <a16:creationId xmlns:a16="http://schemas.microsoft.com/office/drawing/2014/main" id="{A41A4C22-65F3-448F-BF4F-12C02869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18" name="BEx5FXJGJOT93D0J2IRJ3985IUMI" hidden="1">
          <a:extLst>
            <a:ext uri="{FF2B5EF4-FFF2-40B4-BE49-F238E27FC236}">
              <a16:creationId xmlns:a16="http://schemas.microsoft.com/office/drawing/2014/main" id="{7F786855-F5F8-42B8-9137-56B1F42A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19" name="BEx3RTMHAR35NUAAK49TV6NU7EPA" descr="QFXLG4ZCXTRQSJYFCKJ58G9N8" hidden="1">
          <a:extLst>
            <a:ext uri="{FF2B5EF4-FFF2-40B4-BE49-F238E27FC236}">
              <a16:creationId xmlns:a16="http://schemas.microsoft.com/office/drawing/2014/main" id="{4E0EF28B-52D8-4C92-BC3B-8BADA591F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420" name="BExS8T38WLC2R738ZC7BDJQAKJAJ" descr="MRI962L5PB0E0YWXCIBN82VJH" hidden="1">
          <a:extLst>
            <a:ext uri="{FF2B5EF4-FFF2-40B4-BE49-F238E27FC236}">
              <a16:creationId xmlns:a16="http://schemas.microsoft.com/office/drawing/2014/main" id="{666F8498-07CC-4AE3-9950-E590AFA2A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1" name="BEx5F64BJ6DCM4EJH81D5ZFNPZ0V" descr="7DJ9FILZD2YPS6X1JBP9E76TU" hidden="1">
          <a:extLst>
            <a:ext uri="{FF2B5EF4-FFF2-40B4-BE49-F238E27FC236}">
              <a16:creationId xmlns:a16="http://schemas.microsoft.com/office/drawing/2014/main" id="{77E24456-B74B-4BD8-A071-AF1C4351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2" name="BExQEXXHA3EEXR44LT6RKCDWM6ZT" hidden="1">
          <a:extLst>
            <a:ext uri="{FF2B5EF4-FFF2-40B4-BE49-F238E27FC236}">
              <a16:creationId xmlns:a16="http://schemas.microsoft.com/office/drawing/2014/main" id="{C6B980B0-9771-445F-B4C7-C1AB4DF0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423" name="BEx1X6AMHV6ZK3UJB2BXIJTJHYJU" descr="OALR4L95ELQLZ1Y1LETHM1CS9" hidden="1">
          <a:extLst>
            <a:ext uri="{FF2B5EF4-FFF2-40B4-BE49-F238E27FC236}">
              <a16:creationId xmlns:a16="http://schemas.microsoft.com/office/drawing/2014/main" id="{727248F7-DF09-4010-9425-64769F9C5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75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24" name="BExSDIVCE09QKG3CT52PHCS6ZJ09" descr="9F076L7EQCF2COMMGCQG6BQGU" hidden="1">
          <a:extLst>
            <a:ext uri="{FF2B5EF4-FFF2-40B4-BE49-F238E27FC236}">
              <a16:creationId xmlns:a16="http://schemas.microsoft.com/office/drawing/2014/main" id="{38B68B5D-F19A-4A57-BE89-F6844FF7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425" name="BEx1QZGQZBAWJ8591VXEIPUOVS7X" descr="MEW27CPIFG44B7E7HEQUUF5QF" hidden="1">
          <a:extLst>
            <a:ext uri="{FF2B5EF4-FFF2-40B4-BE49-F238E27FC236}">
              <a16:creationId xmlns:a16="http://schemas.microsoft.com/office/drawing/2014/main" id="{273838CA-BC05-49AD-B0DD-E9C808C5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426" name="BExMF7LICJLPXSHM63A6EQ79YQKG" descr="U084VZL15IMB1OFRRAY6GVKAE" hidden="1">
          <a:extLst>
            <a:ext uri="{FF2B5EF4-FFF2-40B4-BE49-F238E27FC236}">
              <a16:creationId xmlns:a16="http://schemas.microsoft.com/office/drawing/2014/main" id="{25D3C520-2B22-44F2-B93B-A0B01673D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427" name="BExS343F8GCKP6HTF9Y97L133DX8" descr="ZRF0KB1IYQSNV63CTXT25G67G" hidden="1">
          <a:extLst>
            <a:ext uri="{FF2B5EF4-FFF2-40B4-BE49-F238E27FC236}">
              <a16:creationId xmlns:a16="http://schemas.microsoft.com/office/drawing/2014/main" id="{855EB613-4213-4602-8B1C-4F49DF728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428" name="BExZMRC09W87CY4B73NPZMNH21AH" descr="78CUMI0OVLYJRSDRQ3V2YX812" hidden="1">
          <a:extLst>
            <a:ext uri="{FF2B5EF4-FFF2-40B4-BE49-F238E27FC236}">
              <a16:creationId xmlns:a16="http://schemas.microsoft.com/office/drawing/2014/main" id="{5F498770-DB03-4A19-8192-080B30DE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429" name="BExZXVFJ4DY4I24AARDT4AMP6EN1" descr="TXSMH2MTH86CYKA26740RQPUC" hidden="1">
          <a:extLst>
            <a:ext uri="{FF2B5EF4-FFF2-40B4-BE49-F238E27FC236}">
              <a16:creationId xmlns:a16="http://schemas.microsoft.com/office/drawing/2014/main" id="{6BA9324B-AFBF-48A6-8B55-86D21D77C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430" name="BExOCUIOFQWUGTBU5ESTW3EYEP5C" descr="9BNF49V0R6VVYPHEVMJ3ABDQZ" hidden="1">
          <a:extLst>
            <a:ext uri="{FF2B5EF4-FFF2-40B4-BE49-F238E27FC236}">
              <a16:creationId xmlns:a16="http://schemas.microsoft.com/office/drawing/2014/main" id="{3B064F42-B65C-488D-AF54-1A1C486E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431" name="BExU65O9OE4B4MQ2A3OYH13M8BZJ" descr="3INNIMMPDBB0JF37L81M6ID21" hidden="1">
          <a:extLst>
            <a:ext uri="{FF2B5EF4-FFF2-40B4-BE49-F238E27FC236}">
              <a16:creationId xmlns:a16="http://schemas.microsoft.com/office/drawing/2014/main" id="{71AA49E9-2ADA-43C9-8D64-21017F5E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432" name="BExOPRCR0UW7TKXSV5WDTL348FGL" descr="S9JM17GP1802LHN4GT14BJYIC" hidden="1">
          <a:extLst>
            <a:ext uri="{FF2B5EF4-FFF2-40B4-BE49-F238E27FC236}">
              <a16:creationId xmlns:a16="http://schemas.microsoft.com/office/drawing/2014/main" id="{5131FD9D-641A-4D58-8160-30EA17726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33" name="BEx5OESAY2W8SEGI3TSB65EHJ04B" descr="9CN2Y88X8WYV1HWZG1QILY9BK" hidden="1">
          <a:extLst>
            <a:ext uri="{FF2B5EF4-FFF2-40B4-BE49-F238E27FC236}">
              <a16:creationId xmlns:a16="http://schemas.microsoft.com/office/drawing/2014/main" id="{F3178BBE-8DD2-43A9-879D-91C44976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34" name="BExGMWEQ2BYRY9BAO5T1X850MJN1" descr="AZ9ST0XDIOP50HSUFO5V31BR0" hidden="1">
          <a:extLst>
            <a:ext uri="{FF2B5EF4-FFF2-40B4-BE49-F238E27FC236}">
              <a16:creationId xmlns:a16="http://schemas.microsoft.com/office/drawing/2014/main" id="{1FAFD4F6-626F-4C8A-B8F0-C28B6120D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3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BF79DEFE-0856-4ADB-9DB7-DB9F4E3B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DD2CE0C5-FF40-497B-97BD-1E2E6AD5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F6E0E1BD-3FB8-4922-80C1-597A7D04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9356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C0005693-FFE4-4F14-BFB4-DE577E97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9356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2</xdr:col>
      <xdr:colOff>28575</xdr:colOff>
      <xdr:row>0</xdr:row>
      <xdr:rowOff>9525</xdr:rowOff>
    </xdr:from>
    <xdr:to>
      <xdr:col>2</xdr:col>
      <xdr:colOff>76200</xdr:colOff>
      <xdr:row>0</xdr:row>
      <xdr:rowOff>57150</xdr:rowOff>
    </xdr:to>
    <xdr:pic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83E8DC41-2C7B-460C-B8B3-3D53180B3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026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28575</xdr:colOff>
      <xdr:row>0</xdr:row>
      <xdr:rowOff>85725</xdr:rowOff>
    </xdr:from>
    <xdr:to>
      <xdr:col>2</xdr:col>
      <xdr:colOff>76200</xdr:colOff>
      <xdr:row>0</xdr:row>
      <xdr:rowOff>133350</xdr:rowOff>
    </xdr:to>
    <xdr:pic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30228D6C-B18F-4F09-BCC2-6D314AA6C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026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9B3BA02E-6D87-4978-AC17-CB609134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3D00959F-6292-41F8-9241-8A5DEB45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152400</xdr:colOff>
      <xdr:row>2</xdr:row>
      <xdr:rowOff>19955</xdr:rowOff>
    </xdr:to>
    <xdr:pic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2B5A12A6-CBD8-472C-8797-4ECCAFE82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25639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AB23729E-AE44-4520-91E3-A3D68F26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777C5171-6D51-4E3F-B001-7C167580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57150</xdr:rowOff>
    </xdr:to>
    <xdr:pic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06B3EF74-79DF-4000-85A1-0DB45B71B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133350</xdr:rowOff>
    </xdr:to>
    <xdr:pic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B7326CDF-9AF4-4132-8E03-C7D2CDC1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9525</xdr:rowOff>
    </xdr:from>
    <xdr:to>
      <xdr:col>1</xdr:col>
      <xdr:colOff>76200</xdr:colOff>
      <xdr:row>0</xdr:row>
      <xdr:rowOff>57150</xdr:rowOff>
    </xdr:to>
    <xdr:pic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CA63AAC2-2832-4964-913D-2140518A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93561" y="113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28575</xdr:colOff>
      <xdr:row>0</xdr:row>
      <xdr:rowOff>85725</xdr:rowOff>
    </xdr:from>
    <xdr:to>
      <xdr:col>1</xdr:col>
      <xdr:colOff>76200</xdr:colOff>
      <xdr:row>0</xdr:row>
      <xdr:rowOff>133350</xdr:rowOff>
    </xdr:to>
    <xdr:pic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4C6427A6-6B64-4FD5-870A-90A89E02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93561" y="87539"/>
          <a:ext cx="49439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9525</xdr:rowOff>
    </xdr:from>
    <xdr:to>
      <xdr:col>2</xdr:col>
      <xdr:colOff>96155</xdr:colOff>
      <xdr:row>0</xdr:row>
      <xdr:rowOff>57150</xdr:rowOff>
    </xdr:to>
    <xdr:pic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9FA9FD42-D49D-4573-9722-8CACEEF29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41600" y="113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2</xdr:col>
      <xdr:colOff>38100</xdr:colOff>
      <xdr:row>0</xdr:row>
      <xdr:rowOff>85725</xdr:rowOff>
    </xdr:from>
    <xdr:to>
      <xdr:col>2</xdr:col>
      <xdr:colOff>96155</xdr:colOff>
      <xdr:row>0</xdr:row>
      <xdr:rowOff>133350</xdr:rowOff>
    </xdr:to>
    <xdr:pic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17074B97-D6C9-4CA8-B5E5-ECA1D4475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41600" y="87539"/>
          <a:ext cx="55334" cy="430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135165</xdr:rowOff>
    </xdr:to>
    <xdr:pic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30CAC593-6F1D-46D7-B951-E167CED1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19290" cy="1211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209550</xdr:colOff>
      <xdr:row>8</xdr:row>
      <xdr:rowOff>61230</xdr:rowOff>
    </xdr:to>
    <xdr:pic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4DA5759A-4820-428C-B097-C11A8BEB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171450</xdr:colOff>
      <xdr:row>9</xdr:row>
      <xdr:rowOff>3175</xdr:rowOff>
    </xdr:to>
    <xdr:pic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19BBE9B7-90A4-402B-A953-58D8B917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19290" cy="1347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171450</xdr:colOff>
      <xdr:row>9</xdr:row>
      <xdr:rowOff>134255</xdr:rowOff>
    </xdr:to>
    <xdr:pic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6CE525A9-9EE4-4FA1-AA03-BB661BD5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171450</xdr:colOff>
      <xdr:row>10</xdr:row>
      <xdr:rowOff>62140</xdr:rowOff>
    </xdr:to>
    <xdr:pic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49EEDC95-ADDE-4C86-86D0-02A99EC5E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19955</xdr:rowOff>
    </xdr:to>
    <xdr:pic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E9843313-0933-4A2F-A6E0-EC86429D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D2C548D8-6300-46FC-B1E6-48462FE8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209550</xdr:colOff>
      <xdr:row>3</xdr:row>
      <xdr:rowOff>96155</xdr:rowOff>
    </xdr:to>
    <xdr:pic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35BFBB4B-01E0-47AD-84D2-E48BC36F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19955</xdr:rowOff>
    </xdr:to>
    <xdr:pic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34C5E713-AC84-41A5-BC49-D153DD7C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19955</xdr:rowOff>
    </xdr:to>
    <xdr:pic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B4E3F063-B8C5-471A-8F20-7EFD5088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209550</xdr:colOff>
      <xdr:row>4</xdr:row>
      <xdr:rowOff>169180</xdr:rowOff>
    </xdr:to>
    <xdr:pic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4F3FF72D-512C-4790-ADC5-28AB3301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19290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133350</xdr:colOff>
      <xdr:row>1</xdr:row>
      <xdr:rowOff>58965</xdr:rowOff>
    </xdr:to>
    <xdr:pic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FD4E88E2-FE87-4F53-B856-A94C95DAD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171450</xdr:colOff>
      <xdr:row>8</xdr:row>
      <xdr:rowOff>61230</xdr:rowOff>
    </xdr:to>
    <xdr:pic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0AD8DE03-36EB-4FEA-B235-F59D5651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171450</xdr:colOff>
      <xdr:row>7</xdr:row>
      <xdr:rowOff>100240</xdr:rowOff>
    </xdr:to>
    <xdr:pic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3D613A3C-3EE3-4EC4-81A4-877F32D86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171450</xdr:colOff>
      <xdr:row>6</xdr:row>
      <xdr:rowOff>172355</xdr:rowOff>
    </xdr:to>
    <xdr:pic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0FC6B2DD-FC6C-4B60-B36C-4E30AFB84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19290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171450</xdr:colOff>
      <xdr:row>6</xdr:row>
      <xdr:rowOff>20866</xdr:rowOff>
    </xdr:to>
    <xdr:pic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84162F13-F9A3-4765-AC88-4E8FFE9F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19290" cy="11203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171450</xdr:colOff>
      <xdr:row>5</xdr:row>
      <xdr:rowOff>100240</xdr:rowOff>
    </xdr:to>
    <xdr:pic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D0DB732D-415D-4D05-BE18-BDFE7AFBE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171450</xdr:colOff>
      <xdr:row>4</xdr:row>
      <xdr:rowOff>169180</xdr:rowOff>
    </xdr:to>
    <xdr:pic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EB801E5B-C3C9-4229-87FF-EE991E1D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19290" cy="14287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171450</xdr:colOff>
      <xdr:row>4</xdr:row>
      <xdr:rowOff>24040</xdr:rowOff>
    </xdr:to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36643255-E13A-482C-B338-CAFF553F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19290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171450</xdr:colOff>
      <xdr:row>3</xdr:row>
      <xdr:rowOff>96155</xdr:rowOff>
    </xdr:to>
    <xdr:pic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9660A4FC-8742-462B-9B09-B0736FD5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171450</xdr:colOff>
      <xdr:row>2</xdr:row>
      <xdr:rowOff>135165</xdr:rowOff>
    </xdr:to>
    <xdr:pic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67188F8F-1892-427D-8BA2-B63F57D6C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19290" cy="1211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171450</xdr:colOff>
      <xdr:row>2</xdr:row>
      <xdr:rowOff>19955</xdr:rowOff>
    </xdr:to>
    <xdr:pic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1D5824DF-D58B-4501-A2DA-C5D7858FC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19290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467740</xdr:colOff>
      <xdr:row>78</xdr:row>
      <xdr:rowOff>95250</xdr:rowOff>
    </xdr:to>
    <xdr:pic>
      <xdr:nvPicPr>
        <xdr:cNvPr id="41" name="BExXRND8208TWULE9S50U89VKPB7" descr="ETUGZV0SKTQDQB8JOYY0DCX79" hidden="1">
          <a:extLst>
            <a:ext uri="{FF2B5EF4-FFF2-40B4-BE49-F238E27FC236}">
              <a16:creationId xmlns:a16="http://schemas.microsoft.com/office/drawing/2014/main" id="{776DB141-A8B0-49DF-AC5E-B477E91FFE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3350" y="0"/>
          <a:ext cx="7255890" cy="1445622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2" name="BExMO7VFCN4EL59982UR4AJ25JNJ" descr="XX6TINEJADZGKR0CTM7ZRT0RA" hidden="1">
          <a:extLst>
            <a:ext uri="{FF2B5EF4-FFF2-40B4-BE49-F238E27FC236}">
              <a16:creationId xmlns:a16="http://schemas.microsoft.com/office/drawing/2014/main" id="{837B629D-40C8-4DAA-9453-35424CDE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3" name="BExU3EX5JJCXCII4YKUJBFBGIJR2" descr="OF5ZI9PI5WH36VPANJ2DYLNMI" hidden="1">
          <a:extLst>
            <a:ext uri="{FF2B5EF4-FFF2-40B4-BE49-F238E27FC236}">
              <a16:creationId xmlns:a16="http://schemas.microsoft.com/office/drawing/2014/main" id="{86B2FC6B-6AC2-4D1F-8892-C1353E11A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44" name="BEx1KD7H6UB1VYCJ7O61P562EIUY" descr="IQGV9140X0K0UPBL8OGU3I44J" hidden="1">
          <a:extLst>
            <a:ext uri="{FF2B5EF4-FFF2-40B4-BE49-F238E27FC236}">
              <a16:creationId xmlns:a16="http://schemas.microsoft.com/office/drawing/2014/main" id="{35A5E9A4-6B3F-4440-843C-7A3BBBC6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45" name="BEx5BJQWS6YWHH4ZMSUAMD641V6Y" descr="ZTMFMXCIQSECDX38ALEFHUB00" hidden="1">
          <a:extLst>
            <a:ext uri="{FF2B5EF4-FFF2-40B4-BE49-F238E27FC236}">
              <a16:creationId xmlns:a16="http://schemas.microsoft.com/office/drawing/2014/main" id="{F4DCA08E-61E9-4715-B646-A96A63AB4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54881</xdr:colOff>
      <xdr:row>0</xdr:row>
      <xdr:rowOff>58965</xdr:rowOff>
    </xdr:to>
    <xdr:pic>
      <xdr:nvPicPr>
        <xdr:cNvPr id="46" name="BExVTO5Q8G2M7BPL4B2584LQS0R0" descr="OB6Q8NA4LZFE4GM9Y3V56BPMQ" hidden="1">
          <a:extLst>
            <a:ext uri="{FF2B5EF4-FFF2-40B4-BE49-F238E27FC236}">
              <a16:creationId xmlns:a16="http://schemas.microsoft.com/office/drawing/2014/main" id="{8F1BBB73-7D83-4F32-998E-EA351556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54881</xdr:colOff>
      <xdr:row>0</xdr:row>
      <xdr:rowOff>135165</xdr:rowOff>
    </xdr:to>
    <xdr:pic>
      <xdr:nvPicPr>
        <xdr:cNvPr id="47" name="BExIFSCLN1G86X78PFLTSMRP0US5" descr="9JK4SPV4DG7VTCZIILWHXQU5J" hidden="1">
          <a:extLst>
            <a:ext uri="{FF2B5EF4-FFF2-40B4-BE49-F238E27FC236}">
              <a16:creationId xmlns:a16="http://schemas.microsoft.com/office/drawing/2014/main" id="{6D877B16-5496-43A3-8610-5523ED23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119741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48" name="BEx1I152WN2D3A85O2XN0DGXCWHN" descr="KHBZFMANRA4UMJR1AB4M5NJNT" hidden="1">
          <a:extLst>
            <a:ext uri="{FF2B5EF4-FFF2-40B4-BE49-F238E27FC236}">
              <a16:creationId xmlns:a16="http://schemas.microsoft.com/office/drawing/2014/main" id="{77B3944A-D379-42EE-8C51-71C89F61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49" name="BExW9676P0SKCVKK25QCGHPA3PAD" descr="9A4PWZ20RMSRF0PNECCDM75CA" hidden="1">
          <a:extLst>
            <a:ext uri="{FF2B5EF4-FFF2-40B4-BE49-F238E27FC236}">
              <a16:creationId xmlns:a16="http://schemas.microsoft.com/office/drawing/2014/main" id="{25552223-AEC5-4FEC-90ED-27684C695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19955</xdr:rowOff>
    </xdr:to>
    <xdr:pic>
      <xdr:nvPicPr>
        <xdr:cNvPr id="50" name="BExW253QPOZK9KW8BJC3LBXGCG2N" descr="Y5HX37BEUWSN1NEFJKZJXI3SX" hidden="1">
          <a:extLst>
            <a:ext uri="{FF2B5EF4-FFF2-40B4-BE49-F238E27FC236}">
              <a16:creationId xmlns:a16="http://schemas.microsoft.com/office/drawing/2014/main" id="{56AE26A5-B321-4CE8-A274-69D8C26F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1" name="BExS5CPQ8P8JOQPK7ANNKHLSGOKU" hidden="1">
          <a:extLst>
            <a:ext uri="{FF2B5EF4-FFF2-40B4-BE49-F238E27FC236}">
              <a16:creationId xmlns:a16="http://schemas.microsoft.com/office/drawing/2014/main" id="{C7DD13C3-3825-4E17-9087-9AF10413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2" name="BExMM0AVUAIRNJLXB1FW8R0YB4ZZ" hidden="1">
          <a:extLst>
            <a:ext uri="{FF2B5EF4-FFF2-40B4-BE49-F238E27FC236}">
              <a16:creationId xmlns:a16="http://schemas.microsoft.com/office/drawing/2014/main" id="{C89EDFC5-6286-4E3E-BC38-179C87761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53" name="BExXZ7Y09CBS0XA7IPB3IRJ8RJM4" hidden="1">
          <a:extLst>
            <a:ext uri="{FF2B5EF4-FFF2-40B4-BE49-F238E27FC236}">
              <a16:creationId xmlns:a16="http://schemas.microsoft.com/office/drawing/2014/main" id="{0953C0F4-2D43-4269-935C-4431148E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54" name="BExQ7SXS9VUG7P6CACU2J7R2SGIZ" hidden="1">
          <a:extLst>
            <a:ext uri="{FF2B5EF4-FFF2-40B4-BE49-F238E27FC236}">
              <a16:creationId xmlns:a16="http://schemas.microsoft.com/office/drawing/2014/main" id="{D04CC670-7B52-4B9E-AB72-20D65BA48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55" name="BEx5AQZ4ETQ9LMY5EBWVH20Z7VXQ" hidden="1">
          <a:extLst>
            <a:ext uri="{FF2B5EF4-FFF2-40B4-BE49-F238E27FC236}">
              <a16:creationId xmlns:a16="http://schemas.microsoft.com/office/drawing/2014/main" id="{AD34B295-B535-4E41-A5AD-7ED71F65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56" name="BExUBK0YZ5VYFY8TTITJGJU9S06A" hidden="1">
          <a:extLst>
            <a:ext uri="{FF2B5EF4-FFF2-40B4-BE49-F238E27FC236}">
              <a16:creationId xmlns:a16="http://schemas.microsoft.com/office/drawing/2014/main" id="{DA9189E5-7C2C-44BB-83B7-70F17B0EB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57" name="BExUEZCSSJ7RN4J18I2NUIQR2FZS" hidden="1">
          <a:extLst>
            <a:ext uri="{FF2B5EF4-FFF2-40B4-BE49-F238E27FC236}">
              <a16:creationId xmlns:a16="http://schemas.microsoft.com/office/drawing/2014/main" id="{089959DA-9A87-4319-B5DA-1641E09ED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58" name="BExS3JDQWF7U3F5JTEVOE16ASIYK" hidden="1">
          <a:extLst>
            <a:ext uri="{FF2B5EF4-FFF2-40B4-BE49-F238E27FC236}">
              <a16:creationId xmlns:a16="http://schemas.microsoft.com/office/drawing/2014/main" id="{DD2660EA-E176-44E8-B0E5-845546AE4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59" name="BEx973S463FCQVJ7QDFBUIU0WJ3F" descr="ZQTVYL8DCSADVT0QMRXFLU0TR" hidden="1">
          <a:extLst>
            <a:ext uri="{FF2B5EF4-FFF2-40B4-BE49-F238E27FC236}">
              <a16:creationId xmlns:a16="http://schemas.microsoft.com/office/drawing/2014/main" id="{0D06C7F4-51D1-4D4F-BE34-95DAC6CDE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61230</xdr:rowOff>
    </xdr:to>
    <xdr:pic>
      <xdr:nvPicPr>
        <xdr:cNvPr id="60" name="BExRZO0PLWWMCLGRH7EH6UXYWGAJ" descr="9D4GQ34QB727H10MA3SSAR2R9" hidden="1">
          <a:extLst>
            <a:ext uri="{FF2B5EF4-FFF2-40B4-BE49-F238E27FC236}">
              <a16:creationId xmlns:a16="http://schemas.microsoft.com/office/drawing/2014/main" id="{BF1F9419-395F-4FF5-9046-FDFCD20B9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168275</xdr:rowOff>
    </xdr:to>
    <xdr:pic>
      <xdr:nvPicPr>
        <xdr:cNvPr id="61" name="BExBDP6HNAAJUM39SE5G2C8BKNRQ" descr="1TM64TL2QIMYV7WYSV2VLGXY4" hidden="1">
          <a:extLst>
            <a:ext uri="{FF2B5EF4-FFF2-40B4-BE49-F238E27FC236}">
              <a16:creationId xmlns:a16="http://schemas.microsoft.com/office/drawing/2014/main" id="{D6D6C828-2D39-4ED8-A86E-D4CFBC80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62" name="BExQEGJP61DL2NZY6LMBHBZ0J5YT" descr="D6ZNRZJ7EX4GZT9RO8LE0C905" hidden="1">
          <a:extLst>
            <a:ext uri="{FF2B5EF4-FFF2-40B4-BE49-F238E27FC236}">
              <a16:creationId xmlns:a16="http://schemas.microsoft.com/office/drawing/2014/main" id="{F7B71A28-3F7C-4924-A5BF-EF36E343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62140</xdr:rowOff>
    </xdr:to>
    <xdr:pic>
      <xdr:nvPicPr>
        <xdr:cNvPr id="63" name="BExTY1BCS6HZIF6HI5491FGHDVAE" descr="MJ6976KI2UH1IE8M227DUYXMJ" hidden="1">
          <a:extLst>
            <a:ext uri="{FF2B5EF4-FFF2-40B4-BE49-F238E27FC236}">
              <a16:creationId xmlns:a16="http://schemas.microsoft.com/office/drawing/2014/main" id="{BA6014D1-1686-486F-B505-4895E35CE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64" name="BEx5FXJGJOT93D0J2IRJ3985IUMI" hidden="1">
          <a:extLst>
            <a:ext uri="{FF2B5EF4-FFF2-40B4-BE49-F238E27FC236}">
              <a16:creationId xmlns:a16="http://schemas.microsoft.com/office/drawing/2014/main" id="{58151064-1750-4415-AE35-84AB4CBA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65" name="BEx3RTMHAR35NUAAK49TV6NU7EPA" descr="QFXLG4ZCXTRQSJYFCKJ58G9N8" hidden="1">
          <a:extLst>
            <a:ext uri="{FF2B5EF4-FFF2-40B4-BE49-F238E27FC236}">
              <a16:creationId xmlns:a16="http://schemas.microsoft.com/office/drawing/2014/main" id="{A233C709-549A-43BB-8D35-D6FFD0066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96155</xdr:rowOff>
    </xdr:to>
    <xdr:pic>
      <xdr:nvPicPr>
        <xdr:cNvPr id="66" name="BExS8T38WLC2R738ZC7BDJQAKJAJ" descr="MRI962L5PB0E0YWXCIBN82VJH" hidden="1">
          <a:extLst>
            <a:ext uri="{FF2B5EF4-FFF2-40B4-BE49-F238E27FC236}">
              <a16:creationId xmlns:a16="http://schemas.microsoft.com/office/drawing/2014/main" id="{79E320CA-C157-4ADC-8110-DD05ED07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67" name="BEx5F64BJ6DCM4EJH81D5ZFNPZ0V" descr="7DJ9FILZD2YPS6X1JBP9E76TU" hidden="1">
          <a:extLst>
            <a:ext uri="{FF2B5EF4-FFF2-40B4-BE49-F238E27FC236}">
              <a16:creationId xmlns:a16="http://schemas.microsoft.com/office/drawing/2014/main" id="{9D3CCEC6-FD0F-48D9-99B3-0923E491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68" name="BExQEXXHA3EEXR44LT6RKCDWM6ZT" hidden="1">
          <a:extLst>
            <a:ext uri="{FF2B5EF4-FFF2-40B4-BE49-F238E27FC236}">
              <a16:creationId xmlns:a16="http://schemas.microsoft.com/office/drawing/2014/main" id="{FC021C2D-7940-496B-B7A2-523403DC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149225</xdr:rowOff>
    </xdr:to>
    <xdr:pic>
      <xdr:nvPicPr>
        <xdr:cNvPr id="69" name="BEx1X6AMHV6ZK3UJB2BXIJTJHYJU" descr="OALR4L95ELQLZ1Y1LETHM1CS9" hidden="1">
          <a:extLst>
            <a:ext uri="{FF2B5EF4-FFF2-40B4-BE49-F238E27FC236}">
              <a16:creationId xmlns:a16="http://schemas.microsoft.com/office/drawing/2014/main" id="{1DDB3366-663D-4220-BC07-FE8D46B9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70" name="BExSDIVCE09QKG3CT52PHCS6ZJ09" descr="9F076L7EQCF2COMMGCQG6BQGU" hidden="1">
          <a:extLst>
            <a:ext uri="{FF2B5EF4-FFF2-40B4-BE49-F238E27FC236}">
              <a16:creationId xmlns:a16="http://schemas.microsoft.com/office/drawing/2014/main" id="{427F43ED-7B86-4800-9AC7-845D33E93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61230</xdr:rowOff>
    </xdr:to>
    <xdr:pic>
      <xdr:nvPicPr>
        <xdr:cNvPr id="71" name="BEx1QZGQZBAWJ8591VXEIPUOVS7X" descr="MEW27CPIFG44B7E7HEQUUF5QF" hidden="1">
          <a:extLst>
            <a:ext uri="{FF2B5EF4-FFF2-40B4-BE49-F238E27FC236}">
              <a16:creationId xmlns:a16="http://schemas.microsoft.com/office/drawing/2014/main" id="{105452C6-DD49-4E32-A1F2-2D9C60C6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100240</xdr:rowOff>
    </xdr:to>
    <xdr:pic>
      <xdr:nvPicPr>
        <xdr:cNvPr id="72" name="BExMF7LICJLPXSHM63A6EQ79YQKG" descr="U084VZL15IMB1OFRRAY6GVKAE" hidden="1">
          <a:extLst>
            <a:ext uri="{FF2B5EF4-FFF2-40B4-BE49-F238E27FC236}">
              <a16:creationId xmlns:a16="http://schemas.microsoft.com/office/drawing/2014/main" id="{DBB78296-328C-47C6-B3A1-09EFB95BE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73" name="BExS343F8GCKP6HTF9Y97L133DX8" descr="ZRF0KB1IYQSNV63CTXT25G67G" hidden="1">
          <a:extLst>
            <a:ext uri="{FF2B5EF4-FFF2-40B4-BE49-F238E27FC236}">
              <a16:creationId xmlns:a16="http://schemas.microsoft.com/office/drawing/2014/main" id="{A4E39D77-C40B-48CB-BB37-38556CB55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74" name="BExZMRC09W87CY4B73NPZMNH21AH" descr="78CUMI0OVLYJRSDRQ3V2YX812" hidden="1">
          <a:extLst>
            <a:ext uri="{FF2B5EF4-FFF2-40B4-BE49-F238E27FC236}">
              <a16:creationId xmlns:a16="http://schemas.microsoft.com/office/drawing/2014/main" id="{D8860CAD-CF69-42CB-8A2E-97EE0412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100240</xdr:rowOff>
    </xdr:to>
    <xdr:pic>
      <xdr:nvPicPr>
        <xdr:cNvPr id="75" name="BExZXVFJ4DY4I24AARDT4AMP6EN1" descr="TXSMH2MTH86CYKA26740RQPUC" hidden="1">
          <a:extLst>
            <a:ext uri="{FF2B5EF4-FFF2-40B4-BE49-F238E27FC236}">
              <a16:creationId xmlns:a16="http://schemas.microsoft.com/office/drawing/2014/main" id="{80EEAF57-6E1D-4FE4-AB31-F480AA14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149225</xdr:rowOff>
    </xdr:to>
    <xdr:pic>
      <xdr:nvPicPr>
        <xdr:cNvPr id="76" name="BExOCUIOFQWUGTBU5ESTW3EYEP5C" descr="9BNF49V0R6VVYPHEVMJ3ABDQZ" hidden="1">
          <a:extLst>
            <a:ext uri="{FF2B5EF4-FFF2-40B4-BE49-F238E27FC236}">
              <a16:creationId xmlns:a16="http://schemas.microsoft.com/office/drawing/2014/main" id="{78710CE6-FF82-4F33-A460-E2FE3BBD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24040</xdr:rowOff>
    </xdr:to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03B2697E-AFA5-472C-A6C8-3AC7ABC9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96155</xdr:rowOff>
    </xdr:to>
    <xdr:pic>
      <xdr:nvPicPr>
        <xdr:cNvPr id="78" name="BExOPRCR0UW7TKXSV5WDTL348FGL" descr="S9JM17GP1802LHN4GT14BJYIC" hidden="1">
          <a:extLst>
            <a:ext uri="{FF2B5EF4-FFF2-40B4-BE49-F238E27FC236}">
              <a16:creationId xmlns:a16="http://schemas.microsoft.com/office/drawing/2014/main" id="{24BFBD8A-E8F8-4E0F-A01F-BA459FA4A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79" name="BEx5OESAY2W8SEGI3TSB65EHJ04B" descr="9CN2Y88X8WYV1HWZG1QILY9BK" hidden="1">
          <a:extLst>
            <a:ext uri="{FF2B5EF4-FFF2-40B4-BE49-F238E27FC236}">
              <a16:creationId xmlns:a16="http://schemas.microsoft.com/office/drawing/2014/main" id="{F51A1937-0FCE-4F67-8281-03534472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80" name="BExGMWEQ2BYRY9BAO5T1X850MJN1" descr="AZ9ST0XDIOP50HSUFO5V31BR0" hidden="1">
          <a:extLst>
            <a:ext uri="{FF2B5EF4-FFF2-40B4-BE49-F238E27FC236}">
              <a16:creationId xmlns:a16="http://schemas.microsoft.com/office/drawing/2014/main" id="{15339290-1882-40EE-A1C9-53A9D18C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1" name="BExMO7VFCN4EL59982UR4AJ25JNJ" descr="XX6TINEJADZGKR0CTM7ZRT0RA" hidden="1">
          <a:extLst>
            <a:ext uri="{FF2B5EF4-FFF2-40B4-BE49-F238E27FC236}">
              <a16:creationId xmlns:a16="http://schemas.microsoft.com/office/drawing/2014/main" id="{36FE1A50-B494-4FC9-96B6-16AA7078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2" name="BExU3EX5JJCXCII4YKUJBFBGIJR2" descr="OF5ZI9PI5WH36VPANJ2DYLNMI" hidden="1">
          <a:extLst>
            <a:ext uri="{FF2B5EF4-FFF2-40B4-BE49-F238E27FC236}">
              <a16:creationId xmlns:a16="http://schemas.microsoft.com/office/drawing/2014/main" id="{73CAC18C-BA3B-47A4-9EF8-5B96A5CC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83" name="BEx1KD7H6UB1VYCJ7O61P562EIUY" descr="IQGV9140X0K0UPBL8OGU3I44J" hidden="1">
          <a:extLst>
            <a:ext uri="{FF2B5EF4-FFF2-40B4-BE49-F238E27FC236}">
              <a16:creationId xmlns:a16="http://schemas.microsoft.com/office/drawing/2014/main" id="{FC7AF934-7037-4D17-BB0E-975CA1037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84" name="BEx5BJQWS6YWHH4ZMSUAMD641V6Y" descr="ZTMFMXCIQSECDX38ALEFHUB00" hidden="1">
          <a:extLst>
            <a:ext uri="{FF2B5EF4-FFF2-40B4-BE49-F238E27FC236}">
              <a16:creationId xmlns:a16="http://schemas.microsoft.com/office/drawing/2014/main" id="{C906A5F2-DB39-4FBD-B8E2-6EB7A65FE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85" name="BExVTO5Q8G2M7BPL4B2584LQS0R0" descr="OB6Q8NA4LZFE4GM9Y3V56BPMQ" hidden="1">
          <a:extLst>
            <a:ext uri="{FF2B5EF4-FFF2-40B4-BE49-F238E27FC236}">
              <a16:creationId xmlns:a16="http://schemas.microsoft.com/office/drawing/2014/main" id="{BF48241F-F4B3-4FBF-9BF2-93BB69B9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86" name="BExIFSCLN1G86X78PFLTSMRP0US5" descr="9JK4SPV4DG7VTCZIILWHXQU5J" hidden="1">
          <a:extLst>
            <a:ext uri="{FF2B5EF4-FFF2-40B4-BE49-F238E27FC236}">
              <a16:creationId xmlns:a16="http://schemas.microsoft.com/office/drawing/2014/main" id="{34A5553B-F57A-490D-83D0-E09A44AC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87" name="BEx1I152WN2D3A85O2XN0DGXCWHN" descr="KHBZFMANRA4UMJR1AB4M5NJNT" hidden="1">
          <a:extLst>
            <a:ext uri="{FF2B5EF4-FFF2-40B4-BE49-F238E27FC236}">
              <a16:creationId xmlns:a16="http://schemas.microsoft.com/office/drawing/2014/main" id="{65D37AA7-8CFC-4B3E-AD8E-7B2DC206C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88" name="BExW9676P0SKCVKK25QCGHPA3PAD" descr="9A4PWZ20RMSRF0PNECCDM75CA" hidden="1">
          <a:extLst>
            <a:ext uri="{FF2B5EF4-FFF2-40B4-BE49-F238E27FC236}">
              <a16:creationId xmlns:a16="http://schemas.microsoft.com/office/drawing/2014/main" id="{D7C505BD-AE2C-472F-ACEA-8D7AE8C9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89" name="BExW253QPOZK9KW8BJC3LBXGCG2N" descr="Y5HX37BEUWSN1NEFJKZJXI3SX" hidden="1">
          <a:extLst>
            <a:ext uri="{FF2B5EF4-FFF2-40B4-BE49-F238E27FC236}">
              <a16:creationId xmlns:a16="http://schemas.microsoft.com/office/drawing/2014/main" id="{314371F0-46B0-475A-A490-24492491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0" name="BExS5CPQ8P8JOQPK7ANNKHLSGOKU" hidden="1">
          <a:extLst>
            <a:ext uri="{FF2B5EF4-FFF2-40B4-BE49-F238E27FC236}">
              <a16:creationId xmlns:a16="http://schemas.microsoft.com/office/drawing/2014/main" id="{83138A2A-4E5A-46BF-A516-E7FFFBAF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1" name="BExMM0AVUAIRNJLXB1FW8R0YB4ZZ" hidden="1">
          <a:extLst>
            <a:ext uri="{FF2B5EF4-FFF2-40B4-BE49-F238E27FC236}">
              <a16:creationId xmlns:a16="http://schemas.microsoft.com/office/drawing/2014/main" id="{794C3D66-C97C-4E33-8BE9-10C90004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92" name="BExXZ7Y09CBS0XA7IPB3IRJ8RJM4" hidden="1">
          <a:extLst>
            <a:ext uri="{FF2B5EF4-FFF2-40B4-BE49-F238E27FC236}">
              <a16:creationId xmlns:a16="http://schemas.microsoft.com/office/drawing/2014/main" id="{4453AC27-F4B7-407F-9505-48F5FF0B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93" name="BExQ7SXS9VUG7P6CACU2J7R2SGIZ" hidden="1">
          <a:extLst>
            <a:ext uri="{FF2B5EF4-FFF2-40B4-BE49-F238E27FC236}">
              <a16:creationId xmlns:a16="http://schemas.microsoft.com/office/drawing/2014/main" id="{8B2D10AE-E73E-4DEB-B652-98A9092E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94" name="BEx5AQZ4ETQ9LMY5EBWVH20Z7VXQ" hidden="1">
          <a:extLst>
            <a:ext uri="{FF2B5EF4-FFF2-40B4-BE49-F238E27FC236}">
              <a16:creationId xmlns:a16="http://schemas.microsoft.com/office/drawing/2014/main" id="{10B93752-3C99-4ECB-9BD5-C144576D4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95" name="BExUBK0YZ5VYFY8TTITJGJU9S06A" hidden="1">
          <a:extLst>
            <a:ext uri="{FF2B5EF4-FFF2-40B4-BE49-F238E27FC236}">
              <a16:creationId xmlns:a16="http://schemas.microsoft.com/office/drawing/2014/main" id="{9C0357DF-A510-4C23-89A5-0DE70417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96" name="BExUEZCSSJ7RN4J18I2NUIQR2FZS" hidden="1">
          <a:extLst>
            <a:ext uri="{FF2B5EF4-FFF2-40B4-BE49-F238E27FC236}">
              <a16:creationId xmlns:a16="http://schemas.microsoft.com/office/drawing/2014/main" id="{3558093C-4954-4663-9716-BAE5D077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97" name="BExS3JDQWF7U3F5JTEVOE16ASIYK" hidden="1">
          <a:extLst>
            <a:ext uri="{FF2B5EF4-FFF2-40B4-BE49-F238E27FC236}">
              <a16:creationId xmlns:a16="http://schemas.microsoft.com/office/drawing/2014/main" id="{F65A62C9-A8B1-4653-8E62-E45EB53C0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98" name="BEx973S463FCQVJ7QDFBUIU0WJ3F" descr="ZQTVYL8DCSADVT0QMRXFLU0TR" hidden="1">
          <a:extLst>
            <a:ext uri="{FF2B5EF4-FFF2-40B4-BE49-F238E27FC236}">
              <a16:creationId xmlns:a16="http://schemas.microsoft.com/office/drawing/2014/main" id="{BE043582-D5FB-410A-AD76-81D480DA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54880</xdr:rowOff>
    </xdr:to>
    <xdr:pic>
      <xdr:nvPicPr>
        <xdr:cNvPr id="99" name="BExRZO0PLWWMCLGRH7EH6UXYWGAJ" descr="9D4GQ34QB727H10MA3SSAR2R9" hidden="1">
          <a:extLst>
            <a:ext uri="{FF2B5EF4-FFF2-40B4-BE49-F238E27FC236}">
              <a16:creationId xmlns:a16="http://schemas.microsoft.com/office/drawing/2014/main" id="{DFE32EC2-DC60-4CF6-A1D9-63CF91758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168275</xdr:rowOff>
    </xdr:to>
    <xdr:pic>
      <xdr:nvPicPr>
        <xdr:cNvPr id="100" name="BExBDP6HNAAJUM39SE5G2C8BKNRQ" descr="1TM64TL2QIMYV7WYSV2VLGXY4" hidden="1">
          <a:extLst>
            <a:ext uri="{FF2B5EF4-FFF2-40B4-BE49-F238E27FC236}">
              <a16:creationId xmlns:a16="http://schemas.microsoft.com/office/drawing/2014/main" id="{F1CD8597-6BE8-41BD-864A-B813FBF0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01" name="BExQEGJP61DL2NZY6LMBHBZ0J5YT" descr="D6ZNRZJ7EX4GZT9RO8LE0C905" hidden="1">
          <a:extLst>
            <a:ext uri="{FF2B5EF4-FFF2-40B4-BE49-F238E27FC236}">
              <a16:creationId xmlns:a16="http://schemas.microsoft.com/office/drawing/2014/main" id="{ED0614E4-E4CD-4441-A077-DD42AD32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62595</xdr:rowOff>
    </xdr:to>
    <xdr:pic>
      <xdr:nvPicPr>
        <xdr:cNvPr id="102" name="BExTY1BCS6HZIF6HI5491FGHDVAE" descr="MJ6976KI2UH1IE8M227DUYXMJ" hidden="1">
          <a:extLst>
            <a:ext uri="{FF2B5EF4-FFF2-40B4-BE49-F238E27FC236}">
              <a16:creationId xmlns:a16="http://schemas.microsoft.com/office/drawing/2014/main" id="{CD46C3CB-BBCA-4CEB-81E2-A6218FE6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3" name="BEx5FXJGJOT93D0J2IRJ3985IUMI" hidden="1">
          <a:extLst>
            <a:ext uri="{FF2B5EF4-FFF2-40B4-BE49-F238E27FC236}">
              <a16:creationId xmlns:a16="http://schemas.microsoft.com/office/drawing/2014/main" id="{B9C44E96-439D-4C5D-B444-53F92CCC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4" name="BEx3RTMHAR35NUAAK49TV6NU7EPA" descr="QFXLG4ZCXTRQSJYFCKJ58G9N8" hidden="1">
          <a:extLst>
            <a:ext uri="{FF2B5EF4-FFF2-40B4-BE49-F238E27FC236}">
              <a16:creationId xmlns:a16="http://schemas.microsoft.com/office/drawing/2014/main" id="{46C380FA-0D3E-45E0-A1BA-91AF128E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05" name="BExS8T38WLC2R738ZC7BDJQAKJAJ" descr="MRI962L5PB0E0YWXCIBN82VJH" hidden="1">
          <a:extLst>
            <a:ext uri="{FF2B5EF4-FFF2-40B4-BE49-F238E27FC236}">
              <a16:creationId xmlns:a16="http://schemas.microsoft.com/office/drawing/2014/main" id="{F73C2CC3-BFE3-4618-B378-92B5A882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6" name="BEx5F64BJ6DCM4EJH81D5ZFNPZ0V" descr="7DJ9FILZD2YPS6X1JBP9E76TU" hidden="1">
          <a:extLst>
            <a:ext uri="{FF2B5EF4-FFF2-40B4-BE49-F238E27FC236}">
              <a16:creationId xmlns:a16="http://schemas.microsoft.com/office/drawing/2014/main" id="{81F0B53E-01C5-44DF-884C-806B1DF6D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07" name="BExQEXXHA3EEXR44LT6RKCDWM6ZT" hidden="1">
          <a:extLst>
            <a:ext uri="{FF2B5EF4-FFF2-40B4-BE49-F238E27FC236}">
              <a16:creationId xmlns:a16="http://schemas.microsoft.com/office/drawing/2014/main" id="{C6391DBC-8A23-419E-A8A8-F8ACF37E2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149225</xdr:rowOff>
    </xdr:to>
    <xdr:pic>
      <xdr:nvPicPr>
        <xdr:cNvPr id="108" name="BEx1X6AMHV6ZK3UJB2BXIJTJHYJU" descr="OALR4L95ELQLZ1Y1LETHM1CS9" hidden="1">
          <a:extLst>
            <a:ext uri="{FF2B5EF4-FFF2-40B4-BE49-F238E27FC236}">
              <a16:creationId xmlns:a16="http://schemas.microsoft.com/office/drawing/2014/main" id="{E0124BDC-B68E-464A-A432-BA9F5BE0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09" name="BExSDIVCE09QKG3CT52PHCS6ZJ09" descr="9F076L7EQCF2COMMGCQG6BQGU" hidden="1">
          <a:extLst>
            <a:ext uri="{FF2B5EF4-FFF2-40B4-BE49-F238E27FC236}">
              <a16:creationId xmlns:a16="http://schemas.microsoft.com/office/drawing/2014/main" id="{A859DF73-B627-4116-BAB1-E417823F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54880</xdr:rowOff>
    </xdr:to>
    <xdr:pic>
      <xdr:nvPicPr>
        <xdr:cNvPr id="110" name="BEx1QZGQZBAWJ8591VXEIPUOVS7X" descr="MEW27CPIFG44B7E7HEQUUF5QF" hidden="1">
          <a:extLst>
            <a:ext uri="{FF2B5EF4-FFF2-40B4-BE49-F238E27FC236}">
              <a16:creationId xmlns:a16="http://schemas.microsoft.com/office/drawing/2014/main" id="{F2D66C13-2623-4E1C-B028-48B61725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100695</xdr:rowOff>
    </xdr:to>
    <xdr:pic>
      <xdr:nvPicPr>
        <xdr:cNvPr id="111" name="BExMF7LICJLPXSHM63A6EQ79YQKG" descr="U084VZL15IMB1OFRRAY6GVKAE" hidden="1">
          <a:extLst>
            <a:ext uri="{FF2B5EF4-FFF2-40B4-BE49-F238E27FC236}">
              <a16:creationId xmlns:a16="http://schemas.microsoft.com/office/drawing/2014/main" id="{F6F9738C-86AC-4F3E-8367-5F4AADC0D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12" name="BExS343F8GCKP6HTF9Y97L133DX8" descr="ZRF0KB1IYQSNV63CTXT25G67G" hidden="1">
          <a:extLst>
            <a:ext uri="{FF2B5EF4-FFF2-40B4-BE49-F238E27FC236}">
              <a16:creationId xmlns:a16="http://schemas.microsoft.com/office/drawing/2014/main" id="{01C5E336-4945-43EB-97E1-4E40417F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113" name="BExZMRC09W87CY4B73NPZMNH21AH" descr="78CUMI0OVLYJRSDRQ3V2YX812" hidden="1">
          <a:extLst>
            <a:ext uri="{FF2B5EF4-FFF2-40B4-BE49-F238E27FC236}">
              <a16:creationId xmlns:a16="http://schemas.microsoft.com/office/drawing/2014/main" id="{EDC09F47-720D-4398-82A7-3086F69C5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100695</xdr:rowOff>
    </xdr:to>
    <xdr:pic>
      <xdr:nvPicPr>
        <xdr:cNvPr id="114" name="BExZXVFJ4DY4I24AARDT4AMP6EN1" descr="TXSMH2MTH86CYKA26740RQPUC" hidden="1">
          <a:extLst>
            <a:ext uri="{FF2B5EF4-FFF2-40B4-BE49-F238E27FC236}">
              <a16:creationId xmlns:a16="http://schemas.microsoft.com/office/drawing/2014/main" id="{3B26D292-34A0-4F54-9980-078436016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149225</xdr:rowOff>
    </xdr:to>
    <xdr:pic>
      <xdr:nvPicPr>
        <xdr:cNvPr id="115" name="BExOCUIOFQWUGTBU5ESTW3EYEP5C" descr="9BNF49V0R6VVYPHEVMJ3ABDQZ" hidden="1">
          <a:extLst>
            <a:ext uri="{FF2B5EF4-FFF2-40B4-BE49-F238E27FC236}">
              <a16:creationId xmlns:a16="http://schemas.microsoft.com/office/drawing/2014/main" id="{21CCF5B9-6D21-40B0-9CC8-49E001709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24495</xdr:rowOff>
    </xdr:to>
    <xdr:pic>
      <xdr:nvPicPr>
        <xdr:cNvPr id="116" name="BExU65O9OE4B4MQ2A3OYH13M8BZJ" descr="3INNIMMPDBB0JF37L81M6ID21" hidden="1">
          <a:extLst>
            <a:ext uri="{FF2B5EF4-FFF2-40B4-BE49-F238E27FC236}">
              <a16:creationId xmlns:a16="http://schemas.microsoft.com/office/drawing/2014/main" id="{083E95A8-B2F6-441B-BA6D-B2464EF6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17" name="BExOPRCR0UW7TKXSV5WDTL348FGL" descr="S9JM17GP1802LHN4GT14BJYIC" hidden="1">
          <a:extLst>
            <a:ext uri="{FF2B5EF4-FFF2-40B4-BE49-F238E27FC236}">
              <a16:creationId xmlns:a16="http://schemas.microsoft.com/office/drawing/2014/main" id="{A8BB5AAF-15DF-46C4-9C8D-6E4DF0A3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118" name="BEx5OESAY2W8SEGI3TSB65EHJ04B" descr="9CN2Y88X8WYV1HWZG1QILY9BK" hidden="1">
          <a:extLst>
            <a:ext uri="{FF2B5EF4-FFF2-40B4-BE49-F238E27FC236}">
              <a16:creationId xmlns:a16="http://schemas.microsoft.com/office/drawing/2014/main" id="{B4B84626-497C-4740-8B9F-DD4B7241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19" name="BExGMWEQ2BYRY9BAO5T1X850MJN1" descr="AZ9ST0XDIOP50HSUFO5V31BR0" hidden="1">
          <a:extLst>
            <a:ext uri="{FF2B5EF4-FFF2-40B4-BE49-F238E27FC236}">
              <a16:creationId xmlns:a16="http://schemas.microsoft.com/office/drawing/2014/main" id="{6A23706E-511C-41F1-A6D2-AB87E693B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0" name="BExMO7VFCN4EL59982UR4AJ25JNJ" descr="XX6TINEJADZGKR0CTM7ZRT0RA" hidden="1">
          <a:extLst>
            <a:ext uri="{FF2B5EF4-FFF2-40B4-BE49-F238E27FC236}">
              <a16:creationId xmlns:a16="http://schemas.microsoft.com/office/drawing/2014/main" id="{DB7623C9-6A95-42C4-AE31-000A1B09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1" name="BExU3EX5JJCXCII4YKUJBFBGIJR2" descr="OF5ZI9PI5WH36VPANJ2DYLNMI" hidden="1">
          <a:extLst>
            <a:ext uri="{FF2B5EF4-FFF2-40B4-BE49-F238E27FC236}">
              <a16:creationId xmlns:a16="http://schemas.microsoft.com/office/drawing/2014/main" id="{BC84A485-3EB3-4658-871D-9D2409CB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122" name="BEx1KD7H6UB1VYCJ7O61P562EIUY" descr="IQGV9140X0K0UPBL8OGU3I44J" hidden="1">
          <a:extLst>
            <a:ext uri="{FF2B5EF4-FFF2-40B4-BE49-F238E27FC236}">
              <a16:creationId xmlns:a16="http://schemas.microsoft.com/office/drawing/2014/main" id="{27C510B3-4A89-4280-A05D-8F0B9CBD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123" name="BEx5BJQWS6YWHH4ZMSUAMD641V6Y" descr="ZTMFMXCIQSECDX38ALEFHUB00" hidden="1">
          <a:extLst>
            <a:ext uri="{FF2B5EF4-FFF2-40B4-BE49-F238E27FC236}">
              <a16:creationId xmlns:a16="http://schemas.microsoft.com/office/drawing/2014/main" id="{879C7590-2592-41D1-AC73-3359F28C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24" name="BExVTO5Q8G2M7BPL4B2584LQS0R0" descr="OB6Q8NA4LZFE4GM9Y3V56BPMQ" hidden="1">
          <a:extLst>
            <a:ext uri="{FF2B5EF4-FFF2-40B4-BE49-F238E27FC236}">
              <a16:creationId xmlns:a16="http://schemas.microsoft.com/office/drawing/2014/main" id="{EE47ED81-B56A-4805-9BF5-9B2A7B21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25" name="BExIFSCLN1G86X78PFLTSMRP0US5" descr="9JK4SPV4DG7VTCZIILWHXQU5J" hidden="1">
          <a:extLst>
            <a:ext uri="{FF2B5EF4-FFF2-40B4-BE49-F238E27FC236}">
              <a16:creationId xmlns:a16="http://schemas.microsoft.com/office/drawing/2014/main" id="{A7CFDFD4-8D3F-4B7C-BA89-04A42603F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117472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6" name="BEx1I152WN2D3A85O2XN0DGXCWHN" descr="KHBZFMANRA4UMJR1AB4M5NJNT" hidden="1">
          <a:extLst>
            <a:ext uri="{FF2B5EF4-FFF2-40B4-BE49-F238E27FC236}">
              <a16:creationId xmlns:a16="http://schemas.microsoft.com/office/drawing/2014/main" id="{2499846F-6E16-481D-A998-91247C4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27" name="BExW9676P0SKCVKK25QCGHPA3PAD" descr="9A4PWZ20RMSRF0PNECCDM75CA" hidden="1">
          <a:extLst>
            <a:ext uri="{FF2B5EF4-FFF2-40B4-BE49-F238E27FC236}">
              <a16:creationId xmlns:a16="http://schemas.microsoft.com/office/drawing/2014/main" id="{BC34899B-F2C0-45EC-A791-653861CC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128" name="BExW253QPOZK9KW8BJC3LBXGCG2N" descr="Y5HX37BEUWSN1NEFJKZJXI3SX" hidden="1">
          <a:extLst>
            <a:ext uri="{FF2B5EF4-FFF2-40B4-BE49-F238E27FC236}">
              <a16:creationId xmlns:a16="http://schemas.microsoft.com/office/drawing/2014/main" id="{FF1B5AC8-291E-4FF8-9056-4F0D8B10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29" name="BExS5CPQ8P8JOQPK7ANNKHLSGOKU" hidden="1">
          <a:extLst>
            <a:ext uri="{FF2B5EF4-FFF2-40B4-BE49-F238E27FC236}">
              <a16:creationId xmlns:a16="http://schemas.microsoft.com/office/drawing/2014/main" id="{F44164D9-870D-4881-A0EF-A648EE90A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0" name="BExMM0AVUAIRNJLXB1FW8R0YB4ZZ" hidden="1">
          <a:extLst>
            <a:ext uri="{FF2B5EF4-FFF2-40B4-BE49-F238E27FC236}">
              <a16:creationId xmlns:a16="http://schemas.microsoft.com/office/drawing/2014/main" id="{E99137F7-7B47-4831-9B4A-C43DEEA8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131" name="BExXZ7Y09CBS0XA7IPB3IRJ8RJM4" hidden="1">
          <a:extLst>
            <a:ext uri="{FF2B5EF4-FFF2-40B4-BE49-F238E27FC236}">
              <a16:creationId xmlns:a16="http://schemas.microsoft.com/office/drawing/2014/main" id="{E1913179-6922-4AB6-A1E9-D84007B5A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132" name="BExQ7SXS9VUG7P6CACU2J7R2SGIZ" hidden="1">
          <a:extLst>
            <a:ext uri="{FF2B5EF4-FFF2-40B4-BE49-F238E27FC236}">
              <a16:creationId xmlns:a16="http://schemas.microsoft.com/office/drawing/2014/main" id="{8CD75D53-4FF4-4BE2-B82D-D338EE64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44492</xdr:colOff>
      <xdr:row>0</xdr:row>
      <xdr:rowOff>58965</xdr:rowOff>
    </xdr:to>
    <xdr:pic>
      <xdr:nvPicPr>
        <xdr:cNvPr id="133" name="BEx5AQZ4ETQ9LMY5EBWVH20Z7VXQ" hidden="1">
          <a:extLst>
            <a:ext uri="{FF2B5EF4-FFF2-40B4-BE49-F238E27FC236}">
              <a16:creationId xmlns:a16="http://schemas.microsoft.com/office/drawing/2014/main" id="{D31A1D06-08D9-442F-B364-452312C0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44492</xdr:colOff>
      <xdr:row>0</xdr:row>
      <xdr:rowOff>135165</xdr:rowOff>
    </xdr:to>
    <xdr:pic>
      <xdr:nvPicPr>
        <xdr:cNvPr id="134" name="BExUBK0YZ5VYFY8TTITJGJU9S06A" hidden="1">
          <a:extLst>
            <a:ext uri="{FF2B5EF4-FFF2-40B4-BE49-F238E27FC236}">
              <a16:creationId xmlns:a16="http://schemas.microsoft.com/office/drawing/2014/main" id="{576DA275-29D7-4D20-B8F8-E745E3167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11343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58054</xdr:colOff>
      <xdr:row>0</xdr:row>
      <xdr:rowOff>58965</xdr:rowOff>
    </xdr:to>
    <xdr:pic>
      <xdr:nvPicPr>
        <xdr:cNvPr id="135" name="BExUEZCSSJ7RN4J18I2NUIQR2FZS" hidden="1">
          <a:extLst>
            <a:ext uri="{FF2B5EF4-FFF2-40B4-BE49-F238E27FC236}">
              <a16:creationId xmlns:a16="http://schemas.microsoft.com/office/drawing/2014/main" id="{4360E333-49C3-476D-B57A-EB66F491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58054</xdr:colOff>
      <xdr:row>0</xdr:row>
      <xdr:rowOff>135165</xdr:rowOff>
    </xdr:to>
    <xdr:pic>
      <xdr:nvPicPr>
        <xdr:cNvPr id="136" name="BExS3JDQWF7U3F5JTEVOE16ASIYK" hidden="1">
          <a:extLst>
            <a:ext uri="{FF2B5EF4-FFF2-40B4-BE49-F238E27FC236}">
              <a16:creationId xmlns:a16="http://schemas.microsoft.com/office/drawing/2014/main" id="{0B809DC3-17D2-45A1-83C7-BA1CC5DA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10613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137" name="BEx973S463FCQVJ7QDFBUIU0WJ3F" descr="ZQTVYL8DCSADVT0QMRXFLU0TR" hidden="1">
          <a:extLst>
            <a:ext uri="{FF2B5EF4-FFF2-40B4-BE49-F238E27FC236}">
              <a16:creationId xmlns:a16="http://schemas.microsoft.com/office/drawing/2014/main" id="{BC15E8F9-4D8A-44AE-8AE9-91EADEAC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54880</xdr:rowOff>
    </xdr:to>
    <xdr:pic>
      <xdr:nvPicPr>
        <xdr:cNvPr id="138" name="BExRZO0PLWWMCLGRH7EH6UXYWGAJ" descr="9D4GQ34QB727H10MA3SSAR2R9" hidden="1">
          <a:extLst>
            <a:ext uri="{FF2B5EF4-FFF2-40B4-BE49-F238E27FC236}">
              <a16:creationId xmlns:a16="http://schemas.microsoft.com/office/drawing/2014/main" id="{B5D57A51-45EA-4929-860C-45C28230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8</xdr:row>
      <xdr:rowOff>168275</xdr:rowOff>
    </xdr:to>
    <xdr:pic>
      <xdr:nvPicPr>
        <xdr:cNvPr id="139" name="BExBDP6HNAAJUM39SE5G2C8BKNRQ" descr="1TM64TL2QIMYV7WYSV2VLGXY4" hidden="1">
          <a:extLst>
            <a:ext uri="{FF2B5EF4-FFF2-40B4-BE49-F238E27FC236}">
              <a16:creationId xmlns:a16="http://schemas.microsoft.com/office/drawing/2014/main" id="{CD5A029D-AE44-4525-81E0-63CE19E29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140" name="BExQEGJP61DL2NZY6LMBHBZ0J5YT" descr="D6ZNRZJ7EX4GZT9RO8LE0C905" hidden="1">
          <a:extLst>
            <a:ext uri="{FF2B5EF4-FFF2-40B4-BE49-F238E27FC236}">
              <a16:creationId xmlns:a16="http://schemas.microsoft.com/office/drawing/2014/main" id="{FEB20A90-DCC7-4CBD-A80D-3348ECA4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62595</xdr:rowOff>
    </xdr:to>
    <xdr:pic>
      <xdr:nvPicPr>
        <xdr:cNvPr id="141" name="BExTY1BCS6HZIF6HI5491FGHDVAE" descr="MJ6976KI2UH1IE8M227DUYXMJ" hidden="1">
          <a:extLst>
            <a:ext uri="{FF2B5EF4-FFF2-40B4-BE49-F238E27FC236}">
              <a16:creationId xmlns:a16="http://schemas.microsoft.com/office/drawing/2014/main" id="{DDCE845C-C0CC-4899-A164-715EFAC1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2" name="BEx5FXJGJOT93D0J2IRJ3985IUMI" hidden="1">
          <a:extLst>
            <a:ext uri="{FF2B5EF4-FFF2-40B4-BE49-F238E27FC236}">
              <a16:creationId xmlns:a16="http://schemas.microsoft.com/office/drawing/2014/main" id="{D6A718B9-0921-49FC-B7BF-F57B50C9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3" name="BEx3RTMHAR35NUAAK49TV6NU7EPA" descr="QFXLG4ZCXTRQSJYFCKJ58G9N8" hidden="1">
          <a:extLst>
            <a:ext uri="{FF2B5EF4-FFF2-40B4-BE49-F238E27FC236}">
              <a16:creationId xmlns:a16="http://schemas.microsoft.com/office/drawing/2014/main" id="{E4FC6978-7958-4648-A6B4-23D81F3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144" name="BExS8T38WLC2R738ZC7BDJQAKJAJ" descr="MRI962L5PB0E0YWXCIBN82VJH" hidden="1">
          <a:extLst>
            <a:ext uri="{FF2B5EF4-FFF2-40B4-BE49-F238E27FC236}">
              <a16:creationId xmlns:a16="http://schemas.microsoft.com/office/drawing/2014/main" id="{95FA9FB9-8E59-477A-B4F9-1A4CB897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5" name="BEx5F64BJ6DCM4EJH81D5ZFNPZ0V" descr="7DJ9FILZD2YPS6X1JBP9E76TU" hidden="1">
          <a:extLst>
            <a:ext uri="{FF2B5EF4-FFF2-40B4-BE49-F238E27FC236}">
              <a16:creationId xmlns:a16="http://schemas.microsoft.com/office/drawing/2014/main" id="{EFF94BB9-8DD6-4CF3-AA7F-19DB708D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46" name="BExQEXXHA3EEXR44LT6RKCDWM6ZT" hidden="1">
          <a:extLst>
            <a:ext uri="{FF2B5EF4-FFF2-40B4-BE49-F238E27FC236}">
              <a16:creationId xmlns:a16="http://schemas.microsoft.com/office/drawing/2014/main" id="{599E9812-3051-40FF-B27C-C442902E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149225</xdr:rowOff>
    </xdr:to>
    <xdr:pic>
      <xdr:nvPicPr>
        <xdr:cNvPr id="147" name="BEx1X6AMHV6ZK3UJB2BXIJTJHYJU" descr="OALR4L95ELQLZ1Y1LETHM1CS9" hidden="1">
          <a:extLst>
            <a:ext uri="{FF2B5EF4-FFF2-40B4-BE49-F238E27FC236}">
              <a16:creationId xmlns:a16="http://schemas.microsoft.com/office/drawing/2014/main" id="{602EBED7-B9BC-4EC0-8006-68DE9665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148" name="BExSDIVCE09QKG3CT52PHCS6ZJ09" descr="9F076L7EQCF2COMMGCQG6BQGU" hidden="1">
          <a:extLst>
            <a:ext uri="{FF2B5EF4-FFF2-40B4-BE49-F238E27FC236}">
              <a16:creationId xmlns:a16="http://schemas.microsoft.com/office/drawing/2014/main" id="{0D43E773-20F4-49A9-B29D-E8F4C6223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54880</xdr:rowOff>
    </xdr:to>
    <xdr:pic>
      <xdr:nvPicPr>
        <xdr:cNvPr id="149" name="BEx1QZGQZBAWJ8591VXEIPUOVS7X" descr="MEW27CPIFG44B7E7HEQUUF5QF" hidden="1">
          <a:extLst>
            <a:ext uri="{FF2B5EF4-FFF2-40B4-BE49-F238E27FC236}">
              <a16:creationId xmlns:a16="http://schemas.microsoft.com/office/drawing/2014/main" id="{31B72CA7-AF6B-46C1-972B-C4FF2B1C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100695</xdr:rowOff>
    </xdr:to>
    <xdr:pic>
      <xdr:nvPicPr>
        <xdr:cNvPr id="150" name="BExMF7LICJLPXSHM63A6EQ79YQKG" descr="U084VZL15IMB1OFRRAY6GVKAE" hidden="1">
          <a:extLst>
            <a:ext uri="{FF2B5EF4-FFF2-40B4-BE49-F238E27FC236}">
              <a16:creationId xmlns:a16="http://schemas.microsoft.com/office/drawing/2014/main" id="{D892D9B9-9B7E-42D0-9F6E-90D0C2EA8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151" name="BExS343F8GCKP6HTF9Y97L133DX8" descr="ZRF0KB1IYQSNV63CTXT25G67G" hidden="1">
          <a:extLst>
            <a:ext uri="{FF2B5EF4-FFF2-40B4-BE49-F238E27FC236}">
              <a16:creationId xmlns:a16="http://schemas.microsoft.com/office/drawing/2014/main" id="{B4E25625-90CD-486C-9BF5-22DF1BA9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152" name="BExZMRC09W87CY4B73NPZMNH21AH" descr="78CUMI0OVLYJRSDRQ3V2YX812" hidden="1">
          <a:extLst>
            <a:ext uri="{FF2B5EF4-FFF2-40B4-BE49-F238E27FC236}">
              <a16:creationId xmlns:a16="http://schemas.microsoft.com/office/drawing/2014/main" id="{363F3836-FC2F-4C5F-A44C-F8DF8901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100695</xdr:rowOff>
    </xdr:to>
    <xdr:pic>
      <xdr:nvPicPr>
        <xdr:cNvPr id="153" name="BExZXVFJ4DY4I24AARDT4AMP6EN1" descr="TXSMH2MTH86CYKA26740RQPUC" hidden="1">
          <a:extLst>
            <a:ext uri="{FF2B5EF4-FFF2-40B4-BE49-F238E27FC236}">
              <a16:creationId xmlns:a16="http://schemas.microsoft.com/office/drawing/2014/main" id="{023044FB-702C-47DA-929E-11D4E19B1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149225</xdr:rowOff>
    </xdr:to>
    <xdr:pic>
      <xdr:nvPicPr>
        <xdr:cNvPr id="154" name="BExOCUIOFQWUGTBU5ESTW3EYEP5C" descr="9BNF49V0R6VVYPHEVMJ3ABDQZ" hidden="1">
          <a:extLst>
            <a:ext uri="{FF2B5EF4-FFF2-40B4-BE49-F238E27FC236}">
              <a16:creationId xmlns:a16="http://schemas.microsoft.com/office/drawing/2014/main" id="{C6EB2643-4DC5-46AF-A497-6D9F257DC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25639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24495</xdr:rowOff>
    </xdr:to>
    <xdr:pic>
      <xdr:nvPicPr>
        <xdr:cNvPr id="155" name="BExU65O9OE4B4MQ2A3OYH13M8BZJ" descr="3INNIMMPDBB0JF37L81M6ID21" hidden="1">
          <a:extLst>
            <a:ext uri="{FF2B5EF4-FFF2-40B4-BE49-F238E27FC236}">
              <a16:creationId xmlns:a16="http://schemas.microsoft.com/office/drawing/2014/main" id="{69CF8B32-33DA-4033-A1CC-3D4A9C9F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156" name="BExOPRCR0UW7TKXSV5WDTL348FGL" descr="S9JM17GP1802LHN4GT14BJYIC" hidden="1">
          <a:extLst>
            <a:ext uri="{FF2B5EF4-FFF2-40B4-BE49-F238E27FC236}">
              <a16:creationId xmlns:a16="http://schemas.microsoft.com/office/drawing/2014/main" id="{FD07AC45-96A5-4ED4-AE98-A866A45B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133350</xdr:rowOff>
    </xdr:to>
    <xdr:pic>
      <xdr:nvPicPr>
        <xdr:cNvPr id="157" name="BEx5OESAY2W8SEGI3TSB65EHJ04B" descr="9CN2Y88X8WYV1HWZG1QILY9BK" hidden="1">
          <a:extLst>
            <a:ext uri="{FF2B5EF4-FFF2-40B4-BE49-F238E27FC236}">
              <a16:creationId xmlns:a16="http://schemas.microsoft.com/office/drawing/2014/main" id="{5161BC00-7AC9-4FBF-8495-AD39BBFC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192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158" name="BExGMWEQ2BYRY9BAO5T1X850MJN1" descr="AZ9ST0XDIOP50HSUFO5V31BR0" hidden="1">
          <a:extLst>
            <a:ext uri="{FF2B5EF4-FFF2-40B4-BE49-F238E27FC236}">
              <a16:creationId xmlns:a16="http://schemas.microsoft.com/office/drawing/2014/main" id="{A980BD33-0173-4ED9-98A7-8F7054E0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59" name="BExMO7VFCN4EL59982UR4AJ25JNJ" descr="XX6TINEJADZGKR0CTM7ZRT0RA" hidden="1">
          <a:extLst>
            <a:ext uri="{FF2B5EF4-FFF2-40B4-BE49-F238E27FC236}">
              <a16:creationId xmlns:a16="http://schemas.microsoft.com/office/drawing/2014/main" id="{09CF08C4-2265-4715-AC3E-053889F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0" name="BExU3EX5JJCXCII4YKUJBFBGIJR2" descr="OF5ZI9PI5WH36VPANJ2DYLNMI" hidden="1">
          <a:extLst>
            <a:ext uri="{FF2B5EF4-FFF2-40B4-BE49-F238E27FC236}">
              <a16:creationId xmlns:a16="http://schemas.microsoft.com/office/drawing/2014/main" id="{3D68230B-5A43-41A6-95D5-70AF6E67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61" name="BEx1KD7H6UB1VYCJ7O61P562EIUY" descr="IQGV9140X0K0UPBL8OGU3I44J" hidden="1">
          <a:extLst>
            <a:ext uri="{FF2B5EF4-FFF2-40B4-BE49-F238E27FC236}">
              <a16:creationId xmlns:a16="http://schemas.microsoft.com/office/drawing/2014/main" id="{ECCA41AB-32F6-42AA-956F-F4A274E9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62" name="BEx5BJQWS6YWHH4ZMSUAMD641V6Y" descr="ZTMFMXCIQSECDX38ALEFHUB00" hidden="1">
          <a:extLst>
            <a:ext uri="{FF2B5EF4-FFF2-40B4-BE49-F238E27FC236}">
              <a16:creationId xmlns:a16="http://schemas.microsoft.com/office/drawing/2014/main" id="{FF2C1D4D-9484-43EE-8D54-7A562A8D5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163" name="BExVTO5Q8G2M7BPL4B2584LQS0R0" descr="OB6Q8NA4LZFE4GM9Y3V56BPMQ" hidden="1">
          <a:extLst>
            <a:ext uri="{FF2B5EF4-FFF2-40B4-BE49-F238E27FC236}">
              <a16:creationId xmlns:a16="http://schemas.microsoft.com/office/drawing/2014/main" id="{64916F47-4375-479C-BBBC-994CE5C8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98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164" name="BExIFSCLN1G86X78PFLTSMRP0US5" descr="9JK4SPV4DG7VTCZIILWHXQU5J" hidden="1">
          <a:extLst>
            <a:ext uri="{FF2B5EF4-FFF2-40B4-BE49-F238E27FC236}">
              <a16:creationId xmlns:a16="http://schemas.microsoft.com/office/drawing/2014/main" id="{9FE887F0-0772-4EF3-9342-804EAB95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198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5" name="BEx1I152WN2D3A85O2XN0DGXCWHN" descr="KHBZFMANRA4UMJR1AB4M5NJNT" hidden="1">
          <a:extLst>
            <a:ext uri="{FF2B5EF4-FFF2-40B4-BE49-F238E27FC236}">
              <a16:creationId xmlns:a16="http://schemas.microsoft.com/office/drawing/2014/main" id="{920604B7-A426-4CE5-82FC-105CE3D8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6" name="BExW9676P0SKCVKK25QCGHPA3PAD" descr="9A4PWZ20RMSRF0PNECCDM75CA" hidden="1">
          <a:extLst>
            <a:ext uri="{FF2B5EF4-FFF2-40B4-BE49-F238E27FC236}">
              <a16:creationId xmlns:a16="http://schemas.microsoft.com/office/drawing/2014/main" id="{CE8A1A97-D150-407D-9845-9155FCA72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167" name="BExW253QPOZK9KW8BJC3LBXGCG2N" descr="Y5HX37BEUWSN1NEFJKZJXI3SX" hidden="1">
          <a:extLst>
            <a:ext uri="{FF2B5EF4-FFF2-40B4-BE49-F238E27FC236}">
              <a16:creationId xmlns:a16="http://schemas.microsoft.com/office/drawing/2014/main" id="{ED7CFB6A-66A9-4073-9ABD-5979C42AF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68" name="BExS5CPQ8P8JOQPK7ANNKHLSGOKU" hidden="1">
          <a:extLst>
            <a:ext uri="{FF2B5EF4-FFF2-40B4-BE49-F238E27FC236}">
              <a16:creationId xmlns:a16="http://schemas.microsoft.com/office/drawing/2014/main" id="{D49EB03C-E9D5-47CD-8199-990A0A9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69" name="BExMM0AVUAIRNJLXB1FW8R0YB4ZZ" hidden="1">
          <a:extLst>
            <a:ext uri="{FF2B5EF4-FFF2-40B4-BE49-F238E27FC236}">
              <a16:creationId xmlns:a16="http://schemas.microsoft.com/office/drawing/2014/main" id="{972C9957-47DF-4EFC-BC88-DAE3164A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70" name="BExXZ7Y09CBS0XA7IPB3IRJ8RJM4" hidden="1">
          <a:extLst>
            <a:ext uri="{FF2B5EF4-FFF2-40B4-BE49-F238E27FC236}">
              <a16:creationId xmlns:a16="http://schemas.microsoft.com/office/drawing/2014/main" id="{E2538243-D019-4BA4-8B14-0A7340AF0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71" name="BExQ7SXS9VUG7P6CACU2J7R2SGIZ" hidden="1">
          <a:extLst>
            <a:ext uri="{FF2B5EF4-FFF2-40B4-BE49-F238E27FC236}">
              <a16:creationId xmlns:a16="http://schemas.microsoft.com/office/drawing/2014/main" id="{67419C29-2ACF-4D84-A195-B21D82A1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172" name="BEx5AQZ4ETQ9LMY5EBWVH20Z7VXQ" hidden="1">
          <a:extLst>
            <a:ext uri="{FF2B5EF4-FFF2-40B4-BE49-F238E27FC236}">
              <a16:creationId xmlns:a16="http://schemas.microsoft.com/office/drawing/2014/main" id="{95D68F9D-FB06-4E20-997B-508374ACC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173" name="BExUBK0YZ5VYFY8TTITJGJU9S06A" hidden="1">
          <a:extLst>
            <a:ext uri="{FF2B5EF4-FFF2-40B4-BE49-F238E27FC236}">
              <a16:creationId xmlns:a16="http://schemas.microsoft.com/office/drawing/2014/main" id="{E52C5C8D-CBF2-42B3-ADC0-7C15841A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174" name="BExUEZCSSJ7RN4J18I2NUIQR2FZS" hidden="1">
          <a:extLst>
            <a:ext uri="{FF2B5EF4-FFF2-40B4-BE49-F238E27FC236}">
              <a16:creationId xmlns:a16="http://schemas.microsoft.com/office/drawing/2014/main" id="{B1073FA9-4906-45F0-9549-49DF727B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026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175" name="BExS3JDQWF7U3F5JTEVOE16ASIYK" hidden="1">
          <a:extLst>
            <a:ext uri="{FF2B5EF4-FFF2-40B4-BE49-F238E27FC236}">
              <a16:creationId xmlns:a16="http://schemas.microsoft.com/office/drawing/2014/main" id="{AC062972-F5BB-4596-9C89-47A5E2240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026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76" name="BEx973S463FCQVJ7QDFBUIU0WJ3F" descr="ZQTVYL8DCSADVT0QMRXFLU0TR" hidden="1">
          <a:extLst>
            <a:ext uri="{FF2B5EF4-FFF2-40B4-BE49-F238E27FC236}">
              <a16:creationId xmlns:a16="http://schemas.microsoft.com/office/drawing/2014/main" id="{A9885BF9-74D5-45C8-8440-65498EA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177" name="BExRZO0PLWWMCLGRH7EH6UXYWGAJ" descr="9D4GQ34QB727H10MA3SSAR2R9" hidden="1">
          <a:extLst>
            <a:ext uri="{FF2B5EF4-FFF2-40B4-BE49-F238E27FC236}">
              <a16:creationId xmlns:a16="http://schemas.microsoft.com/office/drawing/2014/main" id="{61B6D573-2167-47E9-8C8A-124C4066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178" name="BExBDP6HNAAJUM39SE5G2C8BKNRQ" descr="1TM64TL2QIMYV7WYSV2VLGXY4" hidden="1">
          <a:extLst>
            <a:ext uri="{FF2B5EF4-FFF2-40B4-BE49-F238E27FC236}">
              <a16:creationId xmlns:a16="http://schemas.microsoft.com/office/drawing/2014/main" id="{8A03DD9B-2330-4ECE-90E9-AD5DB0581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179" name="BExQEGJP61DL2NZY6LMBHBZ0J5YT" descr="D6ZNRZJ7EX4GZT9RO8LE0C905" hidden="1">
          <a:extLst>
            <a:ext uri="{FF2B5EF4-FFF2-40B4-BE49-F238E27FC236}">
              <a16:creationId xmlns:a16="http://schemas.microsoft.com/office/drawing/2014/main" id="{558BAE6B-EDE2-40B0-B8C7-E0FB140F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180" name="BExTY1BCS6HZIF6HI5491FGHDVAE" descr="MJ6976KI2UH1IE8M227DUYXMJ" hidden="1">
          <a:extLst>
            <a:ext uri="{FF2B5EF4-FFF2-40B4-BE49-F238E27FC236}">
              <a16:creationId xmlns:a16="http://schemas.microsoft.com/office/drawing/2014/main" id="{5C388BEA-669B-46A9-89C8-0F361834F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1" name="BEx5FXJGJOT93D0J2IRJ3985IUMI" hidden="1">
          <a:extLst>
            <a:ext uri="{FF2B5EF4-FFF2-40B4-BE49-F238E27FC236}">
              <a16:creationId xmlns:a16="http://schemas.microsoft.com/office/drawing/2014/main" id="{4A4DC891-F8A1-4DB1-B5CF-C8C264B6D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2" name="BEx3RTMHAR35NUAAK49TV6NU7EPA" descr="QFXLG4ZCXTRQSJYFCKJ58G9N8" hidden="1">
          <a:extLst>
            <a:ext uri="{FF2B5EF4-FFF2-40B4-BE49-F238E27FC236}">
              <a16:creationId xmlns:a16="http://schemas.microsoft.com/office/drawing/2014/main" id="{F9B1834B-C63B-4BB9-910E-6EF76543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83" name="BExS8T38WLC2R738ZC7BDJQAKJAJ" descr="MRI962L5PB0E0YWXCIBN82VJH" hidden="1">
          <a:extLst>
            <a:ext uri="{FF2B5EF4-FFF2-40B4-BE49-F238E27FC236}">
              <a16:creationId xmlns:a16="http://schemas.microsoft.com/office/drawing/2014/main" id="{7A6ED964-BE36-4697-9B97-8ADD32D2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4" name="BEx5F64BJ6DCM4EJH81D5ZFNPZ0V" descr="7DJ9FILZD2YPS6X1JBP9E76TU" hidden="1">
          <a:extLst>
            <a:ext uri="{FF2B5EF4-FFF2-40B4-BE49-F238E27FC236}">
              <a16:creationId xmlns:a16="http://schemas.microsoft.com/office/drawing/2014/main" id="{3A3C7627-D77F-43D9-BD5B-47C85FF6E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85" name="BExQEXXHA3EEXR44LT6RKCDWM6ZT" hidden="1">
          <a:extLst>
            <a:ext uri="{FF2B5EF4-FFF2-40B4-BE49-F238E27FC236}">
              <a16:creationId xmlns:a16="http://schemas.microsoft.com/office/drawing/2014/main" id="{AC7CE599-D0FF-4BF3-9F9A-990739349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186" name="BEx1X6AMHV6ZK3UJB2BXIJTJHYJU" descr="OALR4L95ELQLZ1Y1LETHM1CS9" hidden="1">
          <a:extLst>
            <a:ext uri="{FF2B5EF4-FFF2-40B4-BE49-F238E27FC236}">
              <a16:creationId xmlns:a16="http://schemas.microsoft.com/office/drawing/2014/main" id="{2AF34CBA-498E-4F33-885D-D1F423DD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187" name="BExSDIVCE09QKG3CT52PHCS6ZJ09" descr="9F076L7EQCF2COMMGCQG6BQGU" hidden="1">
          <a:extLst>
            <a:ext uri="{FF2B5EF4-FFF2-40B4-BE49-F238E27FC236}">
              <a16:creationId xmlns:a16="http://schemas.microsoft.com/office/drawing/2014/main" id="{86AFEC09-102A-4CDD-B604-3EA11694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188" name="BEx1QZGQZBAWJ8591VXEIPUOVS7X" descr="MEW27CPIFG44B7E7HEQUUF5QF" hidden="1">
          <a:extLst>
            <a:ext uri="{FF2B5EF4-FFF2-40B4-BE49-F238E27FC236}">
              <a16:creationId xmlns:a16="http://schemas.microsoft.com/office/drawing/2014/main" id="{78576891-D359-449A-A70A-F7150CBC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189" name="BExMF7LICJLPXSHM63A6EQ79YQKG" descr="U084VZL15IMB1OFRRAY6GVKAE" hidden="1">
          <a:extLst>
            <a:ext uri="{FF2B5EF4-FFF2-40B4-BE49-F238E27FC236}">
              <a16:creationId xmlns:a16="http://schemas.microsoft.com/office/drawing/2014/main" id="{FE47E18B-6747-4C24-B050-17E07D8C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90" name="BExS343F8GCKP6HTF9Y97L133DX8" descr="ZRF0KB1IYQSNV63CTXT25G67G" hidden="1">
          <a:extLst>
            <a:ext uri="{FF2B5EF4-FFF2-40B4-BE49-F238E27FC236}">
              <a16:creationId xmlns:a16="http://schemas.microsoft.com/office/drawing/2014/main" id="{4238E696-9EED-42D8-B898-8B2DDB16E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91" name="BExZMRC09W87CY4B73NPZMNH21AH" descr="78CUMI0OVLYJRSDRQ3V2YX812" hidden="1">
          <a:extLst>
            <a:ext uri="{FF2B5EF4-FFF2-40B4-BE49-F238E27FC236}">
              <a16:creationId xmlns:a16="http://schemas.microsoft.com/office/drawing/2014/main" id="{FB95B106-1028-44B2-B71C-E6634BF3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192" name="BExZXVFJ4DY4I24AARDT4AMP6EN1" descr="TXSMH2MTH86CYKA26740RQPUC" hidden="1">
          <a:extLst>
            <a:ext uri="{FF2B5EF4-FFF2-40B4-BE49-F238E27FC236}">
              <a16:creationId xmlns:a16="http://schemas.microsoft.com/office/drawing/2014/main" id="{8A3728DB-A1D8-4597-B818-C0CF2EB1E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93" name="BExOCUIOFQWUGTBU5ESTW3EYEP5C" descr="9BNF49V0R6VVYPHEVMJ3ABDQZ" hidden="1">
          <a:extLst>
            <a:ext uri="{FF2B5EF4-FFF2-40B4-BE49-F238E27FC236}">
              <a16:creationId xmlns:a16="http://schemas.microsoft.com/office/drawing/2014/main" id="{EB2E32D6-5FF4-4C20-BA7C-ECE48370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194" name="BExU65O9OE4B4MQ2A3OYH13M8BZJ" descr="3INNIMMPDBB0JF37L81M6ID21" hidden="1">
          <a:extLst>
            <a:ext uri="{FF2B5EF4-FFF2-40B4-BE49-F238E27FC236}">
              <a16:creationId xmlns:a16="http://schemas.microsoft.com/office/drawing/2014/main" id="{9AFD5E22-3F08-4936-BAE1-B85D7A52D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195" name="BExOPRCR0UW7TKXSV5WDTL348FGL" descr="S9JM17GP1802LHN4GT14BJYIC" hidden="1">
          <a:extLst>
            <a:ext uri="{FF2B5EF4-FFF2-40B4-BE49-F238E27FC236}">
              <a16:creationId xmlns:a16="http://schemas.microsoft.com/office/drawing/2014/main" id="{1B4D84C4-8FC2-4128-BBD6-1FCE36FF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196" name="BEx5OESAY2W8SEGI3TSB65EHJ04B" descr="9CN2Y88X8WYV1HWZG1QILY9BK" hidden="1">
          <a:extLst>
            <a:ext uri="{FF2B5EF4-FFF2-40B4-BE49-F238E27FC236}">
              <a16:creationId xmlns:a16="http://schemas.microsoft.com/office/drawing/2014/main" id="{EEADEDE7-5BE1-4211-9D4B-BC48E9A5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97" name="BExGMWEQ2BYRY9BAO5T1X850MJN1" descr="AZ9ST0XDIOP50HSUFO5V31BR0" hidden="1">
          <a:extLst>
            <a:ext uri="{FF2B5EF4-FFF2-40B4-BE49-F238E27FC236}">
              <a16:creationId xmlns:a16="http://schemas.microsoft.com/office/drawing/2014/main" id="{5DD06FFD-1CE7-4E51-8D8F-0BDA26FB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198" name="BExMO7VFCN4EL59982UR4AJ25JNJ" descr="XX6TINEJADZGKR0CTM7ZRT0RA" hidden="1">
          <a:extLst>
            <a:ext uri="{FF2B5EF4-FFF2-40B4-BE49-F238E27FC236}">
              <a16:creationId xmlns:a16="http://schemas.microsoft.com/office/drawing/2014/main" id="{0CCDF266-8950-4B5D-94E7-18E28DEA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199" name="BExU3EX5JJCXCII4YKUJBFBGIJR2" descr="OF5ZI9PI5WH36VPANJ2DYLNMI" hidden="1">
          <a:extLst>
            <a:ext uri="{FF2B5EF4-FFF2-40B4-BE49-F238E27FC236}">
              <a16:creationId xmlns:a16="http://schemas.microsoft.com/office/drawing/2014/main" id="{5B8B7A70-AA20-4910-9B81-01B314B6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00" name="BEx1KD7H6UB1VYCJ7O61P562EIUY" descr="IQGV9140X0K0UPBL8OGU3I44J" hidden="1">
          <a:extLst>
            <a:ext uri="{FF2B5EF4-FFF2-40B4-BE49-F238E27FC236}">
              <a16:creationId xmlns:a16="http://schemas.microsoft.com/office/drawing/2014/main" id="{8FD4E677-11CA-4CDE-BF98-C0AC8F54B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01" name="BEx5BJQWS6YWHH4ZMSUAMD641V6Y" descr="ZTMFMXCIQSECDX38ALEFHUB00" hidden="1">
          <a:extLst>
            <a:ext uri="{FF2B5EF4-FFF2-40B4-BE49-F238E27FC236}">
              <a16:creationId xmlns:a16="http://schemas.microsoft.com/office/drawing/2014/main" id="{C471313A-4804-47B8-9C46-72E29FCC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02" name="BExVTO5Q8G2M7BPL4B2584LQS0R0" descr="OB6Q8NA4LZFE4GM9Y3V56BPMQ" hidden="1">
          <a:extLst>
            <a:ext uri="{FF2B5EF4-FFF2-40B4-BE49-F238E27FC236}">
              <a16:creationId xmlns:a16="http://schemas.microsoft.com/office/drawing/2014/main" id="{4761C451-16DB-48DD-990F-59A20569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98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03" name="BExIFSCLN1G86X78PFLTSMRP0US5" descr="9JK4SPV4DG7VTCZIILWHXQU5J" hidden="1">
          <a:extLst>
            <a:ext uri="{FF2B5EF4-FFF2-40B4-BE49-F238E27FC236}">
              <a16:creationId xmlns:a16="http://schemas.microsoft.com/office/drawing/2014/main" id="{A202764C-C757-42DC-ADD4-ADB96D8E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198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4" name="BEx1I152WN2D3A85O2XN0DGXCWHN" descr="KHBZFMANRA4UMJR1AB4M5NJNT" hidden="1">
          <a:extLst>
            <a:ext uri="{FF2B5EF4-FFF2-40B4-BE49-F238E27FC236}">
              <a16:creationId xmlns:a16="http://schemas.microsoft.com/office/drawing/2014/main" id="{41D3146C-E7B7-4C0D-8CB4-46E258E87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5" name="BExW9676P0SKCVKK25QCGHPA3PAD" descr="9A4PWZ20RMSRF0PNECCDM75CA" hidden="1">
          <a:extLst>
            <a:ext uri="{FF2B5EF4-FFF2-40B4-BE49-F238E27FC236}">
              <a16:creationId xmlns:a16="http://schemas.microsoft.com/office/drawing/2014/main" id="{DC50E91F-0708-46F7-A7ED-AB97BCD0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06" name="BExW253QPOZK9KW8BJC3LBXGCG2N" descr="Y5HX37BEUWSN1NEFJKZJXI3SX" hidden="1">
          <a:extLst>
            <a:ext uri="{FF2B5EF4-FFF2-40B4-BE49-F238E27FC236}">
              <a16:creationId xmlns:a16="http://schemas.microsoft.com/office/drawing/2014/main" id="{1FF9094A-18D5-460F-BC8F-51E72135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7" name="BExS5CPQ8P8JOQPK7ANNKHLSGOKU" hidden="1">
          <a:extLst>
            <a:ext uri="{FF2B5EF4-FFF2-40B4-BE49-F238E27FC236}">
              <a16:creationId xmlns:a16="http://schemas.microsoft.com/office/drawing/2014/main" id="{252AFA47-5DA6-4451-B4BC-19A2D9BC3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08" name="BExMM0AVUAIRNJLXB1FW8R0YB4ZZ" hidden="1">
          <a:extLst>
            <a:ext uri="{FF2B5EF4-FFF2-40B4-BE49-F238E27FC236}">
              <a16:creationId xmlns:a16="http://schemas.microsoft.com/office/drawing/2014/main" id="{090C5968-3313-46D5-BFE4-82E55409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09" name="BExXZ7Y09CBS0XA7IPB3IRJ8RJM4" hidden="1">
          <a:extLst>
            <a:ext uri="{FF2B5EF4-FFF2-40B4-BE49-F238E27FC236}">
              <a16:creationId xmlns:a16="http://schemas.microsoft.com/office/drawing/2014/main" id="{2F3C89A7-EB59-4062-82C2-25DC461E4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10" name="BExQ7SXS9VUG7P6CACU2J7R2SGIZ" hidden="1">
          <a:extLst>
            <a:ext uri="{FF2B5EF4-FFF2-40B4-BE49-F238E27FC236}">
              <a16:creationId xmlns:a16="http://schemas.microsoft.com/office/drawing/2014/main" id="{44FBB7B4-0569-4F0E-9A16-2DC2D9A07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11" name="BEx5AQZ4ETQ9LMY5EBWVH20Z7VXQ" hidden="1">
          <a:extLst>
            <a:ext uri="{FF2B5EF4-FFF2-40B4-BE49-F238E27FC236}">
              <a16:creationId xmlns:a16="http://schemas.microsoft.com/office/drawing/2014/main" id="{C8B8D333-24DA-4B36-AE5A-2C0DFFCE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12" name="BExUBK0YZ5VYFY8TTITJGJU9S06A" hidden="1">
          <a:extLst>
            <a:ext uri="{FF2B5EF4-FFF2-40B4-BE49-F238E27FC236}">
              <a16:creationId xmlns:a16="http://schemas.microsoft.com/office/drawing/2014/main" id="{C768B151-2C4F-47EF-B24B-AD2B80F56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13" name="BExUEZCSSJ7RN4J18I2NUIQR2FZS" hidden="1">
          <a:extLst>
            <a:ext uri="{FF2B5EF4-FFF2-40B4-BE49-F238E27FC236}">
              <a16:creationId xmlns:a16="http://schemas.microsoft.com/office/drawing/2014/main" id="{5DE7CCF0-29A5-4C4D-A531-09135CCB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026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14" name="BExS3JDQWF7U3F5JTEVOE16ASIYK" hidden="1">
          <a:extLst>
            <a:ext uri="{FF2B5EF4-FFF2-40B4-BE49-F238E27FC236}">
              <a16:creationId xmlns:a16="http://schemas.microsoft.com/office/drawing/2014/main" id="{496672F9-BD72-4364-A008-6A747365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026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5" name="BEx973S463FCQVJ7QDFBUIU0WJ3F" descr="ZQTVYL8DCSADVT0QMRXFLU0TR" hidden="1">
          <a:extLst>
            <a:ext uri="{FF2B5EF4-FFF2-40B4-BE49-F238E27FC236}">
              <a16:creationId xmlns:a16="http://schemas.microsoft.com/office/drawing/2014/main" id="{CA6CEED0-A3D9-4D52-A35E-3AA894588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16" name="BExRZO0PLWWMCLGRH7EH6UXYWGAJ" descr="9D4GQ34QB727H10MA3SSAR2R9" hidden="1">
          <a:extLst>
            <a:ext uri="{FF2B5EF4-FFF2-40B4-BE49-F238E27FC236}">
              <a16:creationId xmlns:a16="http://schemas.microsoft.com/office/drawing/2014/main" id="{7BA0C41A-8A91-4EB9-AC58-F12D2CDE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17" name="BExBDP6HNAAJUM39SE5G2C8BKNRQ" descr="1TM64TL2QIMYV7WYSV2VLGXY4" hidden="1">
          <a:extLst>
            <a:ext uri="{FF2B5EF4-FFF2-40B4-BE49-F238E27FC236}">
              <a16:creationId xmlns:a16="http://schemas.microsoft.com/office/drawing/2014/main" id="{A72C02D3-B839-409E-AF00-F78401D8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18" name="BExQEGJP61DL2NZY6LMBHBZ0J5YT" descr="D6ZNRZJ7EX4GZT9RO8LE0C905" hidden="1">
          <a:extLst>
            <a:ext uri="{FF2B5EF4-FFF2-40B4-BE49-F238E27FC236}">
              <a16:creationId xmlns:a16="http://schemas.microsoft.com/office/drawing/2014/main" id="{2AF2142B-FA7C-401D-A1EE-040FF2B4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19" name="BExTY1BCS6HZIF6HI5491FGHDVAE" descr="MJ6976KI2UH1IE8M227DUYXMJ" hidden="1">
          <a:extLst>
            <a:ext uri="{FF2B5EF4-FFF2-40B4-BE49-F238E27FC236}">
              <a16:creationId xmlns:a16="http://schemas.microsoft.com/office/drawing/2014/main" id="{15666611-141E-4F81-8289-E402A075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0" name="BEx5FXJGJOT93D0J2IRJ3985IUMI" hidden="1">
          <a:extLst>
            <a:ext uri="{FF2B5EF4-FFF2-40B4-BE49-F238E27FC236}">
              <a16:creationId xmlns:a16="http://schemas.microsoft.com/office/drawing/2014/main" id="{B9473D59-C0A2-4F6B-AE28-51C6982B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1" name="BEx3RTMHAR35NUAAK49TV6NU7EPA" descr="QFXLG4ZCXTRQSJYFCKJ58G9N8" hidden="1">
          <a:extLst>
            <a:ext uri="{FF2B5EF4-FFF2-40B4-BE49-F238E27FC236}">
              <a16:creationId xmlns:a16="http://schemas.microsoft.com/office/drawing/2014/main" id="{61FD155E-A895-4EAD-ACF3-B5F1F148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22" name="BExS8T38WLC2R738ZC7BDJQAKJAJ" descr="MRI962L5PB0E0YWXCIBN82VJH" hidden="1">
          <a:extLst>
            <a:ext uri="{FF2B5EF4-FFF2-40B4-BE49-F238E27FC236}">
              <a16:creationId xmlns:a16="http://schemas.microsoft.com/office/drawing/2014/main" id="{BB92E6E5-A53B-4ED5-9520-FBECC6779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3" name="BEx5F64BJ6DCM4EJH81D5ZFNPZ0V" descr="7DJ9FILZD2YPS6X1JBP9E76TU" hidden="1">
          <a:extLst>
            <a:ext uri="{FF2B5EF4-FFF2-40B4-BE49-F238E27FC236}">
              <a16:creationId xmlns:a16="http://schemas.microsoft.com/office/drawing/2014/main" id="{4C4AE65F-4E72-4C5F-9105-AAA11627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4" name="BExQEXXHA3EEXR44LT6RKCDWM6ZT" hidden="1">
          <a:extLst>
            <a:ext uri="{FF2B5EF4-FFF2-40B4-BE49-F238E27FC236}">
              <a16:creationId xmlns:a16="http://schemas.microsoft.com/office/drawing/2014/main" id="{99F1A9FB-6DB0-4AA5-93F6-6EFFDECE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25" name="BEx1X6AMHV6ZK3UJB2BXIJTJHYJU" descr="OALR4L95ELQLZ1Y1LETHM1CS9" hidden="1">
          <a:extLst>
            <a:ext uri="{FF2B5EF4-FFF2-40B4-BE49-F238E27FC236}">
              <a16:creationId xmlns:a16="http://schemas.microsoft.com/office/drawing/2014/main" id="{4FCBAFC0-5ACB-47E3-8025-3E094670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26" name="BExSDIVCE09QKG3CT52PHCS6ZJ09" descr="9F076L7EQCF2COMMGCQG6BQGU" hidden="1">
          <a:extLst>
            <a:ext uri="{FF2B5EF4-FFF2-40B4-BE49-F238E27FC236}">
              <a16:creationId xmlns:a16="http://schemas.microsoft.com/office/drawing/2014/main" id="{615694F3-24C9-475D-9BD1-8A79D473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27" name="BEx1QZGQZBAWJ8591VXEIPUOVS7X" descr="MEW27CPIFG44B7E7HEQUUF5QF" hidden="1">
          <a:extLst>
            <a:ext uri="{FF2B5EF4-FFF2-40B4-BE49-F238E27FC236}">
              <a16:creationId xmlns:a16="http://schemas.microsoft.com/office/drawing/2014/main" id="{49F419E4-EE7D-4F4D-B26A-53FF35D24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28" name="BExMF7LICJLPXSHM63A6EQ79YQKG" descr="U084VZL15IMB1OFRRAY6GVKAE" hidden="1">
          <a:extLst>
            <a:ext uri="{FF2B5EF4-FFF2-40B4-BE49-F238E27FC236}">
              <a16:creationId xmlns:a16="http://schemas.microsoft.com/office/drawing/2014/main" id="{F30377D1-FADA-42F8-A381-2098BCAB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29" name="BExS343F8GCKP6HTF9Y97L133DX8" descr="ZRF0KB1IYQSNV63CTXT25G67G" hidden="1">
          <a:extLst>
            <a:ext uri="{FF2B5EF4-FFF2-40B4-BE49-F238E27FC236}">
              <a16:creationId xmlns:a16="http://schemas.microsoft.com/office/drawing/2014/main" id="{724A07F1-2C39-458A-8221-43373D69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30" name="BExZMRC09W87CY4B73NPZMNH21AH" descr="78CUMI0OVLYJRSDRQ3V2YX812" hidden="1">
          <a:extLst>
            <a:ext uri="{FF2B5EF4-FFF2-40B4-BE49-F238E27FC236}">
              <a16:creationId xmlns:a16="http://schemas.microsoft.com/office/drawing/2014/main" id="{E9B196A8-E075-4F2C-B78B-83735F819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31" name="BExZXVFJ4DY4I24AARDT4AMP6EN1" descr="TXSMH2MTH86CYKA26740RQPUC" hidden="1">
          <a:extLst>
            <a:ext uri="{FF2B5EF4-FFF2-40B4-BE49-F238E27FC236}">
              <a16:creationId xmlns:a16="http://schemas.microsoft.com/office/drawing/2014/main" id="{EB51003D-9DAB-4EDA-9E14-8D64B803C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32" name="BExOCUIOFQWUGTBU5ESTW3EYEP5C" descr="9BNF49V0R6VVYPHEVMJ3ABDQZ" hidden="1">
          <a:extLst>
            <a:ext uri="{FF2B5EF4-FFF2-40B4-BE49-F238E27FC236}">
              <a16:creationId xmlns:a16="http://schemas.microsoft.com/office/drawing/2014/main" id="{E351C83D-735A-43A4-AB31-7EC01128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33" name="BExU65O9OE4B4MQ2A3OYH13M8BZJ" descr="3INNIMMPDBB0JF37L81M6ID21" hidden="1">
          <a:extLst>
            <a:ext uri="{FF2B5EF4-FFF2-40B4-BE49-F238E27FC236}">
              <a16:creationId xmlns:a16="http://schemas.microsoft.com/office/drawing/2014/main" id="{EE61FE28-C106-4ED8-A37E-1122D4F1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34" name="BExOPRCR0UW7TKXSV5WDTL348FGL" descr="S9JM17GP1802LHN4GT14BJYIC" hidden="1">
          <a:extLst>
            <a:ext uri="{FF2B5EF4-FFF2-40B4-BE49-F238E27FC236}">
              <a16:creationId xmlns:a16="http://schemas.microsoft.com/office/drawing/2014/main" id="{05174870-5102-4241-AAE8-B4CC51CF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35" name="BEx5OESAY2W8SEGI3TSB65EHJ04B" descr="9CN2Y88X8WYV1HWZG1QILY9BK" hidden="1">
          <a:extLst>
            <a:ext uri="{FF2B5EF4-FFF2-40B4-BE49-F238E27FC236}">
              <a16:creationId xmlns:a16="http://schemas.microsoft.com/office/drawing/2014/main" id="{BDC0D047-17EB-4C6A-964B-E1388448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36" name="BExGMWEQ2BYRY9BAO5T1X850MJN1" descr="AZ9ST0XDIOP50HSUFO5V31BR0" hidden="1">
          <a:extLst>
            <a:ext uri="{FF2B5EF4-FFF2-40B4-BE49-F238E27FC236}">
              <a16:creationId xmlns:a16="http://schemas.microsoft.com/office/drawing/2014/main" id="{2061CFD4-7953-4186-B25B-AD311A66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37" name="BExMO7VFCN4EL59982UR4AJ25JNJ" descr="XX6TINEJADZGKR0CTM7ZRT0RA" hidden="1">
          <a:extLst>
            <a:ext uri="{FF2B5EF4-FFF2-40B4-BE49-F238E27FC236}">
              <a16:creationId xmlns:a16="http://schemas.microsoft.com/office/drawing/2014/main" id="{4F9BAC0A-D4FA-4CD3-B876-CCD40955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38" name="BExU3EX5JJCXCII4YKUJBFBGIJR2" descr="OF5ZI9PI5WH36VPANJ2DYLNMI" hidden="1">
          <a:extLst>
            <a:ext uri="{FF2B5EF4-FFF2-40B4-BE49-F238E27FC236}">
              <a16:creationId xmlns:a16="http://schemas.microsoft.com/office/drawing/2014/main" id="{A1F155A7-CC16-4A7F-B262-03397CE1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39" name="BEx1KD7H6UB1VYCJ7O61P562EIUY" descr="IQGV9140X0K0UPBL8OGU3I44J" hidden="1">
          <a:extLst>
            <a:ext uri="{FF2B5EF4-FFF2-40B4-BE49-F238E27FC236}">
              <a16:creationId xmlns:a16="http://schemas.microsoft.com/office/drawing/2014/main" id="{2DBB234D-0991-475F-A483-34A298188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40" name="BEx5BJQWS6YWHH4ZMSUAMD641V6Y" descr="ZTMFMXCIQSECDX38ALEFHUB00" hidden="1">
          <a:extLst>
            <a:ext uri="{FF2B5EF4-FFF2-40B4-BE49-F238E27FC236}">
              <a16:creationId xmlns:a16="http://schemas.microsoft.com/office/drawing/2014/main" id="{02BD3CF3-5D83-486B-9837-6385BB29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241" name="BExVTO5Q8G2M7BPL4B2584LQS0R0" descr="OB6Q8NA4LZFE4GM9Y3V56BPMQ" hidden="1">
          <a:extLst>
            <a:ext uri="{FF2B5EF4-FFF2-40B4-BE49-F238E27FC236}">
              <a16:creationId xmlns:a16="http://schemas.microsoft.com/office/drawing/2014/main" id="{B8C21913-0F3D-457B-BD6A-96CE6BAA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98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242" name="BExIFSCLN1G86X78PFLTSMRP0US5" descr="9JK4SPV4DG7VTCZIILWHXQU5J" hidden="1">
          <a:extLst>
            <a:ext uri="{FF2B5EF4-FFF2-40B4-BE49-F238E27FC236}">
              <a16:creationId xmlns:a16="http://schemas.microsoft.com/office/drawing/2014/main" id="{F7117A7E-654A-458F-9C2A-B96E7855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198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3" name="BEx1I152WN2D3A85O2XN0DGXCWHN" descr="KHBZFMANRA4UMJR1AB4M5NJNT" hidden="1">
          <a:extLst>
            <a:ext uri="{FF2B5EF4-FFF2-40B4-BE49-F238E27FC236}">
              <a16:creationId xmlns:a16="http://schemas.microsoft.com/office/drawing/2014/main" id="{C071C223-A3AB-42F7-BE17-55432194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4" name="BExW9676P0SKCVKK25QCGHPA3PAD" descr="9A4PWZ20RMSRF0PNECCDM75CA" hidden="1">
          <a:extLst>
            <a:ext uri="{FF2B5EF4-FFF2-40B4-BE49-F238E27FC236}">
              <a16:creationId xmlns:a16="http://schemas.microsoft.com/office/drawing/2014/main" id="{360E830F-C590-4B80-8C77-4113F00D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245" name="BExW253QPOZK9KW8BJC3LBXGCG2N" descr="Y5HX37BEUWSN1NEFJKZJXI3SX" hidden="1">
          <a:extLst>
            <a:ext uri="{FF2B5EF4-FFF2-40B4-BE49-F238E27FC236}">
              <a16:creationId xmlns:a16="http://schemas.microsoft.com/office/drawing/2014/main" id="{4414A91F-FB07-49EC-821A-CF27F7D7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6" name="BExS5CPQ8P8JOQPK7ANNKHLSGOKU" hidden="1">
          <a:extLst>
            <a:ext uri="{FF2B5EF4-FFF2-40B4-BE49-F238E27FC236}">
              <a16:creationId xmlns:a16="http://schemas.microsoft.com/office/drawing/2014/main" id="{F2A5774A-232D-4D12-A90B-A238C61E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7" name="BExMM0AVUAIRNJLXB1FW8R0YB4ZZ" hidden="1">
          <a:extLst>
            <a:ext uri="{FF2B5EF4-FFF2-40B4-BE49-F238E27FC236}">
              <a16:creationId xmlns:a16="http://schemas.microsoft.com/office/drawing/2014/main" id="{931F67FC-5B04-4F36-A295-B269FB285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248" name="BExXZ7Y09CBS0XA7IPB3IRJ8RJM4" hidden="1">
          <a:extLst>
            <a:ext uri="{FF2B5EF4-FFF2-40B4-BE49-F238E27FC236}">
              <a16:creationId xmlns:a16="http://schemas.microsoft.com/office/drawing/2014/main" id="{92873355-B3C1-4FE5-8450-5BD6E638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249" name="BExQ7SXS9VUG7P6CACU2J7R2SGIZ" hidden="1">
          <a:extLst>
            <a:ext uri="{FF2B5EF4-FFF2-40B4-BE49-F238E27FC236}">
              <a16:creationId xmlns:a16="http://schemas.microsoft.com/office/drawing/2014/main" id="{D6275F9D-2B93-4900-9FE1-47765272E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250" name="BEx5AQZ4ETQ9LMY5EBWVH20Z7VXQ" hidden="1">
          <a:extLst>
            <a:ext uri="{FF2B5EF4-FFF2-40B4-BE49-F238E27FC236}">
              <a16:creationId xmlns:a16="http://schemas.microsoft.com/office/drawing/2014/main" id="{CE700B67-5B99-4538-A816-D5631B7B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251" name="BExUBK0YZ5VYFY8TTITJGJU9S06A" hidden="1">
          <a:extLst>
            <a:ext uri="{FF2B5EF4-FFF2-40B4-BE49-F238E27FC236}">
              <a16:creationId xmlns:a16="http://schemas.microsoft.com/office/drawing/2014/main" id="{5B5FAB99-4FD2-43D9-A3CE-9AA14871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252" name="BExUEZCSSJ7RN4J18I2NUIQR2FZS" hidden="1">
          <a:extLst>
            <a:ext uri="{FF2B5EF4-FFF2-40B4-BE49-F238E27FC236}">
              <a16:creationId xmlns:a16="http://schemas.microsoft.com/office/drawing/2014/main" id="{4E322FBD-62A6-469F-A949-AA451EA0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026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253" name="BExS3JDQWF7U3F5JTEVOE16ASIYK" hidden="1">
          <a:extLst>
            <a:ext uri="{FF2B5EF4-FFF2-40B4-BE49-F238E27FC236}">
              <a16:creationId xmlns:a16="http://schemas.microsoft.com/office/drawing/2014/main" id="{AC778764-CF71-4E8F-A504-7879092A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026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54" name="BEx973S463FCQVJ7QDFBUIU0WJ3F" descr="ZQTVYL8DCSADVT0QMRXFLU0TR" hidden="1">
          <a:extLst>
            <a:ext uri="{FF2B5EF4-FFF2-40B4-BE49-F238E27FC236}">
              <a16:creationId xmlns:a16="http://schemas.microsoft.com/office/drawing/2014/main" id="{4B572084-6F0D-460B-8FA0-8F4972CB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255" name="BExRZO0PLWWMCLGRH7EH6UXYWGAJ" descr="9D4GQ34QB727H10MA3SSAR2R9" hidden="1">
          <a:extLst>
            <a:ext uri="{FF2B5EF4-FFF2-40B4-BE49-F238E27FC236}">
              <a16:creationId xmlns:a16="http://schemas.microsoft.com/office/drawing/2014/main" id="{1FDF3CC5-5ED2-45A9-A05A-DC6095B5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56" name="BExBDP6HNAAJUM39SE5G2C8BKNRQ" descr="1TM64TL2QIMYV7WYSV2VLGXY4" hidden="1">
          <a:extLst>
            <a:ext uri="{FF2B5EF4-FFF2-40B4-BE49-F238E27FC236}">
              <a16:creationId xmlns:a16="http://schemas.microsoft.com/office/drawing/2014/main" id="{1EFA828F-2E3F-4F5A-8DEA-1D339D56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57" name="BExQEGJP61DL2NZY6LMBHBZ0J5YT" descr="D6ZNRZJ7EX4GZT9RO8LE0C905" hidden="1">
          <a:extLst>
            <a:ext uri="{FF2B5EF4-FFF2-40B4-BE49-F238E27FC236}">
              <a16:creationId xmlns:a16="http://schemas.microsoft.com/office/drawing/2014/main" id="{9DF6349D-C211-49FC-884D-3BAD069B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258" name="BExTY1BCS6HZIF6HI5491FGHDVAE" descr="MJ6976KI2UH1IE8M227DUYXMJ" hidden="1">
          <a:extLst>
            <a:ext uri="{FF2B5EF4-FFF2-40B4-BE49-F238E27FC236}">
              <a16:creationId xmlns:a16="http://schemas.microsoft.com/office/drawing/2014/main" id="{F5AA807A-6611-453E-9886-80D940E6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59" name="BEx5FXJGJOT93D0J2IRJ3985IUMI" hidden="1">
          <a:extLst>
            <a:ext uri="{FF2B5EF4-FFF2-40B4-BE49-F238E27FC236}">
              <a16:creationId xmlns:a16="http://schemas.microsoft.com/office/drawing/2014/main" id="{F3DE189C-CD67-4ACB-BB8A-7E4723AC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0" name="BEx3RTMHAR35NUAAK49TV6NU7EPA" descr="QFXLG4ZCXTRQSJYFCKJ58G9N8" hidden="1">
          <a:extLst>
            <a:ext uri="{FF2B5EF4-FFF2-40B4-BE49-F238E27FC236}">
              <a16:creationId xmlns:a16="http://schemas.microsoft.com/office/drawing/2014/main" id="{E74A55D6-AB0D-42BE-8648-69466CAB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261" name="BExS8T38WLC2R738ZC7BDJQAKJAJ" descr="MRI962L5PB0E0YWXCIBN82VJH" hidden="1">
          <a:extLst>
            <a:ext uri="{FF2B5EF4-FFF2-40B4-BE49-F238E27FC236}">
              <a16:creationId xmlns:a16="http://schemas.microsoft.com/office/drawing/2014/main" id="{7160DB65-9041-464D-91CA-B1A2572F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2" name="BEx5F64BJ6DCM4EJH81D5ZFNPZ0V" descr="7DJ9FILZD2YPS6X1JBP9E76TU" hidden="1">
          <a:extLst>
            <a:ext uri="{FF2B5EF4-FFF2-40B4-BE49-F238E27FC236}">
              <a16:creationId xmlns:a16="http://schemas.microsoft.com/office/drawing/2014/main" id="{45372867-EC9D-4571-8E04-D768C4E3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63" name="BExQEXXHA3EEXR44LT6RKCDWM6ZT" hidden="1">
          <a:extLst>
            <a:ext uri="{FF2B5EF4-FFF2-40B4-BE49-F238E27FC236}">
              <a16:creationId xmlns:a16="http://schemas.microsoft.com/office/drawing/2014/main" id="{F562A680-16A6-424A-A867-7EE09247D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264" name="BEx1X6AMHV6ZK3UJB2BXIJTJHYJU" descr="OALR4L95ELQLZ1Y1LETHM1CS9" hidden="1">
          <a:extLst>
            <a:ext uri="{FF2B5EF4-FFF2-40B4-BE49-F238E27FC236}">
              <a16:creationId xmlns:a16="http://schemas.microsoft.com/office/drawing/2014/main" id="{C0E03C22-559A-40C9-9ECE-C04C876C2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265" name="BExSDIVCE09QKG3CT52PHCS6ZJ09" descr="9F076L7EQCF2COMMGCQG6BQGU" hidden="1">
          <a:extLst>
            <a:ext uri="{FF2B5EF4-FFF2-40B4-BE49-F238E27FC236}">
              <a16:creationId xmlns:a16="http://schemas.microsoft.com/office/drawing/2014/main" id="{50443C94-8BE8-4ACE-ABA3-0D5F607D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66" name="BEx1QZGQZBAWJ8591VXEIPUOVS7X" descr="MEW27CPIFG44B7E7HEQUUF5QF" hidden="1">
          <a:extLst>
            <a:ext uri="{FF2B5EF4-FFF2-40B4-BE49-F238E27FC236}">
              <a16:creationId xmlns:a16="http://schemas.microsoft.com/office/drawing/2014/main" id="{880200BD-FBD9-45DF-8CD5-EF035621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267" name="BExMF7LICJLPXSHM63A6EQ79YQKG" descr="U084VZL15IMB1OFRRAY6GVKAE" hidden="1">
          <a:extLst>
            <a:ext uri="{FF2B5EF4-FFF2-40B4-BE49-F238E27FC236}">
              <a16:creationId xmlns:a16="http://schemas.microsoft.com/office/drawing/2014/main" id="{B8D283BB-0BFD-4934-9247-4CADB58B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268" name="BExS343F8GCKP6HTF9Y97L133DX8" descr="ZRF0KB1IYQSNV63CTXT25G67G" hidden="1">
          <a:extLst>
            <a:ext uri="{FF2B5EF4-FFF2-40B4-BE49-F238E27FC236}">
              <a16:creationId xmlns:a16="http://schemas.microsoft.com/office/drawing/2014/main" id="{16D46F93-355E-4303-BAAB-3F174D876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269" name="BExZMRC09W87CY4B73NPZMNH21AH" descr="78CUMI0OVLYJRSDRQ3V2YX812" hidden="1">
          <a:extLst>
            <a:ext uri="{FF2B5EF4-FFF2-40B4-BE49-F238E27FC236}">
              <a16:creationId xmlns:a16="http://schemas.microsoft.com/office/drawing/2014/main" id="{5441BF14-7577-445F-827C-3FCFF65B8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270" name="BExZXVFJ4DY4I24AARDT4AMP6EN1" descr="TXSMH2MTH86CYKA26740RQPUC" hidden="1">
          <a:extLst>
            <a:ext uri="{FF2B5EF4-FFF2-40B4-BE49-F238E27FC236}">
              <a16:creationId xmlns:a16="http://schemas.microsoft.com/office/drawing/2014/main" id="{E85F0967-8EBC-4C86-937E-4441D440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271" name="BExOCUIOFQWUGTBU5ESTW3EYEP5C" descr="9BNF49V0R6VVYPHEVMJ3ABDQZ" hidden="1">
          <a:extLst>
            <a:ext uri="{FF2B5EF4-FFF2-40B4-BE49-F238E27FC236}">
              <a16:creationId xmlns:a16="http://schemas.microsoft.com/office/drawing/2014/main" id="{AE3AF902-7FD2-43AD-B868-6C6614CB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272" name="BExU65O9OE4B4MQ2A3OYH13M8BZJ" descr="3INNIMMPDBB0JF37L81M6ID21" hidden="1">
          <a:extLst>
            <a:ext uri="{FF2B5EF4-FFF2-40B4-BE49-F238E27FC236}">
              <a16:creationId xmlns:a16="http://schemas.microsoft.com/office/drawing/2014/main" id="{6C0CEA98-F304-4614-974F-96984D5D7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73" name="BExOPRCR0UW7TKXSV5WDTL348FGL" descr="S9JM17GP1802LHN4GT14BJYIC" hidden="1">
          <a:extLst>
            <a:ext uri="{FF2B5EF4-FFF2-40B4-BE49-F238E27FC236}">
              <a16:creationId xmlns:a16="http://schemas.microsoft.com/office/drawing/2014/main" id="{1752029B-F77F-435D-9EA8-3E1CB61F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74" name="BEx5OESAY2W8SEGI3TSB65EHJ04B" descr="9CN2Y88X8WYV1HWZG1QILY9BK" hidden="1">
          <a:extLst>
            <a:ext uri="{FF2B5EF4-FFF2-40B4-BE49-F238E27FC236}">
              <a16:creationId xmlns:a16="http://schemas.microsoft.com/office/drawing/2014/main" id="{454EB9BA-70A1-4CE4-92F3-E3F29D9B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75" name="BExGMWEQ2BYRY9BAO5T1X850MJN1" descr="AZ9ST0XDIOP50HSUFO5V31BR0" hidden="1">
          <a:extLst>
            <a:ext uri="{FF2B5EF4-FFF2-40B4-BE49-F238E27FC236}">
              <a16:creationId xmlns:a16="http://schemas.microsoft.com/office/drawing/2014/main" id="{3AECB111-8072-4E39-AC09-8A81582A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76" name="BExMO7VFCN4EL59982UR4AJ25JNJ" descr="XX6TINEJADZGKR0CTM7ZRT0RA" hidden="1">
          <a:extLst>
            <a:ext uri="{FF2B5EF4-FFF2-40B4-BE49-F238E27FC236}">
              <a16:creationId xmlns:a16="http://schemas.microsoft.com/office/drawing/2014/main" id="{A22FA97A-A339-426D-8EFE-986FF36C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77" name="BExU3EX5JJCXCII4YKUJBFBGIJR2" descr="OF5ZI9PI5WH36VPANJ2DYLNMI" hidden="1">
          <a:extLst>
            <a:ext uri="{FF2B5EF4-FFF2-40B4-BE49-F238E27FC236}">
              <a16:creationId xmlns:a16="http://schemas.microsoft.com/office/drawing/2014/main" id="{F6F48702-83B3-4695-A42C-65D4C3C67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78" name="BEx1KD7H6UB1VYCJ7O61P562EIUY" descr="IQGV9140X0K0UPBL8OGU3I44J" hidden="1">
          <a:extLst>
            <a:ext uri="{FF2B5EF4-FFF2-40B4-BE49-F238E27FC236}">
              <a16:creationId xmlns:a16="http://schemas.microsoft.com/office/drawing/2014/main" id="{9BDBA1EF-0079-428D-B897-4D91EA14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79" name="BEx5BJQWS6YWHH4ZMSUAMD641V6Y" descr="ZTMFMXCIQSECDX38ALEFHUB00" hidden="1">
          <a:extLst>
            <a:ext uri="{FF2B5EF4-FFF2-40B4-BE49-F238E27FC236}">
              <a16:creationId xmlns:a16="http://schemas.microsoft.com/office/drawing/2014/main" id="{13CD797A-A582-4D54-898D-EA1367983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1361</xdr:colOff>
      <xdr:row>0</xdr:row>
      <xdr:rowOff>58965</xdr:rowOff>
    </xdr:to>
    <xdr:pic>
      <xdr:nvPicPr>
        <xdr:cNvPr id="280" name="BExVTO5Q8G2M7BPL4B2584LQS0R0" descr="OB6Q8NA4LZFE4GM9Y3V56BPMQ" hidden="1">
          <a:extLst>
            <a:ext uri="{FF2B5EF4-FFF2-40B4-BE49-F238E27FC236}">
              <a16:creationId xmlns:a16="http://schemas.microsoft.com/office/drawing/2014/main" id="{9F8EF881-3FBD-491D-A314-FC26BA27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1361</xdr:colOff>
      <xdr:row>0</xdr:row>
      <xdr:rowOff>135165</xdr:rowOff>
    </xdr:to>
    <xdr:pic>
      <xdr:nvPicPr>
        <xdr:cNvPr id="281" name="BExIFSCLN1G86X78PFLTSMRP0US5" descr="9JK4SPV4DG7VTCZIILWHXQU5J" hidden="1">
          <a:extLst>
            <a:ext uri="{FF2B5EF4-FFF2-40B4-BE49-F238E27FC236}">
              <a16:creationId xmlns:a16="http://schemas.microsoft.com/office/drawing/2014/main" id="{5E6739F8-6C28-4E41-AE42-ABBEBDD37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6350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2" name="BEx1I152WN2D3A85O2XN0DGXCWHN" descr="KHBZFMANRA4UMJR1AB4M5NJNT" hidden="1">
          <a:extLst>
            <a:ext uri="{FF2B5EF4-FFF2-40B4-BE49-F238E27FC236}">
              <a16:creationId xmlns:a16="http://schemas.microsoft.com/office/drawing/2014/main" id="{9F8A5587-A2B1-4F1F-8B70-8C5B7360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3" name="BExW9676P0SKCVKK25QCGHPA3PAD" descr="9A4PWZ20RMSRF0PNECCDM75CA" hidden="1">
          <a:extLst>
            <a:ext uri="{FF2B5EF4-FFF2-40B4-BE49-F238E27FC236}">
              <a16:creationId xmlns:a16="http://schemas.microsoft.com/office/drawing/2014/main" id="{B51D943F-628F-4A50-A331-8BCAA7A6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19955</xdr:rowOff>
    </xdr:to>
    <xdr:pic>
      <xdr:nvPicPr>
        <xdr:cNvPr id="284" name="BExW253QPOZK9KW8BJC3LBXGCG2N" descr="Y5HX37BEUWSN1NEFJKZJXI3SX" hidden="1">
          <a:extLst>
            <a:ext uri="{FF2B5EF4-FFF2-40B4-BE49-F238E27FC236}">
              <a16:creationId xmlns:a16="http://schemas.microsoft.com/office/drawing/2014/main" id="{5BF94A45-7753-4DD8-94DC-D1EA1ECC1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5" name="BExS5CPQ8P8JOQPK7ANNKHLSGOKU" hidden="1">
          <a:extLst>
            <a:ext uri="{FF2B5EF4-FFF2-40B4-BE49-F238E27FC236}">
              <a16:creationId xmlns:a16="http://schemas.microsoft.com/office/drawing/2014/main" id="{641FCAF1-F703-4B40-9DA0-BC590745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6" name="BExMM0AVUAIRNJLXB1FW8R0YB4ZZ" hidden="1">
          <a:extLst>
            <a:ext uri="{FF2B5EF4-FFF2-40B4-BE49-F238E27FC236}">
              <a16:creationId xmlns:a16="http://schemas.microsoft.com/office/drawing/2014/main" id="{8FEBF3EB-BC50-4E27-83E4-788F6AB6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58965</xdr:colOff>
      <xdr:row>0</xdr:row>
      <xdr:rowOff>58965</xdr:rowOff>
    </xdr:to>
    <xdr:pic>
      <xdr:nvPicPr>
        <xdr:cNvPr id="287" name="BExXZ7Y09CBS0XA7IPB3IRJ8RJM4" hidden="1">
          <a:extLst>
            <a:ext uri="{FF2B5EF4-FFF2-40B4-BE49-F238E27FC236}">
              <a16:creationId xmlns:a16="http://schemas.microsoft.com/office/drawing/2014/main" id="{92A2C92D-D085-476F-BCF9-51D955C6C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58965</xdr:colOff>
      <xdr:row>0</xdr:row>
      <xdr:rowOff>135165</xdr:rowOff>
    </xdr:to>
    <xdr:pic>
      <xdr:nvPicPr>
        <xdr:cNvPr id="288" name="BExQ7SXS9VUG7P6CACU2J7R2SGIZ" hidden="1">
          <a:extLst>
            <a:ext uri="{FF2B5EF4-FFF2-40B4-BE49-F238E27FC236}">
              <a16:creationId xmlns:a16="http://schemas.microsoft.com/office/drawing/2014/main" id="{74BCFA5C-D674-4598-A74B-EA1CD945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39915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289" name="BEx5AQZ4ETQ9LMY5EBWVH20Z7VXQ" hidden="1">
          <a:extLst>
            <a:ext uri="{FF2B5EF4-FFF2-40B4-BE49-F238E27FC236}">
              <a16:creationId xmlns:a16="http://schemas.microsoft.com/office/drawing/2014/main" id="{785B2A3C-1C29-4C62-847D-7E167014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290" name="BExUBK0YZ5VYFY8TTITJGJU9S06A" hidden="1">
          <a:extLst>
            <a:ext uri="{FF2B5EF4-FFF2-40B4-BE49-F238E27FC236}">
              <a16:creationId xmlns:a16="http://schemas.microsoft.com/office/drawing/2014/main" id="{F06FCF05-202E-4039-9F84-08A1FCCE0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291" name="BExUEZCSSJ7RN4J18I2NUIQR2FZS" hidden="1">
          <a:extLst>
            <a:ext uri="{FF2B5EF4-FFF2-40B4-BE49-F238E27FC236}">
              <a16:creationId xmlns:a16="http://schemas.microsoft.com/office/drawing/2014/main" id="{2BC06299-F2D8-414A-8D30-60AB9B36A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292" name="BExS3JDQWF7U3F5JTEVOE16ASIYK" hidden="1">
          <a:extLst>
            <a:ext uri="{FF2B5EF4-FFF2-40B4-BE49-F238E27FC236}">
              <a16:creationId xmlns:a16="http://schemas.microsoft.com/office/drawing/2014/main" id="{D87525CA-7BB9-4CF6-ACD5-DAFCD4D29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293" name="BEx973S463FCQVJ7QDFBUIU0WJ3F" descr="ZQTVYL8DCSADVT0QMRXFLU0TR" hidden="1">
          <a:extLst>
            <a:ext uri="{FF2B5EF4-FFF2-40B4-BE49-F238E27FC236}">
              <a16:creationId xmlns:a16="http://schemas.microsoft.com/office/drawing/2014/main" id="{C4D16F93-1819-4423-9FE0-AE65B6AC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61230</xdr:rowOff>
    </xdr:to>
    <xdr:pic>
      <xdr:nvPicPr>
        <xdr:cNvPr id="294" name="BExRZO0PLWWMCLGRH7EH6UXYWGAJ" descr="9D4GQ34QB727H10MA3SSAR2R9" hidden="1">
          <a:extLst>
            <a:ext uri="{FF2B5EF4-FFF2-40B4-BE49-F238E27FC236}">
              <a16:creationId xmlns:a16="http://schemas.microsoft.com/office/drawing/2014/main" id="{96E5F4FB-868B-41F2-9901-91BBA188A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3175</xdr:rowOff>
    </xdr:to>
    <xdr:pic>
      <xdr:nvPicPr>
        <xdr:cNvPr id="295" name="BExBDP6HNAAJUM39SE5G2C8BKNRQ" descr="1TM64TL2QIMYV7WYSV2VLGXY4" hidden="1">
          <a:extLst>
            <a:ext uri="{FF2B5EF4-FFF2-40B4-BE49-F238E27FC236}">
              <a16:creationId xmlns:a16="http://schemas.microsoft.com/office/drawing/2014/main" id="{E92A54DB-FB76-467D-B666-6CB0ACE35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347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134255</xdr:rowOff>
    </xdr:to>
    <xdr:pic>
      <xdr:nvPicPr>
        <xdr:cNvPr id="296" name="BExQEGJP61DL2NZY6LMBHBZ0J5YT" descr="D6ZNRZJ7EX4GZT9RO8LE0C905" hidden="1">
          <a:extLst>
            <a:ext uri="{FF2B5EF4-FFF2-40B4-BE49-F238E27FC236}">
              <a16:creationId xmlns:a16="http://schemas.microsoft.com/office/drawing/2014/main" id="{D7230EE5-6830-4FC0-BDDB-E09D3BC4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62140</xdr:rowOff>
    </xdr:to>
    <xdr:pic>
      <xdr:nvPicPr>
        <xdr:cNvPr id="297" name="BExTY1BCS6HZIF6HI5491FGHDVAE" descr="MJ6976KI2UH1IE8M227DUYXMJ" hidden="1">
          <a:extLst>
            <a:ext uri="{FF2B5EF4-FFF2-40B4-BE49-F238E27FC236}">
              <a16:creationId xmlns:a16="http://schemas.microsoft.com/office/drawing/2014/main" id="{86BAEB76-A8AC-409C-BAF3-B127EB8EE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298" name="BEx5FXJGJOT93D0J2IRJ3985IUMI" hidden="1">
          <a:extLst>
            <a:ext uri="{FF2B5EF4-FFF2-40B4-BE49-F238E27FC236}">
              <a16:creationId xmlns:a16="http://schemas.microsoft.com/office/drawing/2014/main" id="{3B5E0540-F093-4118-B6F0-37D4AE20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299" name="BEx3RTMHAR35NUAAK49TV6NU7EPA" descr="QFXLG4ZCXTRQSJYFCKJ58G9N8" hidden="1">
          <a:extLst>
            <a:ext uri="{FF2B5EF4-FFF2-40B4-BE49-F238E27FC236}">
              <a16:creationId xmlns:a16="http://schemas.microsoft.com/office/drawing/2014/main" id="{2DE966EC-2CEC-430A-8C50-8D4FA3D66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96155</xdr:rowOff>
    </xdr:to>
    <xdr:pic>
      <xdr:nvPicPr>
        <xdr:cNvPr id="300" name="BExS8T38WLC2R738ZC7BDJQAKJAJ" descr="MRI962L5PB0E0YWXCIBN82VJH" hidden="1">
          <a:extLst>
            <a:ext uri="{FF2B5EF4-FFF2-40B4-BE49-F238E27FC236}">
              <a16:creationId xmlns:a16="http://schemas.microsoft.com/office/drawing/2014/main" id="{F60006C3-EBE9-4C95-B250-6471CD65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301" name="BEx5F64BJ6DCM4EJH81D5ZFNPZ0V" descr="7DJ9FILZD2YPS6X1JBP9E76TU" hidden="1">
          <a:extLst>
            <a:ext uri="{FF2B5EF4-FFF2-40B4-BE49-F238E27FC236}">
              <a16:creationId xmlns:a16="http://schemas.microsoft.com/office/drawing/2014/main" id="{FEF5FEB3-9496-4ABF-B785-1EC8F623F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302" name="BExQEXXHA3EEXR44LT6RKCDWM6ZT" hidden="1">
          <a:extLst>
            <a:ext uri="{FF2B5EF4-FFF2-40B4-BE49-F238E27FC236}">
              <a16:creationId xmlns:a16="http://schemas.microsoft.com/office/drawing/2014/main" id="{E22B18EC-74D0-4EDD-8D20-F70C5F2D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166005</xdr:rowOff>
    </xdr:to>
    <xdr:pic>
      <xdr:nvPicPr>
        <xdr:cNvPr id="303" name="BEx1X6AMHV6ZK3UJB2BXIJTJHYJU" descr="OALR4L95ELQLZ1Y1LETHM1CS9" hidden="1">
          <a:extLst>
            <a:ext uri="{FF2B5EF4-FFF2-40B4-BE49-F238E27FC236}">
              <a16:creationId xmlns:a16="http://schemas.microsoft.com/office/drawing/2014/main" id="{B5C8A8E8-00B8-4AFA-AEB7-C379378F6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58965</xdr:rowOff>
    </xdr:to>
    <xdr:pic>
      <xdr:nvPicPr>
        <xdr:cNvPr id="304" name="BExSDIVCE09QKG3CT52PHCS6ZJ09" descr="9F076L7EQCF2COMMGCQG6BQGU" hidden="1">
          <a:extLst>
            <a:ext uri="{FF2B5EF4-FFF2-40B4-BE49-F238E27FC236}">
              <a16:creationId xmlns:a16="http://schemas.microsoft.com/office/drawing/2014/main" id="{F05B2D11-E42F-417E-8F59-F966B589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61230</xdr:rowOff>
    </xdr:to>
    <xdr:pic>
      <xdr:nvPicPr>
        <xdr:cNvPr id="305" name="BEx1QZGQZBAWJ8591VXEIPUOVS7X" descr="MEW27CPIFG44B7E7HEQUUF5QF" hidden="1">
          <a:extLst>
            <a:ext uri="{FF2B5EF4-FFF2-40B4-BE49-F238E27FC236}">
              <a16:creationId xmlns:a16="http://schemas.microsoft.com/office/drawing/2014/main" id="{A1426AE0-2952-4B28-A106-08DFB756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100240</xdr:rowOff>
    </xdr:to>
    <xdr:pic>
      <xdr:nvPicPr>
        <xdr:cNvPr id="306" name="BExMF7LICJLPXSHM63A6EQ79YQKG" descr="U084VZL15IMB1OFRRAY6GVKAE" hidden="1">
          <a:extLst>
            <a:ext uri="{FF2B5EF4-FFF2-40B4-BE49-F238E27FC236}">
              <a16:creationId xmlns:a16="http://schemas.microsoft.com/office/drawing/2014/main" id="{54C8A5B7-E3FB-4DF5-A6AD-207094A8E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172355</xdr:rowOff>
    </xdr:to>
    <xdr:pic>
      <xdr:nvPicPr>
        <xdr:cNvPr id="307" name="BExS343F8GCKP6HTF9Y97L133DX8" descr="ZRF0KB1IYQSNV63CTXT25G67G" hidden="1">
          <a:extLst>
            <a:ext uri="{FF2B5EF4-FFF2-40B4-BE49-F238E27FC236}">
              <a16:creationId xmlns:a16="http://schemas.microsoft.com/office/drawing/2014/main" id="{1B1AE2D1-65DA-41AF-9B65-CF7CDC8A1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1534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308" name="BExZMRC09W87CY4B73NPZMNH21AH" descr="78CUMI0OVLYJRSDRQ3V2YX812" hidden="1">
          <a:extLst>
            <a:ext uri="{FF2B5EF4-FFF2-40B4-BE49-F238E27FC236}">
              <a16:creationId xmlns:a16="http://schemas.microsoft.com/office/drawing/2014/main" id="{02372499-B15D-4EB3-AC6D-15BEB35F1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100240</xdr:rowOff>
    </xdr:to>
    <xdr:pic>
      <xdr:nvPicPr>
        <xdr:cNvPr id="309" name="BExZXVFJ4DY4I24AARDT4AMP6EN1" descr="TXSMH2MTH86CYKA26740RQPUC" hidden="1">
          <a:extLst>
            <a:ext uri="{FF2B5EF4-FFF2-40B4-BE49-F238E27FC236}">
              <a16:creationId xmlns:a16="http://schemas.microsoft.com/office/drawing/2014/main" id="{C1AB7D37-2365-4EF7-9D3D-691768FFF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166005</xdr:rowOff>
    </xdr:to>
    <xdr:pic>
      <xdr:nvPicPr>
        <xdr:cNvPr id="310" name="BExOCUIOFQWUGTBU5ESTW3EYEP5C" descr="9BNF49V0R6VVYPHEVMJ3ABDQZ" hidden="1">
          <a:extLst>
            <a:ext uri="{FF2B5EF4-FFF2-40B4-BE49-F238E27FC236}">
              <a16:creationId xmlns:a16="http://schemas.microsoft.com/office/drawing/2014/main" id="{F5849090-1FCF-4BAC-886E-A2E012CB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24040</xdr:rowOff>
    </xdr:to>
    <xdr:pic>
      <xdr:nvPicPr>
        <xdr:cNvPr id="311" name="BExU65O9OE4B4MQ2A3OYH13M8BZJ" descr="3INNIMMPDBB0JF37L81M6ID21" hidden="1">
          <a:extLst>
            <a:ext uri="{FF2B5EF4-FFF2-40B4-BE49-F238E27FC236}">
              <a16:creationId xmlns:a16="http://schemas.microsoft.com/office/drawing/2014/main" id="{0D1B2B54-6060-4DE3-A2B6-AE2FB6EF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475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96155</xdr:rowOff>
    </xdr:to>
    <xdr:pic>
      <xdr:nvPicPr>
        <xdr:cNvPr id="312" name="BExOPRCR0UW7TKXSV5WDTL348FGL" descr="S9JM17GP1802LHN4GT14BJYIC" hidden="1">
          <a:extLst>
            <a:ext uri="{FF2B5EF4-FFF2-40B4-BE49-F238E27FC236}">
              <a16:creationId xmlns:a16="http://schemas.microsoft.com/office/drawing/2014/main" id="{AA6D00D6-F957-4E73-8FB4-2ECFAED52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313" name="BEx5OESAY2W8SEGI3TSB65EHJ04B" descr="9CN2Y88X8WYV1HWZG1QILY9BK" hidden="1">
          <a:extLst>
            <a:ext uri="{FF2B5EF4-FFF2-40B4-BE49-F238E27FC236}">
              <a16:creationId xmlns:a16="http://schemas.microsoft.com/office/drawing/2014/main" id="{D469785F-F7D1-4A46-B10A-D854395D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19955</xdr:rowOff>
    </xdr:to>
    <xdr:pic>
      <xdr:nvPicPr>
        <xdr:cNvPr id="314" name="BExGMWEQ2BYRY9BAO5T1X850MJN1" descr="AZ9ST0XDIOP50HSUFO5V31BR0" hidden="1">
          <a:extLst>
            <a:ext uri="{FF2B5EF4-FFF2-40B4-BE49-F238E27FC236}">
              <a16:creationId xmlns:a16="http://schemas.microsoft.com/office/drawing/2014/main" id="{8C56B7D9-3D63-4493-813E-E79710046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6523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396877</xdr:colOff>
      <xdr:row>79</xdr:row>
      <xdr:rowOff>54880</xdr:rowOff>
    </xdr:to>
    <xdr:pic>
      <xdr:nvPicPr>
        <xdr:cNvPr id="315" name="BExXRND8208TWULE9S50U89VKPB7" descr="ETUGZV0SKTQDQB8JOYY0DCX79" hidden="1">
          <a:extLst>
            <a:ext uri="{FF2B5EF4-FFF2-40B4-BE49-F238E27FC236}">
              <a16:creationId xmlns:a16="http://schemas.microsoft.com/office/drawing/2014/main" id="{38C3700E-5BE1-4461-8D1B-0E7D0CDE3A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3350" y="0"/>
          <a:ext cx="7184120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16" name="BExMO7VFCN4EL59982UR4AJ25JNJ" descr="XX6TINEJADZGKR0CTM7ZRT0RA" hidden="1">
          <a:extLst>
            <a:ext uri="{FF2B5EF4-FFF2-40B4-BE49-F238E27FC236}">
              <a16:creationId xmlns:a16="http://schemas.microsoft.com/office/drawing/2014/main" id="{17F8D87B-8E76-425A-AD7E-24A6CF19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17" name="BExU3EX5JJCXCII4YKUJBFBGIJR2" descr="OF5ZI9PI5WH36VPANJ2DYLNMI" hidden="1">
          <a:extLst>
            <a:ext uri="{FF2B5EF4-FFF2-40B4-BE49-F238E27FC236}">
              <a16:creationId xmlns:a16="http://schemas.microsoft.com/office/drawing/2014/main" id="{C4F974DD-EF00-44CB-85E6-397BC3912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18" name="BEx1KD7H6UB1VYCJ7O61P562EIUY" descr="IQGV9140X0K0UPBL8OGU3I44J" hidden="1">
          <a:extLst>
            <a:ext uri="{FF2B5EF4-FFF2-40B4-BE49-F238E27FC236}">
              <a16:creationId xmlns:a16="http://schemas.microsoft.com/office/drawing/2014/main" id="{69BC8A04-14F7-4B79-B3AD-632B5FF3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19" name="BEx5BJQWS6YWHH4ZMSUAMD641V6Y" descr="ZTMFMXCIQSECDX38ALEFHUB00" hidden="1">
          <a:extLst>
            <a:ext uri="{FF2B5EF4-FFF2-40B4-BE49-F238E27FC236}">
              <a16:creationId xmlns:a16="http://schemas.microsoft.com/office/drawing/2014/main" id="{E858F797-2F81-4287-94D5-D96FCA7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20" name="BExVTO5Q8G2M7BPL4B2584LQS0R0" descr="OB6Q8NA4LZFE4GM9Y3V56BPMQ" hidden="1">
          <a:extLst>
            <a:ext uri="{FF2B5EF4-FFF2-40B4-BE49-F238E27FC236}">
              <a16:creationId xmlns:a16="http://schemas.microsoft.com/office/drawing/2014/main" id="{AF81CE33-8460-4995-9285-FA824FE1E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21" name="BExIFSCLN1G86X78PFLTSMRP0US5" descr="9JK4SPV4DG7VTCZIILWHXQU5J" hidden="1">
          <a:extLst>
            <a:ext uri="{FF2B5EF4-FFF2-40B4-BE49-F238E27FC236}">
              <a16:creationId xmlns:a16="http://schemas.microsoft.com/office/drawing/2014/main" id="{D5F37706-C3ED-42CA-9721-BF7D1C9B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2" name="BEx1I152WN2D3A85O2XN0DGXCWHN" descr="KHBZFMANRA4UMJR1AB4M5NJNT" hidden="1">
          <a:extLst>
            <a:ext uri="{FF2B5EF4-FFF2-40B4-BE49-F238E27FC236}">
              <a16:creationId xmlns:a16="http://schemas.microsoft.com/office/drawing/2014/main" id="{1A4163F6-7712-4672-9AEF-9C80A3560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3" name="BExW9676P0SKCVKK25QCGHPA3PAD" descr="9A4PWZ20RMSRF0PNECCDM75CA" hidden="1">
          <a:extLst>
            <a:ext uri="{FF2B5EF4-FFF2-40B4-BE49-F238E27FC236}">
              <a16:creationId xmlns:a16="http://schemas.microsoft.com/office/drawing/2014/main" id="{11AA7054-28C8-44A6-971D-DB711EDF7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24" name="BExW253QPOZK9KW8BJC3LBXGCG2N" descr="Y5HX37BEUWSN1NEFJKZJXI3SX" hidden="1">
          <a:extLst>
            <a:ext uri="{FF2B5EF4-FFF2-40B4-BE49-F238E27FC236}">
              <a16:creationId xmlns:a16="http://schemas.microsoft.com/office/drawing/2014/main" id="{0753E9C5-F059-43CC-BEE5-79E5F424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5" name="BExS5CPQ8P8JOQPK7ANNKHLSGOKU" hidden="1">
          <a:extLst>
            <a:ext uri="{FF2B5EF4-FFF2-40B4-BE49-F238E27FC236}">
              <a16:creationId xmlns:a16="http://schemas.microsoft.com/office/drawing/2014/main" id="{83F3DCCB-C33C-4145-B40E-25A52088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6" name="BExMM0AVUAIRNJLXB1FW8R0YB4ZZ" hidden="1">
          <a:extLst>
            <a:ext uri="{FF2B5EF4-FFF2-40B4-BE49-F238E27FC236}">
              <a16:creationId xmlns:a16="http://schemas.microsoft.com/office/drawing/2014/main" id="{95EA5C2A-5FBC-44CE-84D8-7C1A44EBD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27" name="BExXZ7Y09CBS0XA7IPB3IRJ8RJM4" hidden="1">
          <a:extLst>
            <a:ext uri="{FF2B5EF4-FFF2-40B4-BE49-F238E27FC236}">
              <a16:creationId xmlns:a16="http://schemas.microsoft.com/office/drawing/2014/main" id="{D43A5F0F-E1CD-4881-BDCF-877B05B0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28" name="BExQ7SXS9VUG7P6CACU2J7R2SGIZ" hidden="1">
          <a:extLst>
            <a:ext uri="{FF2B5EF4-FFF2-40B4-BE49-F238E27FC236}">
              <a16:creationId xmlns:a16="http://schemas.microsoft.com/office/drawing/2014/main" id="{3F34A7BD-768F-4A67-AAD9-C840224DF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29" name="BEx5AQZ4ETQ9LMY5EBWVH20Z7VXQ" hidden="1">
          <a:extLst>
            <a:ext uri="{FF2B5EF4-FFF2-40B4-BE49-F238E27FC236}">
              <a16:creationId xmlns:a16="http://schemas.microsoft.com/office/drawing/2014/main" id="{DC6E4A39-5C69-435E-A06F-158BD5C7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30" name="BExUBK0YZ5VYFY8TTITJGJU9S06A" hidden="1">
          <a:extLst>
            <a:ext uri="{FF2B5EF4-FFF2-40B4-BE49-F238E27FC236}">
              <a16:creationId xmlns:a16="http://schemas.microsoft.com/office/drawing/2014/main" id="{FC0D705F-634D-46B3-A553-A2EA1FFF5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31" name="BExUEZCSSJ7RN4J18I2NUIQR2FZS" hidden="1">
          <a:extLst>
            <a:ext uri="{FF2B5EF4-FFF2-40B4-BE49-F238E27FC236}">
              <a16:creationId xmlns:a16="http://schemas.microsoft.com/office/drawing/2014/main" id="{999C9B6D-2B9E-451C-9A4B-7E7ED014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32" name="BExS3JDQWF7U3F5JTEVOE16ASIYK" hidden="1">
          <a:extLst>
            <a:ext uri="{FF2B5EF4-FFF2-40B4-BE49-F238E27FC236}">
              <a16:creationId xmlns:a16="http://schemas.microsoft.com/office/drawing/2014/main" id="{686B71E0-7DC8-4C40-A5B9-43504BF1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333" name="BEx973S463FCQVJ7QDFBUIU0WJ3F" descr="ZQTVYL8DCSADVT0QMRXFLU0TR" hidden="1">
          <a:extLst>
            <a:ext uri="{FF2B5EF4-FFF2-40B4-BE49-F238E27FC236}">
              <a16:creationId xmlns:a16="http://schemas.microsoft.com/office/drawing/2014/main" id="{5346883D-BA4A-4B9E-9508-87FCD8ABB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54880</xdr:rowOff>
    </xdr:to>
    <xdr:pic>
      <xdr:nvPicPr>
        <xdr:cNvPr id="334" name="BExRZO0PLWWMCLGRH7EH6UXYWGAJ" descr="9D4GQ34QB727H10MA3SSAR2R9" hidden="1">
          <a:extLst>
            <a:ext uri="{FF2B5EF4-FFF2-40B4-BE49-F238E27FC236}">
              <a16:creationId xmlns:a16="http://schemas.microsoft.com/office/drawing/2014/main" id="{2F730DF5-E4B1-45F8-8C1A-9DAB5FB0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3175</xdr:rowOff>
    </xdr:to>
    <xdr:pic>
      <xdr:nvPicPr>
        <xdr:cNvPr id="335" name="BExBDP6HNAAJUM39SE5G2C8BKNRQ" descr="1TM64TL2QIMYV7WYSV2VLGXY4" hidden="1">
          <a:extLst>
            <a:ext uri="{FF2B5EF4-FFF2-40B4-BE49-F238E27FC236}">
              <a16:creationId xmlns:a16="http://schemas.microsoft.com/office/drawing/2014/main" id="{93634604-98F6-4FD9-A881-CD0FDDB6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347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36" name="BExQEGJP61DL2NZY6LMBHBZ0J5YT" descr="D6ZNRZJ7EX4GZT9RO8LE0C905" hidden="1">
          <a:extLst>
            <a:ext uri="{FF2B5EF4-FFF2-40B4-BE49-F238E27FC236}">
              <a16:creationId xmlns:a16="http://schemas.microsoft.com/office/drawing/2014/main" id="{B44C1720-7B0F-4048-9036-8898CC12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62595</xdr:rowOff>
    </xdr:to>
    <xdr:pic>
      <xdr:nvPicPr>
        <xdr:cNvPr id="337" name="BExTY1BCS6HZIF6HI5491FGHDVAE" descr="MJ6976KI2UH1IE8M227DUYXMJ" hidden="1">
          <a:extLst>
            <a:ext uri="{FF2B5EF4-FFF2-40B4-BE49-F238E27FC236}">
              <a16:creationId xmlns:a16="http://schemas.microsoft.com/office/drawing/2014/main" id="{0FAE100D-E9A4-4C90-BD06-273B29AF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38" name="BEx5FXJGJOT93D0J2IRJ3985IUMI" hidden="1">
          <a:extLst>
            <a:ext uri="{FF2B5EF4-FFF2-40B4-BE49-F238E27FC236}">
              <a16:creationId xmlns:a16="http://schemas.microsoft.com/office/drawing/2014/main" id="{3871D0F7-7F6D-4C46-9A8D-264D129FE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39" name="BEx3RTMHAR35NUAAK49TV6NU7EPA" descr="QFXLG4ZCXTRQSJYFCKJ58G9N8" hidden="1">
          <a:extLst>
            <a:ext uri="{FF2B5EF4-FFF2-40B4-BE49-F238E27FC236}">
              <a16:creationId xmlns:a16="http://schemas.microsoft.com/office/drawing/2014/main" id="{32B40F2C-051E-4BF5-84DA-FC751CC16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40" name="BExS8T38WLC2R738ZC7BDJQAKJAJ" descr="MRI962L5PB0E0YWXCIBN82VJH" hidden="1">
          <a:extLst>
            <a:ext uri="{FF2B5EF4-FFF2-40B4-BE49-F238E27FC236}">
              <a16:creationId xmlns:a16="http://schemas.microsoft.com/office/drawing/2014/main" id="{2DD2BB07-A7CB-4D45-9A2D-52B8D514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1" name="BEx5F64BJ6DCM4EJH81D5ZFNPZ0V" descr="7DJ9FILZD2YPS6X1JBP9E76TU" hidden="1">
          <a:extLst>
            <a:ext uri="{FF2B5EF4-FFF2-40B4-BE49-F238E27FC236}">
              <a16:creationId xmlns:a16="http://schemas.microsoft.com/office/drawing/2014/main" id="{5DB2989F-A42C-4576-9036-ED029CCF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42" name="BExQEXXHA3EEXR44LT6RKCDWM6ZT" hidden="1">
          <a:extLst>
            <a:ext uri="{FF2B5EF4-FFF2-40B4-BE49-F238E27FC236}">
              <a16:creationId xmlns:a16="http://schemas.microsoft.com/office/drawing/2014/main" id="{CD1EA559-7237-4BC0-B74A-F021193A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166005</xdr:rowOff>
    </xdr:to>
    <xdr:pic>
      <xdr:nvPicPr>
        <xdr:cNvPr id="343" name="BEx1X6AMHV6ZK3UJB2BXIJTJHYJU" descr="OALR4L95ELQLZ1Y1LETHM1CS9" hidden="1">
          <a:extLst>
            <a:ext uri="{FF2B5EF4-FFF2-40B4-BE49-F238E27FC236}">
              <a16:creationId xmlns:a16="http://schemas.microsoft.com/office/drawing/2014/main" id="{B549C147-D1C8-4D2B-AAF8-4960EFBB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44" name="BExSDIVCE09QKG3CT52PHCS6ZJ09" descr="9F076L7EQCF2COMMGCQG6BQGU" hidden="1">
          <a:extLst>
            <a:ext uri="{FF2B5EF4-FFF2-40B4-BE49-F238E27FC236}">
              <a16:creationId xmlns:a16="http://schemas.microsoft.com/office/drawing/2014/main" id="{18935280-6C4F-43E4-BAF4-BB1B5B30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54880</xdr:rowOff>
    </xdr:to>
    <xdr:pic>
      <xdr:nvPicPr>
        <xdr:cNvPr id="345" name="BEx1QZGQZBAWJ8591VXEIPUOVS7X" descr="MEW27CPIFG44B7E7HEQUUF5QF" hidden="1">
          <a:extLst>
            <a:ext uri="{FF2B5EF4-FFF2-40B4-BE49-F238E27FC236}">
              <a16:creationId xmlns:a16="http://schemas.microsoft.com/office/drawing/2014/main" id="{CC47E9C1-FC4D-44FB-91A0-669CA0E5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100695</xdr:rowOff>
    </xdr:to>
    <xdr:pic>
      <xdr:nvPicPr>
        <xdr:cNvPr id="346" name="BExMF7LICJLPXSHM63A6EQ79YQKG" descr="U084VZL15IMB1OFRRAY6GVKAE" hidden="1">
          <a:extLst>
            <a:ext uri="{FF2B5EF4-FFF2-40B4-BE49-F238E27FC236}">
              <a16:creationId xmlns:a16="http://schemas.microsoft.com/office/drawing/2014/main" id="{C64E3980-58FC-4ECA-BBB4-D68D69FB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47" name="BExS343F8GCKP6HTF9Y97L133DX8" descr="ZRF0KB1IYQSNV63CTXT25G67G" hidden="1">
          <a:extLst>
            <a:ext uri="{FF2B5EF4-FFF2-40B4-BE49-F238E27FC236}">
              <a16:creationId xmlns:a16="http://schemas.microsoft.com/office/drawing/2014/main" id="{DD9DB337-17CF-4010-98BB-C4572C397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348" name="BExZMRC09W87CY4B73NPZMNH21AH" descr="78CUMI0OVLYJRSDRQ3V2YX812" hidden="1">
          <a:extLst>
            <a:ext uri="{FF2B5EF4-FFF2-40B4-BE49-F238E27FC236}">
              <a16:creationId xmlns:a16="http://schemas.microsoft.com/office/drawing/2014/main" id="{B8600ACE-51E5-4C30-AA5C-16DF0400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100695</xdr:rowOff>
    </xdr:to>
    <xdr:pic>
      <xdr:nvPicPr>
        <xdr:cNvPr id="349" name="BExZXVFJ4DY4I24AARDT4AMP6EN1" descr="TXSMH2MTH86CYKA26740RQPUC" hidden="1">
          <a:extLst>
            <a:ext uri="{FF2B5EF4-FFF2-40B4-BE49-F238E27FC236}">
              <a16:creationId xmlns:a16="http://schemas.microsoft.com/office/drawing/2014/main" id="{4E998BE3-7404-4F04-B104-B2B68CC0A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166005</xdr:rowOff>
    </xdr:to>
    <xdr:pic>
      <xdr:nvPicPr>
        <xdr:cNvPr id="350" name="BExOCUIOFQWUGTBU5ESTW3EYEP5C" descr="9BNF49V0R6VVYPHEVMJ3ABDQZ" hidden="1">
          <a:extLst>
            <a:ext uri="{FF2B5EF4-FFF2-40B4-BE49-F238E27FC236}">
              <a16:creationId xmlns:a16="http://schemas.microsoft.com/office/drawing/2014/main" id="{B0852B0A-63EC-4D5C-AF8C-AF37560E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24495</xdr:rowOff>
    </xdr:to>
    <xdr:pic>
      <xdr:nvPicPr>
        <xdr:cNvPr id="351" name="BExU65O9OE4B4MQ2A3OYH13M8BZJ" descr="3INNIMMPDBB0JF37L81M6ID21" hidden="1">
          <a:extLst>
            <a:ext uri="{FF2B5EF4-FFF2-40B4-BE49-F238E27FC236}">
              <a16:creationId xmlns:a16="http://schemas.microsoft.com/office/drawing/2014/main" id="{033FEC66-C8C3-4471-80CC-06E1A416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52" name="BExOPRCR0UW7TKXSV5WDTL348FGL" descr="S9JM17GP1802LHN4GT14BJYIC" hidden="1">
          <a:extLst>
            <a:ext uri="{FF2B5EF4-FFF2-40B4-BE49-F238E27FC236}">
              <a16:creationId xmlns:a16="http://schemas.microsoft.com/office/drawing/2014/main" id="{E728E4FC-8568-45A5-B434-9347ED051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353" name="BEx5OESAY2W8SEGI3TSB65EHJ04B" descr="9CN2Y88X8WYV1HWZG1QILY9BK" hidden="1">
          <a:extLst>
            <a:ext uri="{FF2B5EF4-FFF2-40B4-BE49-F238E27FC236}">
              <a16:creationId xmlns:a16="http://schemas.microsoft.com/office/drawing/2014/main" id="{855FAAE1-B077-4E02-83E0-BF8FF1EFF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54" name="BExGMWEQ2BYRY9BAO5T1X850MJN1" descr="AZ9ST0XDIOP50HSUFO5V31BR0" hidden="1">
          <a:extLst>
            <a:ext uri="{FF2B5EF4-FFF2-40B4-BE49-F238E27FC236}">
              <a16:creationId xmlns:a16="http://schemas.microsoft.com/office/drawing/2014/main" id="{9152FFC2-1868-4502-BDD2-0F5F9D4F9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429530</xdr:colOff>
      <xdr:row>79</xdr:row>
      <xdr:rowOff>54880</xdr:rowOff>
    </xdr:to>
    <xdr:pic>
      <xdr:nvPicPr>
        <xdr:cNvPr id="355" name="BExXRND8208TWULE9S50U89VKPB7" descr="ETUGZV0SKTQDQB8JOYY0DCX79" hidden="1">
          <a:extLst>
            <a:ext uri="{FF2B5EF4-FFF2-40B4-BE49-F238E27FC236}">
              <a16:creationId xmlns:a16="http://schemas.microsoft.com/office/drawing/2014/main" id="{E2B4D3B2-51F7-4F51-96AE-A7E029BEA5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3350" y="0"/>
          <a:ext cx="7217680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56" name="BExMO7VFCN4EL59982UR4AJ25JNJ" descr="XX6TINEJADZGKR0CTM7ZRT0RA" hidden="1">
          <a:extLst>
            <a:ext uri="{FF2B5EF4-FFF2-40B4-BE49-F238E27FC236}">
              <a16:creationId xmlns:a16="http://schemas.microsoft.com/office/drawing/2014/main" id="{D713ADE0-B70D-40E9-BCA7-5CA325690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57" name="BExU3EX5JJCXCII4YKUJBFBGIJR2" descr="OF5ZI9PI5WH36VPANJ2DYLNMI" hidden="1">
          <a:extLst>
            <a:ext uri="{FF2B5EF4-FFF2-40B4-BE49-F238E27FC236}">
              <a16:creationId xmlns:a16="http://schemas.microsoft.com/office/drawing/2014/main" id="{27099EA5-216A-40B6-B7B6-0BA0B228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58" name="BEx1KD7H6UB1VYCJ7O61P562EIUY" descr="IQGV9140X0K0UPBL8OGU3I44J" hidden="1">
          <a:extLst>
            <a:ext uri="{FF2B5EF4-FFF2-40B4-BE49-F238E27FC236}">
              <a16:creationId xmlns:a16="http://schemas.microsoft.com/office/drawing/2014/main" id="{FC10790B-3FEA-4A01-8B2E-FF8538C44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59" name="BEx5BJQWS6YWHH4ZMSUAMD641V6Y" descr="ZTMFMXCIQSECDX38ALEFHUB00" hidden="1">
          <a:extLst>
            <a:ext uri="{FF2B5EF4-FFF2-40B4-BE49-F238E27FC236}">
              <a16:creationId xmlns:a16="http://schemas.microsoft.com/office/drawing/2014/main" id="{D19C4F8C-5D70-48D7-B04D-8E4CEC05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</xdr:col>
      <xdr:colOff>1476375</xdr:colOff>
      <xdr:row>0</xdr:row>
      <xdr:rowOff>9525</xdr:rowOff>
    </xdr:from>
    <xdr:to>
      <xdr:col>2</xdr:col>
      <xdr:colOff>17688</xdr:colOff>
      <xdr:row>0</xdr:row>
      <xdr:rowOff>58965</xdr:rowOff>
    </xdr:to>
    <xdr:pic>
      <xdr:nvPicPr>
        <xdr:cNvPr id="360" name="BExVTO5Q8G2M7BPL4B2584LQS0R0" descr="OB6Q8NA4LZFE4GM9Y3V56BPMQ" hidden="1">
          <a:extLst>
            <a:ext uri="{FF2B5EF4-FFF2-40B4-BE49-F238E27FC236}">
              <a16:creationId xmlns:a16="http://schemas.microsoft.com/office/drawing/2014/main" id="{D40E1CD9-9753-4AF5-93D7-B4E3AF6D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1361" y="113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1476375</xdr:colOff>
      <xdr:row>0</xdr:row>
      <xdr:rowOff>85725</xdr:rowOff>
    </xdr:from>
    <xdr:to>
      <xdr:col>2</xdr:col>
      <xdr:colOff>17688</xdr:colOff>
      <xdr:row>0</xdr:row>
      <xdr:rowOff>135165</xdr:rowOff>
    </xdr:to>
    <xdr:pic>
      <xdr:nvPicPr>
        <xdr:cNvPr id="361" name="BExIFSCLN1G86X78PFLTSMRP0US5" descr="9JK4SPV4DG7VTCZIILWHXQU5J" hidden="1">
          <a:extLst>
            <a:ext uri="{FF2B5EF4-FFF2-40B4-BE49-F238E27FC236}">
              <a16:creationId xmlns:a16="http://schemas.microsoft.com/office/drawing/2014/main" id="{BE5B364E-E9F4-44AE-A76F-1A9D13E4E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1361" y="87539"/>
          <a:ext cx="82548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2" name="BEx1I152WN2D3A85O2XN0DGXCWHN" descr="KHBZFMANRA4UMJR1AB4M5NJNT" hidden="1">
          <a:extLst>
            <a:ext uri="{FF2B5EF4-FFF2-40B4-BE49-F238E27FC236}">
              <a16:creationId xmlns:a16="http://schemas.microsoft.com/office/drawing/2014/main" id="{2DF70249-E433-4F10-8F19-82222F450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3" name="BExW9676P0SKCVKK25QCGHPA3PAD" descr="9A4PWZ20RMSRF0PNECCDM75CA" hidden="1">
          <a:extLst>
            <a:ext uri="{FF2B5EF4-FFF2-40B4-BE49-F238E27FC236}">
              <a16:creationId xmlns:a16="http://schemas.microsoft.com/office/drawing/2014/main" id="{DAB07D14-C78D-4454-AB16-070897CF0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172355</xdr:colOff>
      <xdr:row>2</xdr:row>
      <xdr:rowOff>16780</xdr:rowOff>
    </xdr:to>
    <xdr:pic>
      <xdr:nvPicPr>
        <xdr:cNvPr id="364" name="BExW253QPOZK9KW8BJC3LBXGCG2N" descr="Y5HX37BEUWSN1NEFJKZJXI3SX" hidden="1">
          <a:extLst>
            <a:ext uri="{FF2B5EF4-FFF2-40B4-BE49-F238E27FC236}">
              <a16:creationId xmlns:a16="http://schemas.microsoft.com/office/drawing/2014/main" id="{37CC02E1-ED8B-4F57-8479-D639F9AB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249011"/>
          <a:ext cx="142873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5" name="BExS5CPQ8P8JOQPK7ANNKHLSGOKU" hidden="1">
          <a:extLst>
            <a:ext uri="{FF2B5EF4-FFF2-40B4-BE49-F238E27FC236}">
              <a16:creationId xmlns:a16="http://schemas.microsoft.com/office/drawing/2014/main" id="{229CD175-5464-47A5-BDBE-AA749E87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6" name="BExMM0AVUAIRNJLXB1FW8R0YB4ZZ" hidden="1">
          <a:extLst>
            <a:ext uri="{FF2B5EF4-FFF2-40B4-BE49-F238E27FC236}">
              <a16:creationId xmlns:a16="http://schemas.microsoft.com/office/drawing/2014/main" id="{EEE3A200-CDE2-44BD-808E-9695CAB7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59420</xdr:colOff>
      <xdr:row>0</xdr:row>
      <xdr:rowOff>58965</xdr:rowOff>
    </xdr:to>
    <xdr:pic>
      <xdr:nvPicPr>
        <xdr:cNvPr id="367" name="BExXZ7Y09CBS0XA7IPB3IRJ8RJM4" hidden="1">
          <a:extLst>
            <a:ext uri="{FF2B5EF4-FFF2-40B4-BE49-F238E27FC236}">
              <a16:creationId xmlns:a16="http://schemas.microsoft.com/office/drawing/2014/main" id="{7B730EA8-3020-4054-B30E-B54794971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13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19050</xdr:colOff>
      <xdr:row>0</xdr:row>
      <xdr:rowOff>85725</xdr:rowOff>
    </xdr:from>
    <xdr:to>
      <xdr:col>0</xdr:col>
      <xdr:colOff>59420</xdr:colOff>
      <xdr:row>0</xdr:row>
      <xdr:rowOff>135165</xdr:rowOff>
    </xdr:to>
    <xdr:pic>
      <xdr:nvPicPr>
        <xdr:cNvPr id="368" name="BExQ7SXS9VUG7P6CACU2J7R2SGIZ" hidden="1">
          <a:extLst>
            <a:ext uri="{FF2B5EF4-FFF2-40B4-BE49-F238E27FC236}">
              <a16:creationId xmlns:a16="http://schemas.microsoft.com/office/drawing/2014/main" id="{B62ABE6D-4474-4200-ACD9-D21438C48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87539"/>
          <a:ext cx="40370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9525</xdr:rowOff>
    </xdr:from>
    <xdr:to>
      <xdr:col>1</xdr:col>
      <xdr:colOff>1814</xdr:colOff>
      <xdr:row>0</xdr:row>
      <xdr:rowOff>58965</xdr:rowOff>
    </xdr:to>
    <xdr:pic>
      <xdr:nvPicPr>
        <xdr:cNvPr id="369" name="BEx5AQZ4ETQ9LMY5EBWVH20Z7VXQ" hidden="1">
          <a:extLst>
            <a:ext uri="{FF2B5EF4-FFF2-40B4-BE49-F238E27FC236}">
              <a16:creationId xmlns:a16="http://schemas.microsoft.com/office/drawing/2014/main" id="{A045F5AE-35D8-44CC-A8BE-D1C0AE35C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113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876300</xdr:colOff>
      <xdr:row>0</xdr:row>
      <xdr:rowOff>85725</xdr:rowOff>
    </xdr:from>
    <xdr:to>
      <xdr:col>1</xdr:col>
      <xdr:colOff>1814</xdr:colOff>
      <xdr:row>0</xdr:row>
      <xdr:rowOff>135165</xdr:rowOff>
    </xdr:to>
    <xdr:pic>
      <xdr:nvPicPr>
        <xdr:cNvPr id="370" name="BExUBK0YZ5VYFY8TTITJGJU9S06A" hidden="1">
          <a:extLst>
            <a:ext uri="{FF2B5EF4-FFF2-40B4-BE49-F238E27FC236}">
              <a16:creationId xmlns:a16="http://schemas.microsoft.com/office/drawing/2014/main" id="{8D1DE363-CC44-422F-AE65-99C9A267D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9650" y="87539"/>
          <a:ext cx="58964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9525</xdr:rowOff>
    </xdr:from>
    <xdr:to>
      <xdr:col>2</xdr:col>
      <xdr:colOff>20864</xdr:colOff>
      <xdr:row>0</xdr:row>
      <xdr:rowOff>58965</xdr:rowOff>
    </xdr:to>
    <xdr:pic>
      <xdr:nvPicPr>
        <xdr:cNvPr id="371" name="BExUEZCSSJ7RN4J18I2NUIQR2FZS" hidden="1">
          <a:extLst>
            <a:ext uri="{FF2B5EF4-FFF2-40B4-BE49-F238E27FC236}">
              <a16:creationId xmlns:a16="http://schemas.microsoft.com/office/drawing/2014/main" id="{CDED542E-0716-4418-B832-18502CE1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2700" y="113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1</xdr:col>
      <xdr:colOff>1485900</xdr:colOff>
      <xdr:row>0</xdr:row>
      <xdr:rowOff>85725</xdr:rowOff>
    </xdr:from>
    <xdr:to>
      <xdr:col>2</xdr:col>
      <xdr:colOff>20864</xdr:colOff>
      <xdr:row>0</xdr:row>
      <xdr:rowOff>135165</xdr:rowOff>
    </xdr:to>
    <xdr:pic>
      <xdr:nvPicPr>
        <xdr:cNvPr id="372" name="BExS3JDQWF7U3F5JTEVOE16ASIYK" hidden="1">
          <a:extLst>
            <a:ext uri="{FF2B5EF4-FFF2-40B4-BE49-F238E27FC236}">
              <a16:creationId xmlns:a16="http://schemas.microsoft.com/office/drawing/2014/main" id="{6EBF3468-91A8-4362-B0B9-B4E9D74A1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52700" y="87539"/>
          <a:ext cx="68943" cy="4490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373" name="BEx973S463FCQVJ7QDFBUIU0WJ3F" descr="ZQTVYL8DCSADVT0QMRXFLU0TR" hidden="1">
          <a:extLst>
            <a:ext uri="{FF2B5EF4-FFF2-40B4-BE49-F238E27FC236}">
              <a16:creationId xmlns:a16="http://schemas.microsoft.com/office/drawing/2014/main" id="{DBA3A99E-185D-40E0-A4BD-B9889208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7</xdr:row>
      <xdr:rowOff>104775</xdr:rowOff>
    </xdr:from>
    <xdr:to>
      <xdr:col>0</xdr:col>
      <xdr:colOff>211365</xdr:colOff>
      <xdr:row>8</xdr:row>
      <xdr:rowOff>54880</xdr:rowOff>
    </xdr:to>
    <xdr:pic>
      <xdr:nvPicPr>
        <xdr:cNvPr id="374" name="BExRZO0PLWWMCLGRH7EH6UXYWGAJ" descr="9D4GQ34QB727H10MA3SSAR2R9" hidden="1">
          <a:extLst>
            <a:ext uri="{FF2B5EF4-FFF2-40B4-BE49-F238E27FC236}">
              <a16:creationId xmlns:a16="http://schemas.microsoft.com/office/drawing/2014/main" id="{96377C69-7242-4EFE-B0BB-E5D7621F2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8</xdr:row>
      <xdr:rowOff>47625</xdr:rowOff>
    </xdr:from>
    <xdr:to>
      <xdr:col>0</xdr:col>
      <xdr:colOff>173265</xdr:colOff>
      <xdr:row>9</xdr:row>
      <xdr:rowOff>3175</xdr:rowOff>
    </xdr:to>
    <xdr:pic>
      <xdr:nvPicPr>
        <xdr:cNvPr id="375" name="BExBDP6HNAAJUM39SE5G2C8BKNRQ" descr="1TM64TL2QIMYV7WYSV2VLGXY4" hidden="1">
          <a:extLst>
            <a:ext uri="{FF2B5EF4-FFF2-40B4-BE49-F238E27FC236}">
              <a16:creationId xmlns:a16="http://schemas.microsoft.com/office/drawing/2014/main" id="{43808E86-99CC-4E1E-9A88-39C1552A4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522639"/>
          <a:ext cx="121105" cy="13471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173265</xdr:colOff>
      <xdr:row>9</xdr:row>
      <xdr:rowOff>131080</xdr:rowOff>
    </xdr:to>
    <xdr:pic>
      <xdr:nvPicPr>
        <xdr:cNvPr id="376" name="BExQEGJP61DL2NZY6LMBHBZ0J5YT" descr="D6ZNRZJ7EX4GZT9RO8LE0C905" hidden="1">
          <a:extLst>
            <a:ext uri="{FF2B5EF4-FFF2-40B4-BE49-F238E27FC236}">
              <a16:creationId xmlns:a16="http://schemas.microsoft.com/office/drawing/2014/main" id="{C12F3BEB-4C0D-45BC-BCA5-811E2DBBF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9</xdr:row>
      <xdr:rowOff>123825</xdr:rowOff>
    </xdr:from>
    <xdr:to>
      <xdr:col>0</xdr:col>
      <xdr:colOff>173265</xdr:colOff>
      <xdr:row>10</xdr:row>
      <xdr:rowOff>62595</xdr:rowOff>
    </xdr:to>
    <xdr:pic>
      <xdr:nvPicPr>
        <xdr:cNvPr id="377" name="BExTY1BCS6HZIF6HI5491FGHDVAE" descr="MJ6976KI2UH1IE8M227DUYXMJ" hidden="1">
          <a:extLst>
            <a:ext uri="{FF2B5EF4-FFF2-40B4-BE49-F238E27FC236}">
              <a16:creationId xmlns:a16="http://schemas.microsoft.com/office/drawing/2014/main" id="{6C17EBC0-CC25-4998-B385-CCD5F97F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782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78" name="BEx5FXJGJOT93D0J2IRJ3985IUMI" hidden="1">
          <a:extLst>
            <a:ext uri="{FF2B5EF4-FFF2-40B4-BE49-F238E27FC236}">
              <a16:creationId xmlns:a16="http://schemas.microsoft.com/office/drawing/2014/main" id="{55DAE86E-6A04-43CD-99F5-77199A19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79" name="BEx3RTMHAR35NUAAK49TV6NU7EPA" descr="QFXLG4ZCXTRQSJYFCKJ58G9N8" hidden="1">
          <a:extLst>
            <a:ext uri="{FF2B5EF4-FFF2-40B4-BE49-F238E27FC236}">
              <a16:creationId xmlns:a16="http://schemas.microsoft.com/office/drawing/2014/main" id="{F57296DA-25AA-42C7-91CC-6147D88E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2</xdr:row>
      <xdr:rowOff>142875</xdr:rowOff>
    </xdr:from>
    <xdr:to>
      <xdr:col>0</xdr:col>
      <xdr:colOff>211365</xdr:colOff>
      <xdr:row>3</xdr:row>
      <xdr:rowOff>92980</xdr:rowOff>
    </xdr:to>
    <xdr:pic>
      <xdr:nvPicPr>
        <xdr:cNvPr id="380" name="BExS8T38WLC2R738ZC7BDJQAKJAJ" descr="MRI962L5PB0E0YWXCIBN82VJH" hidden="1">
          <a:extLst>
            <a:ext uri="{FF2B5EF4-FFF2-40B4-BE49-F238E27FC236}">
              <a16:creationId xmlns:a16="http://schemas.microsoft.com/office/drawing/2014/main" id="{E488D85B-A57C-4E3F-B7D8-351F4A20B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1" name="BEx5F64BJ6DCM4EJH81D5ZFNPZ0V" descr="7DJ9FILZD2YPS6X1JBP9E76TU" hidden="1">
          <a:extLst>
            <a:ext uri="{FF2B5EF4-FFF2-40B4-BE49-F238E27FC236}">
              <a16:creationId xmlns:a16="http://schemas.microsoft.com/office/drawing/2014/main" id="{1EB0491A-5B55-4DC0-AA70-24EF7AD5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82" name="BExQEXXHA3EEXR44LT6RKCDWM6ZT" hidden="1">
          <a:extLst>
            <a:ext uri="{FF2B5EF4-FFF2-40B4-BE49-F238E27FC236}">
              <a16:creationId xmlns:a16="http://schemas.microsoft.com/office/drawing/2014/main" id="{B25F243E-1114-4DFB-A8AE-57A4FBF5F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85725</xdr:colOff>
      <xdr:row>4</xdr:row>
      <xdr:rowOff>28575</xdr:rowOff>
    </xdr:from>
    <xdr:to>
      <xdr:col>0</xdr:col>
      <xdr:colOff>211365</xdr:colOff>
      <xdr:row>4</xdr:row>
      <xdr:rowOff>166005</xdr:rowOff>
    </xdr:to>
    <xdr:pic>
      <xdr:nvPicPr>
        <xdr:cNvPr id="383" name="BEx1X6AMHV6ZK3UJB2BXIJTJHYJU" descr="OALR4L95ELQLZ1Y1LETHM1CS9" hidden="1">
          <a:extLst>
            <a:ext uri="{FF2B5EF4-FFF2-40B4-BE49-F238E27FC236}">
              <a16:creationId xmlns:a16="http://schemas.microsoft.com/office/drawing/2014/main" id="{03EA348E-92A6-4C87-8762-E54B9F59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0</xdr:col>
      <xdr:colOff>135165</xdr:colOff>
      <xdr:row>1</xdr:row>
      <xdr:rowOff>59420</xdr:rowOff>
    </xdr:to>
    <xdr:pic>
      <xdr:nvPicPr>
        <xdr:cNvPr id="384" name="BExSDIVCE09QKG3CT52PHCS6ZJ09" descr="9F076L7EQCF2COMMGCQG6BQGU" hidden="1">
          <a:extLst>
            <a:ext uri="{FF2B5EF4-FFF2-40B4-BE49-F238E27FC236}">
              <a16:creationId xmlns:a16="http://schemas.microsoft.com/office/drawing/2014/main" id="{C3E10489-9215-431D-AE38-BFCA086F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125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7</xdr:row>
      <xdr:rowOff>104775</xdr:rowOff>
    </xdr:from>
    <xdr:to>
      <xdr:col>0</xdr:col>
      <xdr:colOff>173265</xdr:colOff>
      <xdr:row>8</xdr:row>
      <xdr:rowOff>54880</xdr:rowOff>
    </xdr:to>
    <xdr:pic>
      <xdr:nvPicPr>
        <xdr:cNvPr id="385" name="BEx1QZGQZBAWJ8591VXEIPUOVS7X" descr="MEW27CPIFG44B7E7HEQUUF5QF" hidden="1">
          <a:extLst>
            <a:ext uri="{FF2B5EF4-FFF2-40B4-BE49-F238E27FC236}">
              <a16:creationId xmlns:a16="http://schemas.microsoft.com/office/drawing/2014/main" id="{C36FCCCB-7D82-4D40-8FC7-1E72929FD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392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161925</xdr:rowOff>
    </xdr:from>
    <xdr:to>
      <xdr:col>0</xdr:col>
      <xdr:colOff>173265</xdr:colOff>
      <xdr:row>7</xdr:row>
      <xdr:rowOff>100695</xdr:rowOff>
    </xdr:to>
    <xdr:pic>
      <xdr:nvPicPr>
        <xdr:cNvPr id="386" name="BExMF7LICJLPXSHM63A6EQ79YQKG" descr="U084VZL15IMB1OFRRAY6GVKAE" hidden="1">
          <a:extLst>
            <a:ext uri="{FF2B5EF4-FFF2-40B4-BE49-F238E27FC236}">
              <a16:creationId xmlns:a16="http://schemas.microsoft.com/office/drawing/2014/main" id="{786B23EA-1466-4A7C-9F1E-AD40915E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686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6</xdr:row>
      <xdr:rowOff>38100</xdr:rowOff>
    </xdr:from>
    <xdr:to>
      <xdr:col>0</xdr:col>
      <xdr:colOff>173265</xdr:colOff>
      <xdr:row>6</xdr:row>
      <xdr:rowOff>169180</xdr:rowOff>
    </xdr:to>
    <xdr:pic>
      <xdr:nvPicPr>
        <xdr:cNvPr id="387" name="BExS343F8GCKP6HTF9Y97L133DX8" descr="ZRF0KB1IYQSNV63CTXT25G67G" hidden="1">
          <a:extLst>
            <a:ext uri="{FF2B5EF4-FFF2-40B4-BE49-F238E27FC236}">
              <a16:creationId xmlns:a16="http://schemas.microsoft.com/office/drawing/2014/main" id="{7D2763A9-344A-485E-BD48-3F05D053C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43000"/>
          <a:ext cx="121105" cy="13380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5</xdr:row>
      <xdr:rowOff>95250</xdr:rowOff>
    </xdr:from>
    <xdr:to>
      <xdr:col>0</xdr:col>
      <xdr:colOff>173265</xdr:colOff>
      <xdr:row>6</xdr:row>
      <xdr:rowOff>18145</xdr:rowOff>
    </xdr:to>
    <xdr:pic>
      <xdr:nvPicPr>
        <xdr:cNvPr id="388" name="BExZMRC09W87CY4B73NPZMNH21AH" descr="78CUMI0OVLYJRSDRQ3V2YX812" hidden="1">
          <a:extLst>
            <a:ext uri="{FF2B5EF4-FFF2-40B4-BE49-F238E27FC236}">
              <a16:creationId xmlns:a16="http://schemas.microsoft.com/office/drawing/2014/main" id="{7A694FDE-6D20-40A0-B1B0-A054A512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013279"/>
          <a:ext cx="121105" cy="1102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161925</xdr:rowOff>
    </xdr:from>
    <xdr:to>
      <xdr:col>0</xdr:col>
      <xdr:colOff>173265</xdr:colOff>
      <xdr:row>5</xdr:row>
      <xdr:rowOff>100695</xdr:rowOff>
    </xdr:to>
    <xdr:pic>
      <xdr:nvPicPr>
        <xdr:cNvPr id="389" name="BExZXVFJ4DY4I24AARDT4AMP6EN1" descr="TXSMH2MTH86CYKA26740RQPUC" hidden="1">
          <a:extLst>
            <a:ext uri="{FF2B5EF4-FFF2-40B4-BE49-F238E27FC236}">
              <a16:creationId xmlns:a16="http://schemas.microsoft.com/office/drawing/2014/main" id="{ED0A6974-561C-4F2B-91E5-5426F338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0033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4</xdr:row>
      <xdr:rowOff>28575</xdr:rowOff>
    </xdr:from>
    <xdr:to>
      <xdr:col>0</xdr:col>
      <xdr:colOff>173265</xdr:colOff>
      <xdr:row>4</xdr:row>
      <xdr:rowOff>166005</xdr:rowOff>
    </xdr:to>
    <xdr:pic>
      <xdr:nvPicPr>
        <xdr:cNvPr id="390" name="BExOCUIOFQWUGTBU5ESTW3EYEP5C" descr="9BNF49V0R6VVYPHEVMJ3ABDQZ" hidden="1">
          <a:extLst>
            <a:ext uri="{FF2B5EF4-FFF2-40B4-BE49-F238E27FC236}">
              <a16:creationId xmlns:a16="http://schemas.microsoft.com/office/drawing/2014/main" id="{84981EF8-94C4-4746-AB7E-454A5E18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63361"/>
          <a:ext cx="121105" cy="14514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3</xdr:row>
      <xdr:rowOff>85725</xdr:rowOff>
    </xdr:from>
    <xdr:to>
      <xdr:col>0</xdr:col>
      <xdr:colOff>173265</xdr:colOff>
      <xdr:row>4</xdr:row>
      <xdr:rowOff>24495</xdr:rowOff>
    </xdr:to>
    <xdr:pic>
      <xdr:nvPicPr>
        <xdr:cNvPr id="391" name="BExU65O9OE4B4MQ2A3OYH13M8BZJ" descr="3INNIMMPDBB0JF37L81M6ID21" hidden="1">
          <a:extLst>
            <a:ext uri="{FF2B5EF4-FFF2-40B4-BE49-F238E27FC236}">
              <a16:creationId xmlns:a16="http://schemas.microsoft.com/office/drawing/2014/main" id="{0E07D0F7-D61D-4E24-BEB4-B01CB50D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639989"/>
          <a:ext cx="121105" cy="11521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142875</xdr:rowOff>
    </xdr:from>
    <xdr:to>
      <xdr:col>0</xdr:col>
      <xdr:colOff>173265</xdr:colOff>
      <xdr:row>3</xdr:row>
      <xdr:rowOff>92980</xdr:rowOff>
    </xdr:to>
    <xdr:pic>
      <xdr:nvPicPr>
        <xdr:cNvPr id="392" name="BExOPRCR0UW7TKXSV5WDTL348FGL" descr="S9JM17GP1802LHN4GT14BJYIC" hidden="1">
          <a:extLst>
            <a:ext uri="{FF2B5EF4-FFF2-40B4-BE49-F238E27FC236}">
              <a16:creationId xmlns:a16="http://schemas.microsoft.com/office/drawing/2014/main" id="{6E54A269-82DF-4745-855D-BBDA85544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0936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0</xdr:col>
      <xdr:colOff>173265</xdr:colOff>
      <xdr:row>2</xdr:row>
      <xdr:rowOff>135620</xdr:rowOff>
    </xdr:to>
    <xdr:pic>
      <xdr:nvPicPr>
        <xdr:cNvPr id="393" name="BEx5OESAY2W8SEGI3TSB65EHJ04B" descr="9CN2Y88X8WYV1HWZG1QILY9BK" hidden="1">
          <a:extLst>
            <a:ext uri="{FF2B5EF4-FFF2-40B4-BE49-F238E27FC236}">
              <a16:creationId xmlns:a16="http://schemas.microsoft.com/office/drawing/2014/main" id="{E08566C1-8C6E-4C72-8977-2AB65FD4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379639"/>
          <a:ext cx="121105" cy="12156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47625</xdr:colOff>
      <xdr:row>1</xdr:row>
      <xdr:rowOff>66675</xdr:rowOff>
    </xdr:from>
    <xdr:to>
      <xdr:col>0</xdr:col>
      <xdr:colOff>173265</xdr:colOff>
      <xdr:row>2</xdr:row>
      <xdr:rowOff>16780</xdr:rowOff>
    </xdr:to>
    <xdr:pic>
      <xdr:nvPicPr>
        <xdr:cNvPr id="394" name="BExGMWEQ2BYRY9BAO5T1X850MJN1" descr="AZ9ST0XDIOP50HSUFO5V31BR0" hidden="1">
          <a:extLst>
            <a:ext uri="{FF2B5EF4-FFF2-40B4-BE49-F238E27FC236}">
              <a16:creationId xmlns:a16="http://schemas.microsoft.com/office/drawing/2014/main" id="{8427CA80-C9ED-44AE-B08A-625170278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49011"/>
          <a:ext cx="121105" cy="13879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429530</xdr:colOff>
      <xdr:row>79</xdr:row>
      <xdr:rowOff>54880</xdr:rowOff>
    </xdr:to>
    <xdr:pic>
      <xdr:nvPicPr>
        <xdr:cNvPr id="395" name="BExXRND8208TWULE9S50U89VKPB7" descr="ETUGZV0SKTQDQB8JOYY0DCX79" hidden="1">
          <a:extLst>
            <a:ext uri="{FF2B5EF4-FFF2-40B4-BE49-F238E27FC236}">
              <a16:creationId xmlns:a16="http://schemas.microsoft.com/office/drawing/2014/main" id="{46A2F220-6B54-4046-954E-A0A87F4E17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3350" y="0"/>
          <a:ext cx="7217680" cy="1460545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396" name="BExMO7VFCN4EL59982UR4AJ25JNJ" descr="XX6TINEJADZGKR0CTM7ZRT0RA" hidden="1">
          <a:extLst>
            <a:ext uri="{FF2B5EF4-FFF2-40B4-BE49-F238E27FC236}">
              <a16:creationId xmlns:a16="http://schemas.microsoft.com/office/drawing/2014/main" id="{FB005767-8FD5-4399-BC74-E47D0FE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397" name="BExU3EX5JJCXCII4YKUJBFBGIJR2" descr="OF5ZI9PI5WH36VPANJ2DYLNMI" hidden="1">
          <a:extLst>
            <a:ext uri="{FF2B5EF4-FFF2-40B4-BE49-F238E27FC236}">
              <a16:creationId xmlns:a16="http://schemas.microsoft.com/office/drawing/2014/main" id="{5008F8F0-A3B5-46BA-A001-26039957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398" name="BEx1KD7H6UB1VYCJ7O61P562EIUY" descr="IQGV9140X0K0UPBL8OGU3I44J" hidden="1">
          <a:extLst>
            <a:ext uri="{FF2B5EF4-FFF2-40B4-BE49-F238E27FC236}">
              <a16:creationId xmlns:a16="http://schemas.microsoft.com/office/drawing/2014/main" id="{550AF3CD-BBF1-470D-9E33-AC2D4403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399" name="BEx5BJQWS6YWHH4ZMSUAMD641V6Y" descr="ZTMFMXCIQSECDX38ALEFHUB00" hidden="1">
          <a:extLst>
            <a:ext uri="{FF2B5EF4-FFF2-40B4-BE49-F238E27FC236}">
              <a16:creationId xmlns:a16="http://schemas.microsoft.com/office/drawing/2014/main" id="{7A910B6D-A451-433B-A9FC-715C2B3E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1</xdr:row>
      <xdr:rowOff>9525</xdr:rowOff>
    </xdr:from>
    <xdr:ext cx="47625" cy="47625"/>
    <xdr:pic macro="[1]!DesignIconClicked">
      <xdr:nvPicPr>
        <xdr:cNvPr id="400" name="BExVTO5Q8G2M7BPL4B2584LQS0R0" descr="OB6Q8NA4LZFE4GM9Y3V56BPMQ" hidden="1">
          <a:extLst>
            <a:ext uri="{FF2B5EF4-FFF2-40B4-BE49-F238E27FC236}">
              <a16:creationId xmlns:a16="http://schemas.microsoft.com/office/drawing/2014/main" id="{7A9CC028-678D-4305-B725-0A4B58B0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98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1</xdr:row>
      <xdr:rowOff>85725</xdr:rowOff>
    </xdr:from>
    <xdr:ext cx="47625" cy="47625"/>
    <xdr:pic macro="[1]!DesignIconClicked">
      <xdr:nvPicPr>
        <xdr:cNvPr id="401" name="BExIFSCLN1G86X78PFLTSMRP0US5" descr="9JK4SPV4DG7VTCZIILWHXQU5J" hidden="1">
          <a:extLst>
            <a:ext uri="{FF2B5EF4-FFF2-40B4-BE49-F238E27FC236}">
              <a16:creationId xmlns:a16="http://schemas.microsoft.com/office/drawing/2014/main" id="{AF465B9D-0B89-4EF0-A309-70539F29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198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2" name="BEx1I152WN2D3A85O2XN0DGXCWHN" descr="KHBZFMANRA4UMJR1AB4M5NJNT" hidden="1">
          <a:extLst>
            <a:ext uri="{FF2B5EF4-FFF2-40B4-BE49-F238E27FC236}">
              <a16:creationId xmlns:a16="http://schemas.microsoft.com/office/drawing/2014/main" id="{7999CB09-C676-4F96-9393-1408DDA31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3" name="BExW9676P0SKCVKK25QCGHPA3PAD" descr="9A4PWZ20RMSRF0PNECCDM75CA" hidden="1">
          <a:extLst>
            <a:ext uri="{FF2B5EF4-FFF2-40B4-BE49-F238E27FC236}">
              <a16:creationId xmlns:a16="http://schemas.microsoft.com/office/drawing/2014/main" id="{8B18F9BF-B288-498B-A128-C942EB16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3</xdr:row>
      <xdr:rowOff>0</xdr:rowOff>
    </xdr:from>
    <xdr:ext cx="123825" cy="123825"/>
    <xdr:pic macro="[1]!DesignIconClicked">
      <xdr:nvPicPr>
        <xdr:cNvPr id="404" name="BExW253QPOZK9KW8BJC3LBXGCG2N" descr="Y5HX37BEUWSN1NEFJKZJXI3SX" hidden="1">
          <a:extLst>
            <a:ext uri="{FF2B5EF4-FFF2-40B4-BE49-F238E27FC236}">
              <a16:creationId xmlns:a16="http://schemas.microsoft.com/office/drawing/2014/main" id="{8BDCDB8C-1452-4667-9EB3-A08A3813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0111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5" name="BExS5CPQ8P8JOQPK7ANNKHLSGOKU" hidden="1">
          <a:extLst>
            <a:ext uri="{FF2B5EF4-FFF2-40B4-BE49-F238E27FC236}">
              <a16:creationId xmlns:a16="http://schemas.microsoft.com/office/drawing/2014/main" id="{72BA1914-1820-42DB-B7DB-42B4B59B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6" name="BExMM0AVUAIRNJLXB1FW8R0YB4ZZ" hidden="1">
          <a:extLst>
            <a:ext uri="{FF2B5EF4-FFF2-40B4-BE49-F238E27FC236}">
              <a16:creationId xmlns:a16="http://schemas.microsoft.com/office/drawing/2014/main" id="{D6942B9B-9FC9-4750-A6BA-4FD0285D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1</xdr:row>
      <xdr:rowOff>9525</xdr:rowOff>
    </xdr:from>
    <xdr:ext cx="47625" cy="47625"/>
    <xdr:pic macro="[1]!DesignIconClicked">
      <xdr:nvPicPr>
        <xdr:cNvPr id="407" name="BExXZ7Y09CBS0XA7IPB3IRJ8RJM4" hidden="1">
          <a:extLst>
            <a:ext uri="{FF2B5EF4-FFF2-40B4-BE49-F238E27FC236}">
              <a16:creationId xmlns:a16="http://schemas.microsoft.com/office/drawing/2014/main" id="{4B5D6EA3-90D3-4C55-9938-3A56D2680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67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1</xdr:row>
      <xdr:rowOff>85725</xdr:rowOff>
    </xdr:from>
    <xdr:ext cx="47625" cy="47625"/>
    <xdr:pic macro="[1]!DesignIconClicked">
      <xdr:nvPicPr>
        <xdr:cNvPr id="408" name="BExQ7SXS9VUG7P6CACU2J7R2SGIZ" hidden="1">
          <a:extLst>
            <a:ext uri="{FF2B5EF4-FFF2-40B4-BE49-F238E27FC236}">
              <a16:creationId xmlns:a16="http://schemas.microsoft.com/office/drawing/2014/main" id="{D348307D-B70D-4C5C-8373-2D7FCE9C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67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9525</xdr:rowOff>
    </xdr:from>
    <xdr:ext cx="47625" cy="47625"/>
    <xdr:pic macro="[1]!DesignIconClicked">
      <xdr:nvPicPr>
        <xdr:cNvPr id="409" name="BEx5AQZ4ETQ9LMY5EBWVH20Z7VXQ" hidden="1">
          <a:extLst>
            <a:ext uri="{FF2B5EF4-FFF2-40B4-BE49-F238E27FC236}">
              <a16:creationId xmlns:a16="http://schemas.microsoft.com/office/drawing/2014/main" id="{79A1A74C-CDC8-4983-8A90-6EBD8AF2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3129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1</xdr:row>
      <xdr:rowOff>85725</xdr:rowOff>
    </xdr:from>
    <xdr:ext cx="47625" cy="47625"/>
    <xdr:pic macro="[1]!DesignIconClicked">
      <xdr:nvPicPr>
        <xdr:cNvPr id="410" name="BExUBK0YZ5VYFY8TTITJGJU9S06A" hidden="1">
          <a:extLst>
            <a:ext uri="{FF2B5EF4-FFF2-40B4-BE49-F238E27FC236}">
              <a16:creationId xmlns:a16="http://schemas.microsoft.com/office/drawing/2014/main" id="{53AA389A-C404-4AFD-BAD7-F92F6A80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3129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9525</xdr:rowOff>
    </xdr:from>
    <xdr:ext cx="47625" cy="47625"/>
    <xdr:pic macro="[1]!DesignIconClicked">
      <xdr:nvPicPr>
        <xdr:cNvPr id="411" name="BExUEZCSSJ7RN4J18I2NUIQR2FZS" hidden="1">
          <a:extLst>
            <a:ext uri="{FF2B5EF4-FFF2-40B4-BE49-F238E27FC236}">
              <a16:creationId xmlns:a16="http://schemas.microsoft.com/office/drawing/2014/main" id="{A79AA565-B993-4AA0-B88A-3DE90524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0261" y="1954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1</xdr:row>
      <xdr:rowOff>85725</xdr:rowOff>
    </xdr:from>
    <xdr:ext cx="47625" cy="47625"/>
    <xdr:pic macro="[1]!DesignIconClicked">
      <xdr:nvPicPr>
        <xdr:cNvPr id="412" name="BExS3JDQWF7U3F5JTEVOE16ASIYK" hidden="1">
          <a:extLst>
            <a:ext uri="{FF2B5EF4-FFF2-40B4-BE49-F238E27FC236}">
              <a16:creationId xmlns:a16="http://schemas.microsoft.com/office/drawing/2014/main" id="{C2563B53-3D18-4066-B00D-7E879819F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0261" y="271689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13" name="BEx973S463FCQVJ7QDFBUIU0WJ3F" descr="ZQTVYL8DCSADVT0QMRXFLU0TR" hidden="1">
          <a:extLst>
            <a:ext uri="{FF2B5EF4-FFF2-40B4-BE49-F238E27FC236}">
              <a16:creationId xmlns:a16="http://schemas.microsoft.com/office/drawing/2014/main" id="{72D2D6F2-643A-4D32-A250-1BC5E2C4B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12</xdr:row>
      <xdr:rowOff>0</xdr:rowOff>
    </xdr:from>
    <xdr:ext cx="123825" cy="123825"/>
    <xdr:pic macro="[1]!DesignIconClicked">
      <xdr:nvPicPr>
        <xdr:cNvPr id="414" name="BExRZO0PLWWMCLGRH7EH6UXYWGAJ" descr="9D4GQ34QB727H10MA3SSAR2R9" hidden="1">
          <a:extLst>
            <a:ext uri="{FF2B5EF4-FFF2-40B4-BE49-F238E27FC236}">
              <a16:creationId xmlns:a16="http://schemas.microsoft.com/office/drawing/2014/main" id="{509B73ED-1C22-4395-9019-C7A35D63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415" name="BExBDP6HNAAJUM39SE5G2C8BKNRQ" descr="1TM64TL2QIMYV7WYSV2VLGXY4" hidden="1">
          <a:extLst>
            <a:ext uri="{FF2B5EF4-FFF2-40B4-BE49-F238E27FC236}">
              <a16:creationId xmlns:a16="http://schemas.microsoft.com/office/drawing/2014/main" id="{5DEE0CE1-4421-4262-9A28-58A070BE3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393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416" name="BExQEGJP61DL2NZY6LMBHBZ0J5YT" descr="D6ZNRZJ7EX4GZT9RO8LE0C905" hidden="1">
          <a:extLst>
            <a:ext uri="{FF2B5EF4-FFF2-40B4-BE49-F238E27FC236}">
              <a16:creationId xmlns:a16="http://schemas.microsoft.com/office/drawing/2014/main" id="{4B620A4C-2770-4AF6-8EA8-050703B4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5781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15</xdr:row>
      <xdr:rowOff>0</xdr:rowOff>
    </xdr:from>
    <xdr:ext cx="123825" cy="123825"/>
    <xdr:pic macro="[1]!DesignIconClicked">
      <xdr:nvPicPr>
        <xdr:cNvPr id="417" name="BExTY1BCS6HZIF6HI5491FGHDVAE" descr="MJ6976KI2UH1IE8M227DUYXMJ" hidden="1">
          <a:extLst>
            <a:ext uri="{FF2B5EF4-FFF2-40B4-BE49-F238E27FC236}">
              <a16:creationId xmlns:a16="http://schemas.microsoft.com/office/drawing/2014/main" id="{2EE8CA1E-89DC-4995-8F77-8FA659FEF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762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18" name="BEx5FXJGJOT93D0J2IRJ3985IUMI" hidden="1">
          <a:extLst>
            <a:ext uri="{FF2B5EF4-FFF2-40B4-BE49-F238E27FC236}">
              <a16:creationId xmlns:a16="http://schemas.microsoft.com/office/drawing/2014/main" id="{0A11E3EE-5B0E-4FCB-9069-83923F3C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19" name="BEx3RTMHAR35NUAAK49TV6NU7EPA" descr="QFXLG4ZCXTRQSJYFCKJ58G9N8" hidden="1">
          <a:extLst>
            <a:ext uri="{FF2B5EF4-FFF2-40B4-BE49-F238E27FC236}">
              <a16:creationId xmlns:a16="http://schemas.microsoft.com/office/drawing/2014/main" id="{8034D3B3-7FC2-4E12-97E9-40378B5E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420" name="BExS8T38WLC2R738ZC7BDJQAKJAJ" descr="MRI962L5PB0E0YWXCIBN82VJH" hidden="1">
          <a:extLst>
            <a:ext uri="{FF2B5EF4-FFF2-40B4-BE49-F238E27FC236}">
              <a16:creationId xmlns:a16="http://schemas.microsoft.com/office/drawing/2014/main" id="{9058013D-AC5A-4189-978A-3D38B961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8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1" name="BEx5F64BJ6DCM4EJH81D5ZFNPZ0V" descr="7DJ9FILZD2YPS6X1JBP9E76TU" hidden="1">
          <a:extLst>
            <a:ext uri="{FF2B5EF4-FFF2-40B4-BE49-F238E27FC236}">
              <a16:creationId xmlns:a16="http://schemas.microsoft.com/office/drawing/2014/main" id="{AADD623F-FA3C-4E3B-8265-C65E9DEF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22" name="BExQEXXHA3EEXR44LT6RKCDWM6ZT" hidden="1">
          <a:extLst>
            <a:ext uri="{FF2B5EF4-FFF2-40B4-BE49-F238E27FC236}">
              <a16:creationId xmlns:a16="http://schemas.microsoft.com/office/drawing/2014/main" id="{67F80A60-49F6-43B8-82C4-ABADC356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7</xdr:row>
      <xdr:rowOff>0</xdr:rowOff>
    </xdr:from>
    <xdr:ext cx="123825" cy="123825"/>
    <xdr:pic macro="[1]!DesignIconClicked">
      <xdr:nvPicPr>
        <xdr:cNvPr id="423" name="BEx1X6AMHV6ZK3UJB2BXIJTJHYJU" descr="OALR4L95ELQLZ1Y1LETHM1CS9" hidden="1">
          <a:extLst>
            <a:ext uri="{FF2B5EF4-FFF2-40B4-BE49-F238E27FC236}">
              <a16:creationId xmlns:a16="http://schemas.microsoft.com/office/drawing/2014/main" id="{85937879-297C-4895-9CF6-57ABA731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8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</xdr:row>
      <xdr:rowOff>0</xdr:rowOff>
    </xdr:from>
    <xdr:ext cx="123825" cy="123825"/>
    <xdr:pic macro="[1]!DesignIconClicked">
      <xdr:nvPicPr>
        <xdr:cNvPr id="424" name="BExSDIVCE09QKG3CT52PHCS6ZJ09" descr="9F076L7EQCF2COMMGCQG6BQGU" hidden="1">
          <a:extLst>
            <a:ext uri="{FF2B5EF4-FFF2-40B4-BE49-F238E27FC236}">
              <a16:creationId xmlns:a16="http://schemas.microsoft.com/office/drawing/2014/main" id="{9E250952-0A33-4445-B4E4-CCAB284A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689" y="368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425" name="BEx1QZGQZBAWJ8591VXEIPUOVS7X" descr="MEW27CPIFG44B7E7HEQUUF5QF" hidden="1">
          <a:extLst>
            <a:ext uri="{FF2B5EF4-FFF2-40B4-BE49-F238E27FC236}">
              <a16:creationId xmlns:a16="http://schemas.microsoft.com/office/drawing/2014/main" id="{DDDB46C8-77D6-4F5C-AD0A-A0383DA7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209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426" name="BExMF7LICJLPXSHM63A6EQ79YQKG" descr="U084VZL15IMB1OFRRAY6GVKAE" hidden="1">
          <a:extLst>
            <a:ext uri="{FF2B5EF4-FFF2-40B4-BE49-F238E27FC236}">
              <a16:creationId xmlns:a16="http://schemas.microsoft.com/office/drawing/2014/main" id="{0A833A60-E269-4FD6-A997-D76B1F2E9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2025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427" name="BExS343F8GCKP6HTF9Y97L133DX8" descr="ZRF0KB1IYQSNV63CTXT25G67G" hidden="1">
          <a:extLst>
            <a:ext uri="{FF2B5EF4-FFF2-40B4-BE49-F238E27FC236}">
              <a16:creationId xmlns:a16="http://schemas.microsoft.com/office/drawing/2014/main" id="{F3BA8DDA-167F-4C4A-A781-5BF78E71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84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428" name="BExZMRC09W87CY4B73NPZMNH21AH" descr="78CUMI0OVLYJRSDRQ3V2YX812" hidden="1">
          <a:extLst>
            <a:ext uri="{FF2B5EF4-FFF2-40B4-BE49-F238E27FC236}">
              <a16:creationId xmlns:a16="http://schemas.microsoft.com/office/drawing/2014/main" id="{FDD3C361-EAD2-4F07-BAA3-79E91A67A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657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9525</xdr:rowOff>
    </xdr:from>
    <xdr:ext cx="123825" cy="123825"/>
    <xdr:pic macro="[1]!DesignIconClicked">
      <xdr:nvPicPr>
        <xdr:cNvPr id="429" name="BExZXVFJ4DY4I24AARDT4AMP6EN1" descr="TXSMH2MTH86CYKA26740RQPUC" hidden="1">
          <a:extLst>
            <a:ext uri="{FF2B5EF4-FFF2-40B4-BE49-F238E27FC236}">
              <a16:creationId xmlns:a16="http://schemas.microsoft.com/office/drawing/2014/main" id="{34236E1B-CC8B-46E3-9980-EF3C72C85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484539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430" name="BExOCUIOFQWUGTBU5ESTW3EYEP5C" descr="9BNF49V0R6VVYPHEVMJ3ABDQZ" hidden="1">
          <a:extLst>
            <a:ext uri="{FF2B5EF4-FFF2-40B4-BE49-F238E27FC236}">
              <a16:creationId xmlns:a16="http://schemas.microsoft.com/office/drawing/2014/main" id="{2946FA7B-9226-465A-BC38-FAC353A7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289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431" name="BExU65O9OE4B4MQ2A3OYH13M8BZJ" descr="3INNIMMPDBB0JF37L81M6ID21" hidden="1">
          <a:extLst>
            <a:ext uri="{FF2B5EF4-FFF2-40B4-BE49-F238E27FC236}">
              <a16:creationId xmlns:a16="http://schemas.microsoft.com/office/drawing/2014/main" id="{4EC1858D-E314-4F36-9DE4-639FE4B3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110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432" name="BExOPRCR0UW7TKXSV5WDTL348FGL" descr="S9JM17GP1802LHN4GT14BJYIC" hidden="1">
          <a:extLst>
            <a:ext uri="{FF2B5EF4-FFF2-40B4-BE49-F238E27FC236}">
              <a16:creationId xmlns:a16="http://schemas.microsoft.com/office/drawing/2014/main" id="{7A3F3BAA-E0D6-46A8-A87D-A9271A5D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920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433" name="BEx5OESAY2W8SEGI3TSB65EHJ04B" descr="9CN2Y88X8WYV1HWZG1QILY9BK" hidden="1">
          <a:extLst>
            <a:ext uri="{FF2B5EF4-FFF2-40B4-BE49-F238E27FC236}">
              <a16:creationId xmlns:a16="http://schemas.microsoft.com/office/drawing/2014/main" id="{07E0E407-79F6-4F46-8AA0-748C71EA5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73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434" name="BExGMWEQ2BYRY9BAO5T1X850MJN1" descr="AZ9ST0XDIOP50HSUFO5V31BR0" hidden="1">
          <a:extLst>
            <a:ext uri="{FF2B5EF4-FFF2-40B4-BE49-F238E27FC236}">
              <a16:creationId xmlns:a16="http://schemas.microsoft.com/office/drawing/2014/main" id="{B5784363-5D12-4C7D-8214-3784A4F9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789" y="552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Common%20Files\SAP%20Shared\BW\BExAnalyzer.xla" TargetMode="External"/><Relationship Id="rId1" Type="http://schemas.openxmlformats.org/officeDocument/2006/relationships/externalLinkPath" Target="file:///C: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x"/>
      <sheetName val="BExStyles"/>
      <sheetName val="BExAnalyzer"/>
      <sheetName val="Resumo_Premrec_AFF"/>
      <sheetName val="Resumo_Premrec_YAS"/>
      <sheetName val="PMD Contrato Novo"/>
      <sheetName val="Planilha1"/>
    </sheetNames>
    <definedNames>
      <definedName name="DesignIconClicked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biana Nascimento Carneiro de Oliveira" id="{84DCDB86-419D-46FE-BF7D-646AA90DA66C}" userId="S::fncoliveira@sompo.com.br::64c18431-2cab-4eae-b3a8-28529593533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6" dT="2026-03-03T16:56:52.55" personId="{84DCDB86-419D-46FE-BF7D-646AA90DA66C}" id="{E76AB684-EF27-4B40-9753-6EE2116FC30C}">
    <text>Impostos restituídos Sompo do Brasil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2235-BB28-4C2A-A8A3-D38908042927}">
  <sheetPr>
    <tabColor rgb="FF00B050"/>
  </sheetPr>
  <dimension ref="B3:Q42"/>
  <sheetViews>
    <sheetView showGridLines="0" tabSelected="1" topLeftCell="A4" zoomScale="130" zoomScaleNormal="130" workbookViewId="0">
      <pane xSplit="3" ySplit="1" topLeftCell="E11" activePane="bottomRight" state="frozen"/>
      <selection activeCell="A4" sqref="A4"/>
      <selection pane="topRight" activeCell="D4" sqref="D4"/>
      <selection pane="bottomLeft" activeCell="A5" sqref="A5"/>
      <selection pane="bottomRight" activeCell="I22" sqref="I22"/>
    </sheetView>
  </sheetViews>
  <sheetFormatPr defaultColWidth="8.7265625" defaultRowHeight="12" x14ac:dyDescent="0.3"/>
  <cols>
    <col min="1" max="1" width="8.7265625" style="1"/>
    <col min="2" max="2" width="11.6328125" style="1" customWidth="1"/>
    <col min="3" max="3" width="31.08984375" style="1" customWidth="1"/>
    <col min="4" max="4" width="10.90625" style="1" bestFit="1" customWidth="1"/>
    <col min="5" max="5" width="8.54296875" style="1" bestFit="1" customWidth="1"/>
    <col min="6" max="6" width="14.7265625" style="1" customWidth="1"/>
    <col min="7" max="8" width="8.7265625" style="1" customWidth="1"/>
    <col min="9" max="9" width="12.54296875" style="1" customWidth="1"/>
    <col min="10" max="13" width="8.7265625" style="1" hidden="1" customWidth="1"/>
    <col min="14" max="14" width="10.90625" style="1" hidden="1" customWidth="1"/>
    <col min="15" max="15" width="13.26953125" style="1" hidden="1" customWidth="1"/>
    <col min="16" max="16" width="8.7265625" style="1"/>
    <col min="17" max="17" width="8.7265625" style="108"/>
    <col min="18" max="16384" width="8.7265625" style="1"/>
  </cols>
  <sheetData>
    <row r="3" spans="2:17" x14ac:dyDescent="0.3">
      <c r="B3" s="109" t="s">
        <v>32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2:17" x14ac:dyDescent="0.3">
      <c r="B4" s="109" t="s">
        <v>33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2:17" x14ac:dyDescent="0.3">
      <c r="B5" s="20"/>
      <c r="C5" s="21"/>
      <c r="D5" s="81" t="s">
        <v>71</v>
      </c>
      <c r="E5" s="82" t="s">
        <v>72</v>
      </c>
      <c r="F5" s="81" t="s">
        <v>73</v>
      </c>
      <c r="G5" s="83" t="s">
        <v>74</v>
      </c>
      <c r="H5" s="81" t="s">
        <v>75</v>
      </c>
      <c r="I5" s="93" t="s">
        <v>76</v>
      </c>
      <c r="J5" s="94" t="s">
        <v>77</v>
      </c>
      <c r="K5" s="94" t="s">
        <v>78</v>
      </c>
      <c r="L5" s="94" t="s">
        <v>79</v>
      </c>
      <c r="M5" s="94" t="s">
        <v>80</v>
      </c>
      <c r="N5" s="94" t="s">
        <v>81</v>
      </c>
      <c r="O5" s="94" t="s">
        <v>82</v>
      </c>
      <c r="Q5" s="108" t="s">
        <v>75</v>
      </c>
    </row>
    <row r="6" spans="2:17" x14ac:dyDescent="0.3">
      <c r="B6" s="22"/>
      <c r="C6" s="4" t="s">
        <v>35</v>
      </c>
      <c r="D6" s="63"/>
      <c r="E6" s="4"/>
      <c r="F6" s="63"/>
      <c r="G6" s="4"/>
      <c r="H6" s="63"/>
      <c r="I6" s="4"/>
      <c r="J6" s="63"/>
      <c r="K6" s="63"/>
      <c r="L6" s="63"/>
      <c r="M6" s="63"/>
      <c r="N6" s="63"/>
      <c r="O6" s="63"/>
    </row>
    <row r="7" spans="2:17" x14ac:dyDescent="0.3">
      <c r="B7" s="23">
        <v>35199998</v>
      </c>
      <c r="C7" s="1" t="s">
        <v>18</v>
      </c>
      <c r="D7" s="64">
        <f>IFERROR(VLOOKUP(B7,'Bal 012026'!B:H,6,0),0)</f>
        <v>-7990.17</v>
      </c>
      <c r="E7" s="24">
        <f>IFERROR(VLOOKUP(B7,'Bal 022026'!$B:$H,6,0),0)</f>
        <v>-3906.58</v>
      </c>
      <c r="F7" s="64">
        <f>IFERROR(VLOOKUP($B$7,'Bal 032026'!$B:$H,6,0),0)</f>
        <v>-4605.8</v>
      </c>
      <c r="G7" s="24">
        <f>IFERROR(VLOOKUP(B7,'Bal 042026'!B:H,6,0),0)</f>
        <v>-2559.73</v>
      </c>
      <c r="H7" s="64">
        <f>IFERROR(VLOOKUP(B7,'Bal 052026'!B:H,6,0),0)</f>
        <v>-6624.52</v>
      </c>
      <c r="I7" s="24">
        <f>IFERROR(VLOOKUP(B7,'Bal 06.2026'!B:H,6,0),0)</f>
        <v>-7391.75</v>
      </c>
      <c r="J7" s="64">
        <f>IFERROR(VLOOKUP(B7,'Bal 07.2026'!A:G,6,0),0)</f>
        <v>0</v>
      </c>
      <c r="K7" s="64">
        <f>IFERROR(VLOOKUP(B7,'Bal 08.2026'!A:G,6,0),0)</f>
        <v>0</v>
      </c>
      <c r="L7" s="64" t="e">
        <f>VLOOKUP(B7,'Bal 09.2026'!A:G,6,0)</f>
        <v>#N/A</v>
      </c>
      <c r="M7" s="64" t="e">
        <f>VLOOKUP(B7,'Bal 10.2026'!A:G,6,0)</f>
        <v>#N/A</v>
      </c>
      <c r="N7" s="64">
        <f>IFERROR(VLOOKUP(B7,'Bal 11.2026'!A:G,6,0),0)</f>
        <v>0</v>
      </c>
      <c r="O7" s="64">
        <f>IFERROR(VLOOKUP(B7,'Bal 12.2026'!A:G,6,0),0)</f>
        <v>0</v>
      </c>
      <c r="Q7" s="108">
        <v>0</v>
      </c>
    </row>
    <row r="8" spans="2:17" x14ac:dyDescent="0.3">
      <c r="B8" s="23">
        <v>35199995</v>
      </c>
      <c r="C8" s="1" t="s">
        <v>68</v>
      </c>
      <c r="D8" s="64">
        <f>IFERROR(VLOOKUP(B8,'Bal 012026'!B:H,6,0),0)</f>
        <v>-37147.5</v>
      </c>
      <c r="E8" s="24">
        <f>IFERROR(VLOOKUP(B8,'Bal 022026'!$B:$H,6,0),0)</f>
        <v>-40552</v>
      </c>
      <c r="F8" s="64">
        <f>IFERROR(VLOOKUP($B$8,'Bal 032026'!$B:$H,6,0),0)</f>
        <v>-33550</v>
      </c>
      <c r="G8" s="24">
        <f>IFERROR(VLOOKUP(B8,'Bal 042026'!B:H,6,0),0)</f>
        <v>-55209.5</v>
      </c>
      <c r="H8" s="64">
        <f>IFERROR(VLOOKUP(B8,'Bal 052026'!B:H,6,0),0)</f>
        <v>-85622.5</v>
      </c>
      <c r="I8" s="24">
        <f>IFERROR(VLOOKUP(B8,'Bal 06.2026'!B:H,6,0),0)</f>
        <v>-79219</v>
      </c>
      <c r="J8" s="65"/>
      <c r="K8" s="65"/>
      <c r="L8" s="65"/>
      <c r="M8" s="65"/>
      <c r="N8" s="65"/>
      <c r="O8" s="64">
        <f>IFERROR(VLOOKUP(B8,'Bal 12.2026'!A:G,6,0),0)</f>
        <v>0</v>
      </c>
      <c r="P8" s="1" t="s">
        <v>448</v>
      </c>
      <c r="Q8" s="108">
        <v>-85622.5</v>
      </c>
    </row>
    <row r="9" spans="2:17" x14ac:dyDescent="0.3">
      <c r="B9" s="22"/>
      <c r="C9" s="4" t="s">
        <v>34</v>
      </c>
      <c r="D9" s="66">
        <f>SUM(D7:D8)</f>
        <v>-45137.67</v>
      </c>
      <c r="E9" s="5">
        <f>SUM(E7:E8)</f>
        <v>-44458.58</v>
      </c>
      <c r="F9" s="66">
        <f>SUM(F7:F8)</f>
        <v>-38155.800000000003</v>
      </c>
      <c r="G9" s="5">
        <f>SUM(G7:G8)</f>
        <v>-57769.23</v>
      </c>
      <c r="H9" s="66">
        <f>SUM(H7:H8)</f>
        <v>-92247.02</v>
      </c>
      <c r="I9" s="66">
        <f>SUM(I7:I8)</f>
        <v>-86610.75</v>
      </c>
      <c r="J9" s="66">
        <f t="shared" ref="I9:J9" si="0">SUM(J7:J7)</f>
        <v>0</v>
      </c>
      <c r="K9" s="66">
        <f t="shared" ref="K9:L9" si="1">SUM(K7:K7)</f>
        <v>0</v>
      </c>
      <c r="L9" s="66" t="e">
        <f t="shared" si="1"/>
        <v>#N/A</v>
      </c>
      <c r="M9" s="66" t="e">
        <f>SUM(M7:M7)</f>
        <v>#N/A</v>
      </c>
      <c r="N9" s="66">
        <f>SUM(N7:N7)</f>
        <v>0</v>
      </c>
      <c r="O9" s="66">
        <f>SUM(O7:O8)</f>
        <v>0</v>
      </c>
      <c r="Q9" s="108">
        <v>-85622.5</v>
      </c>
    </row>
    <row r="10" spans="2:17" x14ac:dyDescent="0.3">
      <c r="B10" s="35">
        <v>1.6500000000000001E-2</v>
      </c>
      <c r="C10" s="1" t="s">
        <v>29</v>
      </c>
      <c r="D10" s="67">
        <f>D9*B10</f>
        <v>-744.77155500000003</v>
      </c>
      <c r="E10" s="2">
        <f t="shared" ref="E10:G10" si="2">E9*1.65%</f>
        <v>-733.56657000000007</v>
      </c>
      <c r="F10" s="67">
        <f t="shared" si="2"/>
        <v>-629.5707000000001</v>
      </c>
      <c r="G10" s="2">
        <f t="shared" si="2"/>
        <v>-953.19229500000006</v>
      </c>
      <c r="H10" s="67">
        <f>H9*1.65%</f>
        <v>-1522.0758300000002</v>
      </c>
      <c r="I10" s="2">
        <f>I9*1.65%</f>
        <v>-1429.0773750000001</v>
      </c>
      <c r="J10" s="67">
        <f>J9*1.65%</f>
        <v>0</v>
      </c>
      <c r="K10" s="67">
        <f>K9*1.65%</f>
        <v>0</v>
      </c>
      <c r="L10" s="67" t="e">
        <f t="shared" ref="L10:O10" si="3">L9*1.65%</f>
        <v>#N/A</v>
      </c>
      <c r="M10" s="67" t="e">
        <f>M9*1.65%</f>
        <v>#N/A</v>
      </c>
      <c r="N10" s="67">
        <f t="shared" si="3"/>
        <v>0</v>
      </c>
      <c r="O10" s="67">
        <f t="shared" si="3"/>
        <v>0</v>
      </c>
      <c r="Q10" s="108">
        <v>-1412.77125</v>
      </c>
    </row>
    <row r="11" spans="2:17" x14ac:dyDescent="0.3">
      <c r="B11" s="36">
        <v>7.5999999999999998E-2</v>
      </c>
      <c r="C11" s="26" t="s">
        <v>30</v>
      </c>
      <c r="D11" s="68">
        <f>D9*B11</f>
        <v>-3430.4629199999999</v>
      </c>
      <c r="E11" s="28">
        <f>E9*B11</f>
        <v>-3378.8520800000001</v>
      </c>
      <c r="F11" s="68">
        <f t="shared" ref="F11:J11" si="4">F9*7.6%</f>
        <v>-2899.8407999999999</v>
      </c>
      <c r="G11" s="28">
        <f t="shared" si="4"/>
        <v>-4390.4614799999999</v>
      </c>
      <c r="H11" s="68">
        <f>H9*7.6%</f>
        <v>-7010.7735199999997</v>
      </c>
      <c r="I11" s="28">
        <f>I9*7.6%</f>
        <v>-6582.4169999999995</v>
      </c>
      <c r="J11" s="68">
        <f t="shared" si="4"/>
        <v>0</v>
      </c>
      <c r="K11" s="68">
        <f>K9*7.6%</f>
        <v>0</v>
      </c>
      <c r="L11" s="68" t="e">
        <f t="shared" ref="L11:O11" si="5">L9*7.6%</f>
        <v>#N/A</v>
      </c>
      <c r="M11" s="68" t="e">
        <f>M9*7.6%</f>
        <v>#N/A</v>
      </c>
      <c r="N11" s="68">
        <f t="shared" si="5"/>
        <v>0</v>
      </c>
      <c r="O11" s="68">
        <f t="shared" si="5"/>
        <v>0</v>
      </c>
      <c r="Q11" s="108">
        <v>-6507.3099999999995</v>
      </c>
    </row>
    <row r="12" spans="2:17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7" x14ac:dyDescent="0.3">
      <c r="B13" s="29"/>
      <c r="C13" s="21" t="s">
        <v>36</v>
      </c>
      <c r="D13" s="69"/>
      <c r="E13" s="69"/>
      <c r="F13" s="69"/>
      <c r="G13" s="30"/>
      <c r="H13" s="69"/>
      <c r="I13" s="30"/>
      <c r="J13" s="69"/>
      <c r="K13" s="69"/>
      <c r="L13" s="69"/>
      <c r="M13" s="69"/>
      <c r="N13" s="69"/>
      <c r="O13" s="69"/>
    </row>
    <row r="14" spans="2:17" x14ac:dyDescent="0.3">
      <c r="B14" s="23">
        <v>36114001</v>
      </c>
      <c r="C14" s="1" t="s">
        <v>19</v>
      </c>
      <c r="D14" s="64">
        <f>IFERROR(VLOOKUP(B14,'Bal 012026'!B:H,6,0),0)</f>
        <v>-6200.26</v>
      </c>
      <c r="E14" s="64">
        <f>IFERROR(VLOOKUP($B$14,'Bal 022026'!$B:$H,6,0),0)</f>
        <v>-6152.41</v>
      </c>
      <c r="F14" s="64">
        <f>IFERROR(VLOOKUP(B14,'Bal 032026'!$B:$H,6,0),0)</f>
        <v>-7276.93</v>
      </c>
      <c r="G14" s="24">
        <f>IFERROR(VLOOKUP(B14,'Bal 042026'!B:H,6,0),0)</f>
        <v>-6578.34</v>
      </c>
      <c r="H14" s="64">
        <f>IFERROR(VLOOKUP(B14,'Bal 052026'!B:H,6,0),0)</f>
        <v>-6759.61</v>
      </c>
      <c r="I14" s="24">
        <f>IFERROR(VLOOKUP(B14,'Bal 06.2026'!B:H,6,0),0)</f>
        <v>-6936.26</v>
      </c>
      <c r="J14" s="64">
        <f>IFERROR(VLOOKUP(B14,'Bal 07.2026'!A:G,6,0),0)</f>
        <v>0</v>
      </c>
      <c r="K14" s="64">
        <f>IFERROR(VLOOKUP(B14,'Bal 08.2026'!A:G,6,0),0)</f>
        <v>0</v>
      </c>
      <c r="L14" s="64">
        <f>IFERROR(VLOOKUP(B14,'Bal 09.2026'!A:G,6,0),0)</f>
        <v>0</v>
      </c>
      <c r="M14" s="64">
        <f>IFERROR(VLOOKUP(B14,'Bal 10.2026'!A:G,6,0),0)</f>
        <v>0</v>
      </c>
      <c r="N14" s="64">
        <f>IFERROR(VLOOKUP(B14,'Bal 11.2026'!A:G,6,0),0)</f>
        <v>0</v>
      </c>
      <c r="O14" s="64">
        <f>IFERROR(VLOOKUP(B14,'Bal 12.2026'!A:G,6,0),0)</f>
        <v>0</v>
      </c>
      <c r="P14" s="1" t="s">
        <v>447</v>
      </c>
      <c r="Q14" s="108">
        <v>0</v>
      </c>
    </row>
    <row r="15" spans="2:17" x14ac:dyDescent="0.3">
      <c r="B15" s="23">
        <v>36910001</v>
      </c>
      <c r="C15" s="1" t="s">
        <v>20</v>
      </c>
      <c r="D15" s="64">
        <f>IFERROR(VLOOKUP(B15,'Bal 012026'!B:H,6,0),0)</f>
        <v>-8252</v>
      </c>
      <c r="E15" s="64">
        <f>IFERROR(VLOOKUP($B$15,'Bal 022026'!$B:$H,6,0),0)</f>
        <v>-7113.78</v>
      </c>
      <c r="F15" s="64">
        <v>-8607.69</v>
      </c>
      <c r="G15" s="24">
        <f>IFERROR(VLOOKUP(B15,'Bal 042026'!B:H,6,0),0)</f>
        <v>-4495.54</v>
      </c>
      <c r="H15" s="64">
        <f>IFERROR(VLOOKUP(B15,'Bal 052026'!B:H,6,0),0)</f>
        <v>-7611.75</v>
      </c>
      <c r="I15" s="24">
        <f>IFERROR(VLOOKUP(B15,'Bal 06.2026'!B:H,6,0),0)</f>
        <v>-7967.44</v>
      </c>
      <c r="J15" s="64">
        <f>IFERROR(VLOOKUP(B15,'Bal 07.2026'!A:G,6,0),0)</f>
        <v>0</v>
      </c>
      <c r="K15" s="64">
        <f>IFERROR(VLOOKUP(B15,'Bal 08.2026'!A:G,6,0),0)</f>
        <v>0</v>
      </c>
      <c r="L15" s="64">
        <f>IFERROR(VLOOKUP(B15,'Bal 09.2026'!A:G,6,0),0)</f>
        <v>0</v>
      </c>
      <c r="M15" s="64">
        <f>IFERROR(VLOOKUP(B15,'Bal 10.2026'!A:G,6,0),0)</f>
        <v>0</v>
      </c>
      <c r="N15" s="64">
        <f>IFERROR(VLOOKUP(B15,'Bal 11.2026'!A:G,6,0),0)</f>
        <v>0</v>
      </c>
      <c r="O15" s="64">
        <f>IFERROR(VLOOKUP(B15,'Bal 12.2026'!A:G,6,0),0)</f>
        <v>0</v>
      </c>
      <c r="Q15" s="108">
        <v>0</v>
      </c>
    </row>
    <row r="16" spans="2:17" x14ac:dyDescent="0.3">
      <c r="B16" s="23">
        <v>36990099</v>
      </c>
      <c r="C16" s="1" t="s">
        <v>21</v>
      </c>
      <c r="D16" s="64">
        <f>IFERROR(VLOOKUP(B16,'Bal 012026'!B:H,6,0),0)</f>
        <v>-528.67999999999995</v>
      </c>
      <c r="E16" s="64">
        <f>IFERROR(VLOOKUP($B$16,'Bal 022026'!$B:$H,6,0),0)*0-'Bal 022026'!F148</f>
        <v>-528.67999999999995</v>
      </c>
      <c r="F16" s="64">
        <f>IFERROR(VLOOKUP(B16,'Bal 032026'!$B:$H,6,0),0)</f>
        <v>-528.67999999999995</v>
      </c>
      <c r="G16" s="24">
        <f>IFERROR(VLOOKUP(B16,'Bal 042026'!B:G,6,0),0)</f>
        <v>-528.67999999999995</v>
      </c>
      <c r="H16" s="64">
        <f>IFERROR(VLOOKUP(B16,'Bal 052026'!B:H,6,0),0)</f>
        <v>-628.24</v>
      </c>
      <c r="I16" s="24">
        <f>IFERROR(VLOOKUP(B16,'Bal 06.2026'!B:H,6,0),0)</f>
        <v>-1337.18</v>
      </c>
      <c r="J16" s="64">
        <f>IFERROR(VLOOKUP(B16,'Bal 07.2026'!A:G,6,0),0)</f>
        <v>0</v>
      </c>
      <c r="K16" s="64">
        <f>IFERROR(VLOOKUP(B16,'Bal 08.2026'!A:G,6,0),0)</f>
        <v>0</v>
      </c>
      <c r="L16" s="64">
        <f>IFERROR(VLOOKUP(B16,'Bal 09.2026'!A:G,6,0),0)</f>
        <v>0</v>
      </c>
      <c r="M16" s="64">
        <f>IFERROR(VLOOKUP(B16,'Bal 10.2026'!A:G,6,0),0)</f>
        <v>0</v>
      </c>
      <c r="N16" s="64">
        <f>IFERROR(VLOOKUP(B16,'Bal 11.2026'!A:G,6,0),0)</f>
        <v>0</v>
      </c>
      <c r="O16" s="64">
        <f>IFERROR(VLOOKUP(B16,'Bal 12.2026'!A:G,6,0),0)</f>
        <v>0</v>
      </c>
      <c r="Q16" s="108">
        <v>0</v>
      </c>
    </row>
    <row r="17" spans="2:17" x14ac:dyDescent="0.3">
      <c r="B17" s="31"/>
      <c r="C17" s="4" t="s">
        <v>95</v>
      </c>
      <c r="D17" s="70">
        <f>SUM(D14:D16)</f>
        <v>-14980.94</v>
      </c>
      <c r="E17" s="70">
        <f>SUM(E14:E16)</f>
        <v>-13794.869999999999</v>
      </c>
      <c r="F17" s="70">
        <f>SUM(F14:F16)</f>
        <v>-16413.3</v>
      </c>
      <c r="G17" s="32">
        <f>SUM(G14:G16)</f>
        <v>-11602.560000000001</v>
      </c>
      <c r="H17" s="70">
        <f>SUM(H14:H16)</f>
        <v>-14999.6</v>
      </c>
      <c r="I17" s="32">
        <f>SUM(I14:I16)</f>
        <v>-16240.880000000001</v>
      </c>
      <c r="J17" s="70">
        <f t="shared" ref="I17:J17" si="6">SUM(J14:J16)</f>
        <v>0</v>
      </c>
      <c r="K17" s="70">
        <f>SUM(K14:K16)</f>
        <v>0</v>
      </c>
      <c r="L17" s="70">
        <f t="shared" ref="L17:O17" si="7">SUM(L14:L16)</f>
        <v>0</v>
      </c>
      <c r="M17" s="70">
        <f>SUM(M14:M16)</f>
        <v>0</v>
      </c>
      <c r="N17" s="70">
        <f t="shared" si="7"/>
        <v>0</v>
      </c>
      <c r="O17" s="70">
        <f t="shared" si="7"/>
        <v>0</v>
      </c>
      <c r="Q17" s="108">
        <v>0</v>
      </c>
    </row>
    <row r="18" spans="2:17" x14ac:dyDescent="0.3">
      <c r="B18" s="35">
        <v>6.4999999999999997E-3</v>
      </c>
      <c r="C18" s="1" t="s">
        <v>28</v>
      </c>
      <c r="D18" s="67">
        <f>D17*B18</f>
        <v>-97.376109999999997</v>
      </c>
      <c r="E18" s="67">
        <f>E17*B18</f>
        <v>-89.666654999999992</v>
      </c>
      <c r="F18" s="67">
        <f t="shared" ref="F18:J18" si="8">F17*0.65%</f>
        <v>-106.68645000000001</v>
      </c>
      <c r="G18" s="2">
        <f t="shared" si="8"/>
        <v>-75.416640000000015</v>
      </c>
      <c r="H18" s="67">
        <f>H17*0.65%</f>
        <v>-97.497400000000013</v>
      </c>
      <c r="I18" s="2">
        <f>I17*0.65%</f>
        <v>-105.56572000000001</v>
      </c>
      <c r="J18" s="67">
        <f t="shared" si="8"/>
        <v>0</v>
      </c>
      <c r="K18" s="67">
        <f>K17*0.65%</f>
        <v>0</v>
      </c>
      <c r="L18" s="67">
        <f>L17*0.65%</f>
        <v>0</v>
      </c>
      <c r="M18" s="67">
        <f>M17*0.65%</f>
        <v>0</v>
      </c>
      <c r="N18" s="67">
        <f t="shared" ref="N18:O18" si="9">N17*0.65%</f>
        <v>0</v>
      </c>
      <c r="O18" s="67">
        <f t="shared" si="9"/>
        <v>0</v>
      </c>
      <c r="Q18" s="108">
        <v>0</v>
      </c>
    </row>
    <row r="19" spans="2:17" x14ac:dyDescent="0.3">
      <c r="B19" s="36">
        <v>0.04</v>
      </c>
      <c r="C19" s="26" t="s">
        <v>31</v>
      </c>
      <c r="D19" s="68">
        <f>D17*B19</f>
        <v>-599.23760000000004</v>
      </c>
      <c r="E19" s="68">
        <f>E17*B19</f>
        <v>-551.79480000000001</v>
      </c>
      <c r="F19" s="68">
        <f t="shared" ref="F19:J19" si="10">F17*4%</f>
        <v>-656.53200000000004</v>
      </c>
      <c r="G19" s="28">
        <f t="shared" si="10"/>
        <v>-464.10240000000005</v>
      </c>
      <c r="H19" s="68">
        <f>H17*4%</f>
        <v>-599.98400000000004</v>
      </c>
      <c r="I19" s="28">
        <f>I17*4%</f>
        <v>-649.63520000000005</v>
      </c>
      <c r="J19" s="68">
        <f t="shared" si="10"/>
        <v>0</v>
      </c>
      <c r="K19" s="68">
        <f>K17*4%</f>
        <v>0</v>
      </c>
      <c r="L19" s="68">
        <f>L17*4%</f>
        <v>0</v>
      </c>
      <c r="M19" s="68">
        <f>M17*4%</f>
        <v>0</v>
      </c>
      <c r="N19" s="68">
        <f t="shared" ref="N19:O19" si="11">N17*4%</f>
        <v>0</v>
      </c>
      <c r="O19" s="68">
        <f t="shared" si="11"/>
        <v>0</v>
      </c>
      <c r="Q19" s="108">
        <v>0</v>
      </c>
    </row>
    <row r="20" spans="2:17" x14ac:dyDescent="0.3">
      <c r="G20" s="34"/>
      <c r="H20" s="34"/>
      <c r="I20" s="34"/>
      <c r="J20" s="34"/>
      <c r="K20" s="34"/>
      <c r="L20" s="34"/>
      <c r="M20" s="34"/>
      <c r="N20" s="34"/>
      <c r="O20" s="34"/>
    </row>
    <row r="21" spans="2:17" x14ac:dyDescent="0.3">
      <c r="B21" s="45">
        <v>21131602</v>
      </c>
      <c r="C21" s="46" t="s">
        <v>24</v>
      </c>
      <c r="D21" s="71">
        <f>D10+D18</f>
        <v>-842.14766500000007</v>
      </c>
      <c r="E21" s="47">
        <f>E10+E18</f>
        <v>-823.23322500000006</v>
      </c>
      <c r="F21" s="71">
        <f t="shared" ref="F21:O21" si="12">F10+F18</f>
        <v>-736.25715000000014</v>
      </c>
      <c r="G21" s="48">
        <f>G10+G18</f>
        <v>-1028.608935</v>
      </c>
      <c r="H21" s="71">
        <f t="shared" si="12"/>
        <v>-1619.5732300000002</v>
      </c>
      <c r="I21" s="48">
        <f>I10+I18</f>
        <v>-1534.6430950000001</v>
      </c>
      <c r="J21" s="71">
        <f t="shared" si="12"/>
        <v>0</v>
      </c>
      <c r="K21" s="71">
        <f t="shared" si="12"/>
        <v>0</v>
      </c>
      <c r="L21" s="71" t="e">
        <f>L10+L18</f>
        <v>#N/A</v>
      </c>
      <c r="M21" s="71" t="e">
        <f>M10+M18</f>
        <v>#N/A</v>
      </c>
      <c r="N21" s="71">
        <f t="shared" si="12"/>
        <v>0</v>
      </c>
      <c r="O21" s="71">
        <f t="shared" si="12"/>
        <v>0</v>
      </c>
      <c r="Q21" s="108">
        <v>-1412.77125</v>
      </c>
    </row>
    <row r="22" spans="2:17" x14ac:dyDescent="0.3">
      <c r="B22" s="49">
        <v>21131601</v>
      </c>
      <c r="C22" s="50" t="s">
        <v>23</v>
      </c>
      <c r="D22" s="72">
        <f>D11+D19</f>
        <v>-4029.7005199999999</v>
      </c>
      <c r="E22" s="51">
        <f>E11+E19</f>
        <v>-3930.6468800000002</v>
      </c>
      <c r="F22" s="72">
        <f t="shared" ref="F22:O22" si="13">F11+F19</f>
        <v>-3556.3728000000001</v>
      </c>
      <c r="G22" s="51">
        <f>G11+G19</f>
        <v>-4854.5638799999997</v>
      </c>
      <c r="H22" s="72">
        <f t="shared" si="13"/>
        <v>-7610.7575200000001</v>
      </c>
      <c r="I22" s="51">
        <f>I11+I19</f>
        <v>-7232.0521999999992</v>
      </c>
      <c r="J22" s="72">
        <f t="shared" si="13"/>
        <v>0</v>
      </c>
      <c r="K22" s="72">
        <f t="shared" si="13"/>
        <v>0</v>
      </c>
      <c r="L22" s="72" t="e">
        <f>L11+L19</f>
        <v>#N/A</v>
      </c>
      <c r="M22" s="72" t="e">
        <f>M11+M19</f>
        <v>#N/A</v>
      </c>
      <c r="N22" s="72">
        <f t="shared" si="13"/>
        <v>0</v>
      </c>
      <c r="O22" s="72">
        <f t="shared" si="13"/>
        <v>0</v>
      </c>
      <c r="Q22" s="108">
        <v>-6507.3099999999995</v>
      </c>
    </row>
    <row r="23" spans="2:17" x14ac:dyDescent="0.3">
      <c r="B23" s="34"/>
      <c r="C23" s="34"/>
      <c r="D23" s="34"/>
      <c r="E23" s="34"/>
      <c r="G23" s="26"/>
      <c r="H23" s="54"/>
      <c r="I23" s="54"/>
      <c r="J23" s="26"/>
      <c r="K23" s="26"/>
      <c r="L23" s="26"/>
      <c r="M23" s="26"/>
      <c r="N23" s="26"/>
      <c r="O23" s="26"/>
    </row>
    <row r="24" spans="2:17" x14ac:dyDescent="0.3">
      <c r="B24" s="77">
        <v>11644004</v>
      </c>
      <c r="C24" s="76" t="s">
        <v>60</v>
      </c>
      <c r="D24" s="73">
        <v>296.5</v>
      </c>
      <c r="E24" s="73">
        <v>154.13</v>
      </c>
      <c r="F24" s="73"/>
      <c r="G24" s="73"/>
      <c r="H24" s="33"/>
      <c r="I24" s="73"/>
      <c r="J24" s="75"/>
      <c r="K24" s="75"/>
      <c r="L24" s="75"/>
      <c r="M24" s="75"/>
      <c r="N24" s="75">
        <v>0</v>
      </c>
      <c r="O24" s="75"/>
    </row>
    <row r="25" spans="2:17" x14ac:dyDescent="0.3">
      <c r="B25" s="25">
        <v>11644005</v>
      </c>
      <c r="C25" s="26" t="s">
        <v>61</v>
      </c>
      <c r="D25" s="74">
        <v>1368.48</v>
      </c>
      <c r="E25" s="74">
        <v>848.69</v>
      </c>
      <c r="F25" s="74"/>
      <c r="G25" s="74"/>
      <c r="H25" s="27"/>
      <c r="I25" s="74"/>
      <c r="J25" s="74"/>
      <c r="K25" s="74"/>
      <c r="L25" s="74"/>
      <c r="M25" s="74"/>
      <c r="N25" s="74">
        <v>0</v>
      </c>
      <c r="O25" s="74"/>
    </row>
    <row r="26" spans="2:17" x14ac:dyDescent="0.3"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2:17" x14ac:dyDescent="0.3">
      <c r="B27" s="77"/>
      <c r="C27" s="76" t="s">
        <v>62</v>
      </c>
      <c r="D27" s="73">
        <v>545.65</v>
      </c>
      <c r="E27" s="73">
        <v>669.1</v>
      </c>
      <c r="F27" s="73">
        <v>736.26</v>
      </c>
      <c r="G27" s="73">
        <v>0</v>
      </c>
      <c r="H27" s="33">
        <v>0</v>
      </c>
      <c r="I27" s="73"/>
      <c r="J27" s="75"/>
      <c r="K27" s="75"/>
      <c r="L27" s="75"/>
      <c r="M27" s="75"/>
      <c r="N27" s="75"/>
      <c r="O27" s="75"/>
      <c r="Q27" s="108">
        <v>0</v>
      </c>
    </row>
    <row r="28" spans="2:17" x14ac:dyDescent="0.3">
      <c r="B28" s="25"/>
      <c r="C28" s="26" t="s">
        <v>63</v>
      </c>
      <c r="D28" s="74">
        <v>2661.22</v>
      </c>
      <c r="E28" s="74">
        <v>3081.96</v>
      </c>
      <c r="F28" s="74">
        <v>3556.37</v>
      </c>
      <c r="G28" s="74">
        <v>0</v>
      </c>
      <c r="H28" s="27">
        <v>0</v>
      </c>
      <c r="I28" s="74"/>
      <c r="J28" s="74"/>
      <c r="K28" s="74"/>
      <c r="L28" s="74"/>
      <c r="M28" s="74"/>
      <c r="N28" s="74"/>
      <c r="O28" s="74"/>
      <c r="Q28" s="108">
        <v>0</v>
      </c>
    </row>
    <row r="29" spans="2:17" x14ac:dyDescent="0.3"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2:17" x14ac:dyDescent="0.3">
      <c r="B30" s="44">
        <v>6912</v>
      </c>
      <c r="C30" s="60" t="s">
        <v>42</v>
      </c>
      <c r="D30" s="52">
        <f t="shared" ref="D30:H30" si="14">D21+D24+D27</f>
        <v>2.3349999999027204E-3</v>
      </c>
      <c r="E30" s="52">
        <f t="shared" si="14"/>
        <v>-3.22500000004311E-3</v>
      </c>
      <c r="F30" s="52">
        <f t="shared" si="14"/>
        <v>2.8499999998530257E-3</v>
      </c>
      <c r="G30" s="52">
        <f t="shared" si="14"/>
        <v>-1028.608935</v>
      </c>
      <c r="H30" s="52">
        <f t="shared" si="14"/>
        <v>-1619.5732300000002</v>
      </c>
      <c r="I30" s="52">
        <f t="shared" ref="I30:N30" si="15">I21+I24+I27</f>
        <v>-1534.6430950000001</v>
      </c>
      <c r="J30" s="52">
        <f t="shared" si="15"/>
        <v>0</v>
      </c>
      <c r="K30" s="52">
        <f t="shared" si="15"/>
        <v>0</v>
      </c>
      <c r="L30" s="52" t="e">
        <f t="shared" si="15"/>
        <v>#N/A</v>
      </c>
      <c r="M30" s="52" t="e">
        <f t="shared" si="15"/>
        <v>#N/A</v>
      </c>
      <c r="N30" s="52">
        <f t="shared" si="15"/>
        <v>0</v>
      </c>
      <c r="O30" s="102">
        <f>O21+O24+O27</f>
        <v>0</v>
      </c>
      <c r="Q30" s="108">
        <v>-1412.77125</v>
      </c>
    </row>
    <row r="31" spans="2:17" x14ac:dyDescent="0.3">
      <c r="B31" s="57"/>
      <c r="C31" s="61" t="s">
        <v>57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</row>
    <row r="32" spans="2:17" x14ac:dyDescent="0.3">
      <c r="B32" s="59"/>
      <c r="C32" s="62"/>
      <c r="D32" s="53">
        <f>D30+D31</f>
        <v>2.3349999999027204E-3</v>
      </c>
      <c r="E32" s="53">
        <f t="shared" ref="E32:J32" si="16">E30+E31</f>
        <v>-3.22500000004311E-3</v>
      </c>
      <c r="F32" s="53">
        <f t="shared" si="16"/>
        <v>2.8499999998530257E-3</v>
      </c>
      <c r="G32" s="53">
        <f t="shared" si="16"/>
        <v>-1028.608935</v>
      </c>
      <c r="H32" s="53">
        <f t="shared" si="16"/>
        <v>-1619.5732300000002</v>
      </c>
      <c r="I32" s="53">
        <f t="shared" si="16"/>
        <v>-1534.6430950000001</v>
      </c>
      <c r="J32" s="53">
        <f t="shared" si="16"/>
        <v>0</v>
      </c>
      <c r="K32" s="53">
        <f t="shared" ref="K32" si="17">K30+K31</f>
        <v>0</v>
      </c>
      <c r="L32" s="53" t="e">
        <f t="shared" ref="L32" si="18">L30+L31</f>
        <v>#N/A</v>
      </c>
      <c r="M32" s="53" t="e">
        <f t="shared" ref="M32" si="19">M30+M31</f>
        <v>#N/A</v>
      </c>
      <c r="N32" s="53">
        <f t="shared" ref="N32" si="20">N30+N31</f>
        <v>0</v>
      </c>
      <c r="O32" s="58">
        <f>O30+O31</f>
        <v>0</v>
      </c>
      <c r="Q32" s="108">
        <v>-1412.77125</v>
      </c>
    </row>
    <row r="33" spans="2:17" x14ac:dyDescent="0.3">
      <c r="B33" s="55"/>
      <c r="C33" s="61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2:17" x14ac:dyDescent="0.3">
      <c r="B34" s="44">
        <v>5856</v>
      </c>
      <c r="C34" s="60" t="s">
        <v>14</v>
      </c>
      <c r="D34" s="52">
        <f t="shared" ref="D34:I34" si="21">D22+D25+D28</f>
        <v>-5.2000000005136826E-4</v>
      </c>
      <c r="E34" s="52">
        <f t="shared" si="21"/>
        <v>3.1199999998534622E-3</v>
      </c>
      <c r="F34" s="52">
        <f t="shared" si="21"/>
        <v>-2.8000000002066372E-3</v>
      </c>
      <c r="G34" s="52">
        <f t="shared" si="21"/>
        <v>-4854.5638799999997</v>
      </c>
      <c r="H34" s="52">
        <f t="shared" si="21"/>
        <v>-7610.7575200000001</v>
      </c>
      <c r="I34" s="52">
        <f t="shared" si="21"/>
        <v>-7232.0521999999992</v>
      </c>
      <c r="J34" s="52">
        <f t="shared" ref="J34:O34" si="22">J22+J25+J28</f>
        <v>0</v>
      </c>
      <c r="K34" s="52">
        <f t="shared" si="22"/>
        <v>0</v>
      </c>
      <c r="L34" s="52" t="e">
        <f t="shared" si="22"/>
        <v>#N/A</v>
      </c>
      <c r="M34" s="52" t="e">
        <f t="shared" si="22"/>
        <v>#N/A</v>
      </c>
      <c r="N34" s="52">
        <f t="shared" si="22"/>
        <v>0</v>
      </c>
      <c r="O34" s="102">
        <f t="shared" si="22"/>
        <v>0</v>
      </c>
      <c r="Q34" s="108">
        <v>-6507.3099999999995</v>
      </c>
    </row>
    <row r="35" spans="2:17" x14ac:dyDescent="0.3">
      <c r="B35" s="57"/>
      <c r="C35" s="61" t="s">
        <v>57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6"/>
    </row>
    <row r="36" spans="2:17" x14ac:dyDescent="0.3">
      <c r="B36" s="59"/>
      <c r="C36" s="62"/>
      <c r="D36" s="53">
        <f>D34+D35</f>
        <v>-5.2000000005136826E-4</v>
      </c>
      <c r="E36" s="53">
        <f t="shared" ref="E36:J36" si="23">E34+E35</f>
        <v>3.1199999998534622E-3</v>
      </c>
      <c r="F36" s="53">
        <f t="shared" si="23"/>
        <v>-2.8000000002066372E-3</v>
      </c>
      <c r="G36" s="53">
        <f t="shared" si="23"/>
        <v>-4854.5638799999997</v>
      </c>
      <c r="H36" s="53">
        <f>H34+H35</f>
        <v>-7610.7575200000001</v>
      </c>
      <c r="I36" s="53">
        <f t="shared" si="23"/>
        <v>-7232.0521999999992</v>
      </c>
      <c r="J36" s="53">
        <f t="shared" si="23"/>
        <v>0</v>
      </c>
      <c r="K36" s="53">
        <f t="shared" ref="K36" si="24">K34+K35</f>
        <v>0</v>
      </c>
      <c r="L36" s="53" t="e">
        <f t="shared" ref="L36" si="25">L34+L35</f>
        <v>#N/A</v>
      </c>
      <c r="M36" s="53" t="e">
        <f t="shared" ref="M36" si="26">M34+M35</f>
        <v>#N/A</v>
      </c>
      <c r="N36" s="53">
        <f t="shared" ref="N36" si="27">N34+N35</f>
        <v>0</v>
      </c>
      <c r="O36" s="58">
        <f>O34+O35</f>
        <v>0</v>
      </c>
      <c r="Q36" s="108">
        <v>-6507.3099999999995</v>
      </c>
    </row>
    <row r="38" spans="2:17" x14ac:dyDescent="0.3">
      <c r="B38" s="4"/>
      <c r="C38" s="4" t="s">
        <v>43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7" x14ac:dyDescent="0.3">
      <c r="B39" s="3">
        <v>21131602</v>
      </c>
      <c r="C39" s="3" t="s">
        <v>15</v>
      </c>
      <c r="D39" s="80">
        <f>IFERROR(VLOOKUP(B39,'Bal 012026'!B:H,7,0),0)</f>
        <v>-842.15</v>
      </c>
      <c r="E39" s="80">
        <f>IFERROR(VLOOKUP($B$39,'Bal 022026'!$B:$H,7,0),0)</f>
        <v>-154.13</v>
      </c>
      <c r="F39" s="80">
        <f>IFERROR(VLOOKUP(B39,'Bal 032026'!$B:$H,7,0),0)</f>
        <v>736.26</v>
      </c>
      <c r="G39" s="80">
        <f>IFERROR(VLOOKUP(B39,'Bal 042026'!B:H,7,0),0)</f>
        <v>-1028.6099999999999</v>
      </c>
      <c r="H39" s="80">
        <f>IFERROR(VLOOKUP(B39,'Bal 052026'!B:H,7,0),0)</f>
        <v>-1619.57</v>
      </c>
      <c r="I39" s="80">
        <f>IFERROR(VLOOKUP($B$39,'Bal 06.2026'!B:H,7,0),0)</f>
        <v>0</v>
      </c>
      <c r="J39" s="80">
        <f>IFERROR(VLOOKUP(B39,'Bal 07.2026'!A:G,7,0),0)</f>
        <v>0</v>
      </c>
      <c r="K39" s="80">
        <f>IFERROR(VLOOKUP(B39,'Bal 08.2026'!A:G,7,0),0)</f>
        <v>0</v>
      </c>
      <c r="L39" s="80">
        <f>IFERROR(VLOOKUP(B39,'Bal 09.2026'!A:G,7,0),0)</f>
        <v>0</v>
      </c>
      <c r="M39" s="80">
        <f>IFERROR(VLOOKUP(B39,'Bal 10.2026'!A:G,7,0),0)</f>
        <v>0</v>
      </c>
      <c r="N39" s="80">
        <f>IFERROR(VLOOKUP(B39,'Bal 11.2026'!A:G,7,0),0)</f>
        <v>0</v>
      </c>
      <c r="O39" s="80">
        <f>IFERROR(VLOOKUP(B39,'Bal 12.2026'!A:G,7,0),0)</f>
        <v>0</v>
      </c>
      <c r="Q39" s="108">
        <v>0</v>
      </c>
    </row>
    <row r="40" spans="2:17" x14ac:dyDescent="0.3">
      <c r="B40" s="3">
        <v>21131601</v>
      </c>
      <c r="C40" s="3" t="s">
        <v>14</v>
      </c>
      <c r="D40" s="80">
        <f>IFERROR(VLOOKUP(B40,'Bal 012026'!B:H,7,0),0)</f>
        <v>-4029.7</v>
      </c>
      <c r="E40" s="80">
        <f>IFERROR(VLOOKUP($B$40,'Bal 022026'!$B:$H,7,0),0)</f>
        <v>-848.69</v>
      </c>
      <c r="F40" s="80">
        <f>IFERROR(VLOOKUP(B40,'Bal 032026'!$B:$H,7,0),0)</f>
        <v>3556.37</v>
      </c>
      <c r="G40" s="80">
        <f>IFERROR(VLOOKUP(B40,'Bal 042026'!B:H,7,0),0)</f>
        <v>-4854.5600000000004</v>
      </c>
      <c r="H40" s="80">
        <f>IFERROR(VLOOKUP(B40,'Bal 052026'!B:H,7,0),0)</f>
        <v>-7610.76</v>
      </c>
      <c r="I40" s="80">
        <f>IFERROR(VLOOKUP($B$39,'Bal 06.2026'!B:H,7,0),0)</f>
        <v>0</v>
      </c>
      <c r="J40" s="80">
        <f>IFERROR(VLOOKUP(B40,'Bal 07.2026'!A:G,7,0),0)</f>
        <v>0</v>
      </c>
      <c r="K40" s="80">
        <f>IFERROR(VLOOKUP(B40,'Bal 08.2026'!A:G,7,0),0)</f>
        <v>0</v>
      </c>
      <c r="L40" s="80">
        <f>IFERROR(VLOOKUP(B40,'Bal 09.2026'!A:G,7,0),0)</f>
        <v>0</v>
      </c>
      <c r="M40" s="80">
        <f>IFERROR(VLOOKUP(B40,'Bal 10.2026'!A:G,7,0),0)</f>
        <v>0</v>
      </c>
      <c r="N40" s="80">
        <f>IFERROR(VLOOKUP(B40,'Bal 11.2026'!A:G,7,0),0)</f>
        <v>0</v>
      </c>
      <c r="O40" s="80">
        <f>IFERROR(VLOOKUP(B40,'Bal 12.2026'!A:G,7,0),0)</f>
        <v>0</v>
      </c>
      <c r="Q40" s="108">
        <v>0</v>
      </c>
    </row>
    <row r="41" spans="2:17" x14ac:dyDescent="0.3">
      <c r="C41" s="98" t="s">
        <v>96</v>
      </c>
      <c r="D41" s="99"/>
      <c r="E41" s="97">
        <f>E21-E39</f>
        <v>-669.10322500000007</v>
      </c>
      <c r="F41" s="97">
        <f>F21+F39</f>
        <v>2.8499999998530257E-3</v>
      </c>
      <c r="G41" s="97">
        <f>G21-G39</f>
        <v>1.0649999999259308E-3</v>
      </c>
      <c r="H41" s="97">
        <f>H21-H39</f>
        <v>-3.2300000002578599E-3</v>
      </c>
    </row>
    <row r="42" spans="2:17" x14ac:dyDescent="0.3">
      <c r="C42" s="99"/>
      <c r="D42" s="99"/>
      <c r="E42" s="97">
        <f>E22-E40</f>
        <v>-3081.9568800000002</v>
      </c>
      <c r="F42" s="97">
        <f>F22+F40</f>
        <v>-2.8000000002066372E-3</v>
      </c>
      <c r="G42" s="97">
        <f>G22-G40</f>
        <v>-3.8799999992988887E-3</v>
      </c>
      <c r="H42" s="97">
        <f>H22-H40</f>
        <v>2.4800000001050648E-3</v>
      </c>
    </row>
  </sheetData>
  <mergeCells count="2">
    <mergeCell ref="B4:O4"/>
    <mergeCell ref="B3:O3"/>
  </mergeCells>
  <phoneticPr fontId="31" type="noConversion"/>
  <conditionalFormatting sqref="D30:O30 B31 B32:C32 B33:O33 D34:O34 B35 B36:C36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E83A-F219-414D-888B-4054A9299886}">
  <dimension ref="A1:J625"/>
  <sheetViews>
    <sheetView topLeftCell="B169" workbookViewId="0">
      <selection activeCell="J176" sqref="J176"/>
    </sheetView>
  </sheetViews>
  <sheetFormatPr defaultRowHeight="14.5" x14ac:dyDescent="0.35"/>
  <cols>
    <col min="1" max="1" width="1.90625" style="100" bestFit="1" customWidth="1"/>
    <col min="2" max="2" width="24.26953125" bestFit="1" customWidth="1"/>
    <col min="3" max="3" width="22.1796875" bestFit="1" customWidth="1"/>
    <col min="4" max="4" width="13.26953125" bestFit="1" customWidth="1"/>
    <col min="5" max="6" width="13.7265625" bestFit="1" customWidth="1"/>
    <col min="7" max="7" width="11.1796875" bestFit="1" customWidth="1"/>
    <col min="8" max="8" width="14.36328125" bestFit="1" customWidth="1"/>
    <col min="9" max="9" width="9.54296875" bestFit="1" customWidth="1"/>
    <col min="10" max="10" width="11.26953125" bestFit="1" customWidth="1"/>
  </cols>
  <sheetData>
    <row r="1" spans="1:8" x14ac:dyDescent="0.35">
      <c r="B1" s="114" t="s">
        <v>85</v>
      </c>
      <c r="C1" s="114"/>
      <c r="D1" s="114"/>
      <c r="E1" s="114"/>
      <c r="F1" s="114"/>
      <c r="G1" s="114"/>
      <c r="H1" s="114"/>
    </row>
    <row r="2" spans="1:8" x14ac:dyDescent="0.35">
      <c r="B2" s="115"/>
      <c r="C2" s="115" t="s">
        <v>87</v>
      </c>
      <c r="D2" s="116" t="s">
        <v>456</v>
      </c>
      <c r="E2" s="116" t="s">
        <v>456</v>
      </c>
      <c r="F2" s="116" t="s">
        <v>456</v>
      </c>
      <c r="G2" s="116" t="s">
        <v>456</v>
      </c>
      <c r="H2" s="116" t="s">
        <v>456</v>
      </c>
    </row>
    <row r="3" spans="1:8" x14ac:dyDescent="0.35">
      <c r="B3" s="115" t="s">
        <v>0</v>
      </c>
      <c r="C3" s="115" t="s">
        <v>86</v>
      </c>
      <c r="D3" s="116" t="s">
        <v>89</v>
      </c>
      <c r="E3" s="116" t="s">
        <v>90</v>
      </c>
      <c r="F3" s="116" t="s">
        <v>91</v>
      </c>
      <c r="G3" s="116" t="s">
        <v>92</v>
      </c>
      <c r="H3" s="116" t="s">
        <v>93</v>
      </c>
    </row>
    <row r="4" spans="1:8" x14ac:dyDescent="0.35">
      <c r="A4" s="101">
        <f>IF(LEN(B4)=8,LEFT(B4,1),0)</f>
        <v>0</v>
      </c>
      <c r="B4" s="124" t="s">
        <v>320</v>
      </c>
      <c r="C4" s="121" t="s">
        <v>306</v>
      </c>
      <c r="D4" s="117">
        <v>-0.02</v>
      </c>
      <c r="E4" s="117">
        <v>682875.25</v>
      </c>
      <c r="F4" s="117">
        <v>682875.23</v>
      </c>
      <c r="G4" s="117">
        <v>0.02</v>
      </c>
      <c r="H4" s="120">
        <v>0</v>
      </c>
    </row>
    <row r="5" spans="1:8" x14ac:dyDescent="0.35">
      <c r="A5" s="101">
        <f t="shared" ref="A5:A68" si="0">IF(LEN(B5)=8,LEFT(B5,1),0)</f>
        <v>0</v>
      </c>
      <c r="B5" s="125" t="s">
        <v>321</v>
      </c>
      <c r="C5" s="122" t="s">
        <v>101</v>
      </c>
      <c r="D5" s="117">
        <v>2910168.75</v>
      </c>
      <c r="E5" s="117">
        <v>485093.34</v>
      </c>
      <c r="F5" s="117">
        <v>441370.95</v>
      </c>
      <c r="G5" s="117">
        <v>43722.39</v>
      </c>
      <c r="H5" s="118">
        <v>2953891.14</v>
      </c>
    </row>
    <row r="6" spans="1:8" x14ac:dyDescent="0.35">
      <c r="A6" s="101">
        <f t="shared" si="0"/>
        <v>0</v>
      </c>
      <c r="B6" s="129" t="s">
        <v>322</v>
      </c>
      <c r="C6" s="127" t="s">
        <v>103</v>
      </c>
      <c r="D6" s="117">
        <v>2587946.5099999998</v>
      </c>
      <c r="E6" s="117">
        <v>484564.66</v>
      </c>
      <c r="F6" s="117">
        <v>429731.16</v>
      </c>
      <c r="G6" s="117">
        <v>54833.5</v>
      </c>
      <c r="H6" s="118">
        <v>2642780.0099999998</v>
      </c>
    </row>
    <row r="7" spans="1:8" x14ac:dyDescent="0.35">
      <c r="A7" s="101">
        <f t="shared" si="0"/>
        <v>0</v>
      </c>
      <c r="B7" s="130" t="s">
        <v>323</v>
      </c>
      <c r="C7" s="128" t="s">
        <v>105</v>
      </c>
      <c r="D7" s="117">
        <v>205461.79</v>
      </c>
      <c r="E7" s="117">
        <v>359433.77</v>
      </c>
      <c r="F7" s="117">
        <v>314727.93</v>
      </c>
      <c r="G7" s="117">
        <v>44705.84</v>
      </c>
      <c r="H7" s="118">
        <v>250167.63</v>
      </c>
    </row>
    <row r="8" spans="1:8" x14ac:dyDescent="0.35">
      <c r="A8" s="100" t="str">
        <f t="shared" si="0"/>
        <v>G</v>
      </c>
      <c r="B8" s="131" t="s">
        <v>324</v>
      </c>
      <c r="C8" s="128" t="s">
        <v>107</v>
      </c>
      <c r="D8" s="117">
        <v>205461.79</v>
      </c>
      <c r="E8" s="117">
        <v>359433.77</v>
      </c>
      <c r="F8" s="117">
        <v>314727.93</v>
      </c>
      <c r="G8" s="117">
        <v>44705.84</v>
      </c>
      <c r="H8" s="118">
        <v>250167.63</v>
      </c>
    </row>
    <row r="9" spans="1:8" x14ac:dyDescent="0.35">
      <c r="A9" s="101">
        <f t="shared" si="0"/>
        <v>0</v>
      </c>
      <c r="B9" s="132" t="s">
        <v>325</v>
      </c>
      <c r="C9" s="128" t="s">
        <v>107</v>
      </c>
      <c r="D9" s="117">
        <v>205461.79</v>
      </c>
      <c r="E9" s="117">
        <v>359433.77</v>
      </c>
      <c r="F9" s="117">
        <v>314727.93</v>
      </c>
      <c r="G9" s="117">
        <v>44705.84</v>
      </c>
      <c r="H9" s="118">
        <v>250167.63</v>
      </c>
    </row>
    <row r="10" spans="1:8" x14ac:dyDescent="0.35">
      <c r="A10" s="100" t="str">
        <f t="shared" si="0"/>
        <v>1</v>
      </c>
      <c r="B10" s="133">
        <v>11131050</v>
      </c>
      <c r="C10" s="128" t="s">
        <v>1</v>
      </c>
      <c r="D10" s="117">
        <v>71087.8</v>
      </c>
      <c r="E10" s="117">
        <v>20325.439999999999</v>
      </c>
      <c r="F10" s="117">
        <v>50552</v>
      </c>
      <c r="G10" s="117">
        <v>-30226.560000000001</v>
      </c>
      <c r="H10" s="118">
        <v>40861.24</v>
      </c>
    </row>
    <row r="11" spans="1:8" x14ac:dyDescent="0.35">
      <c r="A11" s="100" t="str">
        <f t="shared" si="0"/>
        <v>1</v>
      </c>
      <c r="B11" s="133">
        <v>11131090</v>
      </c>
      <c r="C11" s="128" t="s">
        <v>64</v>
      </c>
      <c r="D11" s="117">
        <v>118258.02</v>
      </c>
      <c r="E11" s="117">
        <v>63877.81</v>
      </c>
      <c r="F11" s="117">
        <v>240.1</v>
      </c>
      <c r="G11" s="117">
        <v>63637.71</v>
      </c>
      <c r="H11" s="118">
        <v>181895.73</v>
      </c>
    </row>
    <row r="12" spans="1:8" x14ac:dyDescent="0.35">
      <c r="A12" s="100" t="str">
        <f t="shared" si="0"/>
        <v>1</v>
      </c>
      <c r="B12" s="133">
        <v>11131091</v>
      </c>
      <c r="C12" s="128" t="s">
        <v>64</v>
      </c>
      <c r="D12" s="117">
        <v>16508.349999999999</v>
      </c>
      <c r="E12" s="117">
        <v>11100.68</v>
      </c>
      <c r="F12" s="117">
        <v>198.37</v>
      </c>
      <c r="G12" s="117">
        <v>10902.31</v>
      </c>
      <c r="H12" s="118">
        <v>27410.66</v>
      </c>
    </row>
    <row r="13" spans="1:8" x14ac:dyDescent="0.35">
      <c r="A13" s="100" t="str">
        <f t="shared" si="0"/>
        <v>1</v>
      </c>
      <c r="B13" s="133">
        <v>11132050</v>
      </c>
      <c r="C13" s="128" t="s">
        <v>1</v>
      </c>
      <c r="D13" s="119">
        <v>0</v>
      </c>
      <c r="E13" s="117">
        <v>33942.06</v>
      </c>
      <c r="F13" s="117">
        <v>33942.06</v>
      </c>
      <c r="G13" s="119">
        <v>0</v>
      </c>
      <c r="H13" s="120">
        <v>0</v>
      </c>
    </row>
    <row r="14" spans="1:8" x14ac:dyDescent="0.35">
      <c r="A14" s="100" t="str">
        <f t="shared" si="0"/>
        <v>1</v>
      </c>
      <c r="B14" s="133">
        <v>11132090</v>
      </c>
      <c r="C14" s="128" t="s">
        <v>64</v>
      </c>
      <c r="D14" s="117">
        <v>-392.38</v>
      </c>
      <c r="E14" s="117">
        <v>107071.42</v>
      </c>
      <c r="F14" s="117">
        <v>106679.03999999999</v>
      </c>
      <c r="G14" s="117">
        <v>392.38</v>
      </c>
      <c r="H14" s="120">
        <v>0</v>
      </c>
    </row>
    <row r="15" spans="1:8" x14ac:dyDescent="0.35">
      <c r="A15" s="100" t="str">
        <f t="shared" si="0"/>
        <v>1</v>
      </c>
      <c r="B15" s="133">
        <v>11132091</v>
      </c>
      <c r="C15" s="128" t="s">
        <v>64</v>
      </c>
      <c r="D15" s="119">
        <v>0</v>
      </c>
      <c r="E15" s="117">
        <v>22201.360000000001</v>
      </c>
      <c r="F15" s="117">
        <v>22201.360000000001</v>
      </c>
      <c r="G15" s="119">
        <v>0</v>
      </c>
      <c r="H15" s="120">
        <v>0</v>
      </c>
    </row>
    <row r="16" spans="1:8" x14ac:dyDescent="0.35">
      <c r="A16" s="100" t="str">
        <f t="shared" si="0"/>
        <v>1</v>
      </c>
      <c r="B16" s="133">
        <v>11133050</v>
      </c>
      <c r="C16" s="128" t="s">
        <v>2</v>
      </c>
      <c r="D16" s="119">
        <v>0</v>
      </c>
      <c r="E16" s="117">
        <v>100915</v>
      </c>
      <c r="F16" s="117">
        <v>100915</v>
      </c>
      <c r="G16" s="119">
        <v>0</v>
      </c>
      <c r="H16" s="120">
        <v>0</v>
      </c>
    </row>
    <row r="17" spans="1:8" x14ac:dyDescent="0.35">
      <c r="A17" s="101">
        <f t="shared" si="0"/>
        <v>0</v>
      </c>
      <c r="B17" s="130" t="s">
        <v>326</v>
      </c>
      <c r="C17" s="128" t="s">
        <v>110</v>
      </c>
      <c r="D17" s="117">
        <v>616021.84</v>
      </c>
      <c r="E17" s="117">
        <v>6936.26</v>
      </c>
      <c r="F17" s="119">
        <v>0</v>
      </c>
      <c r="G17" s="117">
        <v>6936.26</v>
      </c>
      <c r="H17" s="118">
        <v>622958.1</v>
      </c>
    </row>
    <row r="18" spans="1:8" x14ac:dyDescent="0.35">
      <c r="A18" s="100" t="str">
        <f>IF(LEN(B18)=8,LEFT(B18,1),0)</f>
        <v>G</v>
      </c>
      <c r="B18" s="131" t="s">
        <v>327</v>
      </c>
      <c r="C18" s="128" t="s">
        <v>112</v>
      </c>
      <c r="D18" s="117">
        <v>616021.84</v>
      </c>
      <c r="E18" s="117">
        <v>6936.26</v>
      </c>
      <c r="F18" s="119">
        <v>0</v>
      </c>
      <c r="G18" s="117">
        <v>6936.26</v>
      </c>
      <c r="H18" s="118">
        <v>622958.1</v>
      </c>
    </row>
    <row r="19" spans="1:8" x14ac:dyDescent="0.35">
      <c r="A19" s="101">
        <f t="shared" si="0"/>
        <v>0</v>
      </c>
      <c r="B19" s="132" t="s">
        <v>328</v>
      </c>
      <c r="C19" s="128" t="s">
        <v>114</v>
      </c>
      <c r="D19" s="117">
        <v>616021.84</v>
      </c>
      <c r="E19" s="117">
        <v>6936.26</v>
      </c>
      <c r="F19" s="119">
        <v>0</v>
      </c>
      <c r="G19" s="117">
        <v>6936.26</v>
      </c>
      <c r="H19" s="118">
        <v>622958.1</v>
      </c>
    </row>
    <row r="20" spans="1:8" x14ac:dyDescent="0.35">
      <c r="A20" s="101">
        <f t="shared" si="0"/>
        <v>0</v>
      </c>
      <c r="B20" s="133" t="s">
        <v>329</v>
      </c>
      <c r="C20" s="128" t="s">
        <v>116</v>
      </c>
      <c r="D20" s="117">
        <v>616021.84</v>
      </c>
      <c r="E20" s="117">
        <v>6936.26</v>
      </c>
      <c r="F20" s="119">
        <v>0</v>
      </c>
      <c r="G20" s="117">
        <v>6936.26</v>
      </c>
      <c r="H20" s="118">
        <v>622958.1</v>
      </c>
    </row>
    <row r="21" spans="1:8" x14ac:dyDescent="0.35">
      <c r="A21" s="101">
        <f t="shared" si="0"/>
        <v>0</v>
      </c>
      <c r="B21" s="134" t="s">
        <v>330</v>
      </c>
      <c r="C21" s="128" t="s">
        <v>118</v>
      </c>
      <c r="D21" s="117">
        <v>616021.84</v>
      </c>
      <c r="E21" s="117">
        <v>6936.26</v>
      </c>
      <c r="F21" s="119">
        <v>0</v>
      </c>
      <c r="G21" s="117">
        <v>6936.26</v>
      </c>
      <c r="H21" s="118">
        <v>622958.1</v>
      </c>
    </row>
    <row r="22" spans="1:8" x14ac:dyDescent="0.35">
      <c r="A22" s="101" t="str">
        <f t="shared" si="0"/>
        <v>1</v>
      </c>
      <c r="B22" s="135">
        <v>11240001</v>
      </c>
      <c r="C22" s="128" t="s">
        <v>3</v>
      </c>
      <c r="D22" s="117">
        <v>616021.84</v>
      </c>
      <c r="E22" s="117">
        <v>6936.26</v>
      </c>
      <c r="F22" s="119">
        <v>0</v>
      </c>
      <c r="G22" s="117">
        <v>6936.26</v>
      </c>
      <c r="H22" s="118">
        <v>622958.1</v>
      </c>
    </row>
    <row r="23" spans="1:8" x14ac:dyDescent="0.35">
      <c r="A23" s="100">
        <f>IF(LEN(B23)=8,LEFT(B23,1),0)</f>
        <v>0</v>
      </c>
      <c r="B23" s="130" t="s">
        <v>331</v>
      </c>
      <c r="C23" s="128" t="s">
        <v>120</v>
      </c>
      <c r="D23" s="117">
        <v>41642</v>
      </c>
      <c r="E23" s="117">
        <v>97558.95</v>
      </c>
      <c r="F23" s="117">
        <v>96588.65</v>
      </c>
      <c r="G23" s="117">
        <v>970.3</v>
      </c>
      <c r="H23" s="118">
        <v>42612.3</v>
      </c>
    </row>
    <row r="24" spans="1:8" x14ac:dyDescent="0.35">
      <c r="A24" s="101" t="str">
        <f t="shared" si="0"/>
        <v>G</v>
      </c>
      <c r="B24" s="131" t="s">
        <v>332</v>
      </c>
      <c r="C24" s="128" t="s">
        <v>307</v>
      </c>
      <c r="D24" s="117">
        <v>41642</v>
      </c>
      <c r="E24" s="117">
        <v>96735.3</v>
      </c>
      <c r="F24" s="117">
        <v>95765</v>
      </c>
      <c r="G24" s="117">
        <v>970.3</v>
      </c>
      <c r="H24" s="118">
        <v>42612.3</v>
      </c>
    </row>
    <row r="25" spans="1:8" x14ac:dyDescent="0.35">
      <c r="A25" s="100">
        <f t="shared" si="0"/>
        <v>0</v>
      </c>
      <c r="B25" s="132" t="s">
        <v>333</v>
      </c>
      <c r="C25" s="128" t="s">
        <v>304</v>
      </c>
      <c r="D25" s="117">
        <v>41642</v>
      </c>
      <c r="E25" s="117">
        <v>96735.3</v>
      </c>
      <c r="F25" s="117">
        <v>95765</v>
      </c>
      <c r="G25" s="117">
        <v>970.3</v>
      </c>
      <c r="H25" s="118">
        <v>42612.3</v>
      </c>
    </row>
    <row r="26" spans="1:8" x14ac:dyDescent="0.35">
      <c r="A26" s="101">
        <f t="shared" si="0"/>
        <v>0</v>
      </c>
      <c r="B26" s="133" t="s">
        <v>334</v>
      </c>
      <c r="C26" s="128" t="s">
        <v>308</v>
      </c>
      <c r="D26" s="117">
        <v>41642</v>
      </c>
      <c r="E26" s="117">
        <v>96735.3</v>
      </c>
      <c r="F26" s="117">
        <v>95765</v>
      </c>
      <c r="G26" s="117">
        <v>970.3</v>
      </c>
      <c r="H26" s="118">
        <v>42612.3</v>
      </c>
    </row>
    <row r="27" spans="1:8" x14ac:dyDescent="0.35">
      <c r="A27" s="101" t="str">
        <f t="shared" si="0"/>
        <v>1</v>
      </c>
      <c r="B27" s="134">
        <v>11311011</v>
      </c>
      <c r="C27" s="128" t="s">
        <v>4</v>
      </c>
      <c r="D27" s="119">
        <v>0</v>
      </c>
      <c r="E27" s="117">
        <v>17447.3</v>
      </c>
      <c r="F27" s="117">
        <v>16576</v>
      </c>
      <c r="G27" s="117">
        <v>871.3</v>
      </c>
      <c r="H27" s="118">
        <v>871.3</v>
      </c>
    </row>
    <row r="28" spans="1:8" x14ac:dyDescent="0.35">
      <c r="A28" s="101" t="str">
        <f t="shared" si="0"/>
        <v>1</v>
      </c>
      <c r="B28" s="134">
        <v>11311094</v>
      </c>
      <c r="C28" s="128" t="s">
        <v>65</v>
      </c>
      <c r="D28" s="117">
        <v>41642</v>
      </c>
      <c r="E28" s="117">
        <v>79288</v>
      </c>
      <c r="F28" s="117">
        <v>79189</v>
      </c>
      <c r="G28" s="117">
        <v>99</v>
      </c>
      <c r="H28" s="118">
        <v>41741</v>
      </c>
    </row>
    <row r="29" spans="1:8" x14ac:dyDescent="0.35">
      <c r="A29" s="100" t="str">
        <f t="shared" si="0"/>
        <v>G</v>
      </c>
      <c r="B29" s="131" t="s">
        <v>335</v>
      </c>
      <c r="C29" s="128" t="s">
        <v>122</v>
      </c>
      <c r="D29" s="119">
        <v>0</v>
      </c>
      <c r="E29" s="117">
        <v>823.65</v>
      </c>
      <c r="F29" s="117">
        <v>823.65</v>
      </c>
      <c r="G29" s="119">
        <v>0</v>
      </c>
      <c r="H29" s="120">
        <v>0</v>
      </c>
    </row>
    <row r="30" spans="1:8" x14ac:dyDescent="0.35">
      <c r="A30" s="101">
        <f t="shared" si="0"/>
        <v>0</v>
      </c>
      <c r="B30" s="132" t="s">
        <v>336</v>
      </c>
      <c r="C30" s="128" t="s">
        <v>124</v>
      </c>
      <c r="D30" s="119">
        <v>0</v>
      </c>
      <c r="E30" s="117">
        <v>823.65</v>
      </c>
      <c r="F30" s="117">
        <v>823.65</v>
      </c>
      <c r="G30" s="119">
        <v>0</v>
      </c>
      <c r="H30" s="120">
        <v>0</v>
      </c>
    </row>
    <row r="31" spans="1:8" x14ac:dyDescent="0.35">
      <c r="A31" s="101" t="str">
        <f t="shared" si="0"/>
        <v>1</v>
      </c>
      <c r="B31" s="133">
        <v>11391004</v>
      </c>
      <c r="C31" s="128" t="s">
        <v>83</v>
      </c>
      <c r="D31" s="119">
        <v>0</v>
      </c>
      <c r="E31" s="117">
        <v>388</v>
      </c>
      <c r="F31" s="117">
        <v>388</v>
      </c>
      <c r="G31" s="119">
        <v>0</v>
      </c>
      <c r="H31" s="120">
        <v>0</v>
      </c>
    </row>
    <row r="32" spans="1:8" x14ac:dyDescent="0.35">
      <c r="A32" s="100" t="str">
        <f t="shared" si="0"/>
        <v>1</v>
      </c>
      <c r="B32" s="133">
        <v>11391098</v>
      </c>
      <c r="C32" s="128" t="s">
        <v>5</v>
      </c>
      <c r="D32" s="119">
        <v>0</v>
      </c>
      <c r="E32" s="117">
        <v>435.65</v>
      </c>
      <c r="F32" s="117">
        <v>435.65</v>
      </c>
      <c r="G32" s="119">
        <v>0</v>
      </c>
      <c r="H32" s="120">
        <v>0</v>
      </c>
    </row>
    <row r="33" spans="1:8" x14ac:dyDescent="0.35">
      <c r="A33" s="101">
        <f t="shared" si="0"/>
        <v>0</v>
      </c>
      <c r="B33" s="130" t="s">
        <v>337</v>
      </c>
      <c r="C33" s="128" t="s">
        <v>126</v>
      </c>
      <c r="D33" s="117">
        <v>1724820.88</v>
      </c>
      <c r="E33" s="117">
        <v>20635.68</v>
      </c>
      <c r="F33" s="117">
        <v>18414.580000000002</v>
      </c>
      <c r="G33" s="117">
        <v>2221.1</v>
      </c>
      <c r="H33" s="118">
        <v>1727041.98</v>
      </c>
    </row>
    <row r="34" spans="1:8" x14ac:dyDescent="0.35">
      <c r="A34" s="100" t="str">
        <f t="shared" si="0"/>
        <v>G</v>
      </c>
      <c r="B34" s="131" t="s">
        <v>338</v>
      </c>
      <c r="C34" s="128" t="s">
        <v>128</v>
      </c>
      <c r="D34" s="117">
        <v>148524.51</v>
      </c>
      <c r="E34" s="117">
        <v>7391.75</v>
      </c>
      <c r="F34" s="117">
        <v>9184.25</v>
      </c>
      <c r="G34" s="117">
        <v>-1792.5</v>
      </c>
      <c r="H34" s="118">
        <v>146732.01</v>
      </c>
    </row>
    <row r="35" spans="1:8" x14ac:dyDescent="0.35">
      <c r="A35" s="101">
        <f t="shared" si="0"/>
        <v>0</v>
      </c>
      <c r="B35" s="132" t="s">
        <v>339</v>
      </c>
      <c r="C35" s="128" t="s">
        <v>130</v>
      </c>
      <c r="D35" s="117">
        <v>148524.51</v>
      </c>
      <c r="E35" s="117">
        <v>7391.75</v>
      </c>
      <c r="F35" s="117">
        <v>9184.25</v>
      </c>
      <c r="G35" s="117">
        <v>-1792.5</v>
      </c>
      <c r="H35" s="118">
        <v>146732.01</v>
      </c>
    </row>
    <row r="36" spans="1:8" x14ac:dyDescent="0.35">
      <c r="A36" s="100" t="str">
        <f t="shared" si="0"/>
        <v>1</v>
      </c>
      <c r="B36" s="133">
        <v>11610099</v>
      </c>
      <c r="C36" s="128" t="s">
        <v>6</v>
      </c>
      <c r="D36" s="117">
        <v>148524.51</v>
      </c>
      <c r="E36" s="117">
        <v>7391.75</v>
      </c>
      <c r="F36" s="117">
        <v>9184.25</v>
      </c>
      <c r="G36" s="117">
        <v>-1792.5</v>
      </c>
      <c r="H36" s="118">
        <v>146732.01</v>
      </c>
    </row>
    <row r="37" spans="1:8" x14ac:dyDescent="0.35">
      <c r="A37" s="101" t="str">
        <f t="shared" si="0"/>
        <v>G</v>
      </c>
      <c r="B37" s="131" t="s">
        <v>340</v>
      </c>
      <c r="C37" s="128" t="s">
        <v>132</v>
      </c>
      <c r="D37" s="117">
        <v>1576296.37</v>
      </c>
      <c r="E37" s="117">
        <v>13243.93</v>
      </c>
      <c r="F37" s="117">
        <v>9230.33</v>
      </c>
      <c r="G37" s="117">
        <v>4013.6</v>
      </c>
      <c r="H37" s="118">
        <v>1580309.97</v>
      </c>
    </row>
    <row r="38" spans="1:8" x14ac:dyDescent="0.35">
      <c r="A38" s="101">
        <f t="shared" si="0"/>
        <v>0</v>
      </c>
      <c r="B38" s="132" t="s">
        <v>341</v>
      </c>
      <c r="C38" s="128" t="s">
        <v>134</v>
      </c>
      <c r="D38" s="117">
        <v>555471.6</v>
      </c>
      <c r="E38" s="117">
        <v>990.51</v>
      </c>
      <c r="F38" s="119">
        <v>0</v>
      </c>
      <c r="G38" s="117">
        <v>990.51</v>
      </c>
      <c r="H38" s="118">
        <v>556462.11</v>
      </c>
    </row>
    <row r="39" spans="1:8" x14ac:dyDescent="0.35">
      <c r="A39" s="100">
        <f t="shared" si="0"/>
        <v>0</v>
      </c>
      <c r="B39" s="133" t="s">
        <v>342</v>
      </c>
      <c r="C39" s="128" t="s">
        <v>136</v>
      </c>
      <c r="D39" s="117">
        <v>555471.6</v>
      </c>
      <c r="E39" s="117">
        <v>990.51</v>
      </c>
      <c r="F39" s="119">
        <v>0</v>
      </c>
      <c r="G39" s="117">
        <v>990.51</v>
      </c>
      <c r="H39" s="118">
        <v>556462.11</v>
      </c>
    </row>
    <row r="40" spans="1:8" x14ac:dyDescent="0.35">
      <c r="A40" s="101" t="str">
        <f t="shared" si="0"/>
        <v>1</v>
      </c>
      <c r="B40" s="134">
        <v>11641001</v>
      </c>
      <c r="C40" s="128" t="s">
        <v>54</v>
      </c>
      <c r="D40" s="117">
        <v>106126.2</v>
      </c>
      <c r="E40" s="117">
        <v>990.51</v>
      </c>
      <c r="F40" s="119">
        <v>0</v>
      </c>
      <c r="G40" s="117">
        <v>990.51</v>
      </c>
      <c r="H40" s="118">
        <v>107116.71</v>
      </c>
    </row>
    <row r="41" spans="1:8" x14ac:dyDescent="0.35">
      <c r="A41" s="101" t="str">
        <f t="shared" si="0"/>
        <v>1</v>
      </c>
      <c r="B41" s="134">
        <v>11641008</v>
      </c>
      <c r="C41" s="128" t="s">
        <v>7</v>
      </c>
      <c r="D41" s="117">
        <v>449345.4</v>
      </c>
      <c r="E41" s="119">
        <v>0</v>
      </c>
      <c r="F41" s="119">
        <v>0</v>
      </c>
      <c r="G41" s="119">
        <v>0</v>
      </c>
      <c r="H41" s="118">
        <v>449345.4</v>
      </c>
    </row>
    <row r="42" spans="1:8" x14ac:dyDescent="0.35">
      <c r="A42" s="100">
        <f t="shared" si="0"/>
        <v>0</v>
      </c>
      <c r="B42" s="132" t="s">
        <v>343</v>
      </c>
      <c r="C42" s="128" t="s">
        <v>138</v>
      </c>
      <c r="D42" s="117">
        <v>842679.19</v>
      </c>
      <c r="E42" s="117">
        <v>7848.07</v>
      </c>
      <c r="F42" s="119">
        <v>0</v>
      </c>
      <c r="G42" s="117">
        <v>7848.07</v>
      </c>
      <c r="H42" s="118">
        <v>850527.26</v>
      </c>
    </row>
    <row r="43" spans="1:8" x14ac:dyDescent="0.35">
      <c r="A43" s="101">
        <f t="shared" si="0"/>
        <v>0</v>
      </c>
      <c r="B43" s="133" t="s">
        <v>344</v>
      </c>
      <c r="C43" s="128" t="s">
        <v>140</v>
      </c>
      <c r="D43" s="117">
        <v>775367.41</v>
      </c>
      <c r="E43" s="117">
        <v>6976.93</v>
      </c>
      <c r="F43" s="119">
        <v>0</v>
      </c>
      <c r="G43" s="117">
        <v>6976.93</v>
      </c>
      <c r="H43" s="118">
        <v>782344.34</v>
      </c>
    </row>
    <row r="44" spans="1:8" x14ac:dyDescent="0.35">
      <c r="A44" s="100" t="str">
        <f t="shared" si="0"/>
        <v>1</v>
      </c>
      <c r="B44" s="134">
        <v>11642001</v>
      </c>
      <c r="C44" s="128" t="s">
        <v>46</v>
      </c>
      <c r="D44" s="117">
        <v>775367.41</v>
      </c>
      <c r="E44" s="117">
        <v>6976.93</v>
      </c>
      <c r="F44" s="119">
        <v>0</v>
      </c>
      <c r="G44" s="117">
        <v>6976.93</v>
      </c>
      <c r="H44" s="118">
        <v>782344.34</v>
      </c>
    </row>
    <row r="45" spans="1:8" x14ac:dyDescent="0.35">
      <c r="A45" s="101">
        <f t="shared" si="0"/>
        <v>0</v>
      </c>
      <c r="B45" s="133" t="s">
        <v>345</v>
      </c>
      <c r="C45" s="128" t="s">
        <v>309</v>
      </c>
      <c r="D45" s="117">
        <v>67311.78</v>
      </c>
      <c r="E45" s="117">
        <v>871.14</v>
      </c>
      <c r="F45" s="119">
        <v>0</v>
      </c>
      <c r="G45" s="117">
        <v>871.14</v>
      </c>
      <c r="H45" s="118">
        <v>68182.92</v>
      </c>
    </row>
    <row r="46" spans="1:8" x14ac:dyDescent="0.35">
      <c r="A46" s="100" t="str">
        <f t="shared" si="0"/>
        <v>1</v>
      </c>
      <c r="B46" s="134">
        <v>11642005</v>
      </c>
      <c r="C46" s="128" t="s">
        <v>9</v>
      </c>
      <c r="D46" s="117">
        <v>67311.78</v>
      </c>
      <c r="E46" s="117">
        <v>871.14</v>
      </c>
      <c r="F46" s="119">
        <v>0</v>
      </c>
      <c r="G46" s="117">
        <v>871.14</v>
      </c>
      <c r="H46" s="118">
        <v>68182.92</v>
      </c>
    </row>
    <row r="47" spans="1:8" x14ac:dyDescent="0.35">
      <c r="A47" s="101">
        <f t="shared" si="0"/>
        <v>0</v>
      </c>
      <c r="B47" s="132" t="s">
        <v>346</v>
      </c>
      <c r="C47" s="128" t="s">
        <v>310</v>
      </c>
      <c r="D47" s="117">
        <v>80290.34</v>
      </c>
      <c r="E47" s="117">
        <v>3179.59</v>
      </c>
      <c r="F47" s="117">
        <v>9230.33</v>
      </c>
      <c r="G47" s="117">
        <v>-6050.74</v>
      </c>
      <c r="H47" s="118">
        <v>74239.600000000006</v>
      </c>
    </row>
    <row r="48" spans="1:8" x14ac:dyDescent="0.35">
      <c r="A48" s="101">
        <f t="shared" si="0"/>
        <v>0</v>
      </c>
      <c r="B48" s="133" t="s">
        <v>347</v>
      </c>
      <c r="C48" s="128" t="s">
        <v>311</v>
      </c>
      <c r="D48" s="117">
        <v>66190.47</v>
      </c>
      <c r="E48" s="117">
        <v>2613.33</v>
      </c>
      <c r="F48" s="117">
        <v>7610.76</v>
      </c>
      <c r="G48" s="117">
        <v>-4997.43</v>
      </c>
      <c r="H48" s="118">
        <v>61193.04</v>
      </c>
    </row>
    <row r="49" spans="1:8" x14ac:dyDescent="0.35">
      <c r="A49" s="100" t="str">
        <f t="shared" si="0"/>
        <v>1</v>
      </c>
      <c r="B49" s="134">
        <v>11644005</v>
      </c>
      <c r="C49" s="128" t="s">
        <v>11</v>
      </c>
      <c r="D49" s="117">
        <v>66190.47</v>
      </c>
      <c r="E49" s="117">
        <v>2613.33</v>
      </c>
      <c r="F49" s="117">
        <v>7610.76</v>
      </c>
      <c r="G49" s="117">
        <v>-4997.43</v>
      </c>
      <c r="H49" s="118">
        <v>61193.04</v>
      </c>
    </row>
    <row r="50" spans="1:8" x14ac:dyDescent="0.35">
      <c r="A50" s="101">
        <f t="shared" si="0"/>
        <v>0</v>
      </c>
      <c r="B50" s="133" t="s">
        <v>348</v>
      </c>
      <c r="C50" s="128" t="s">
        <v>312</v>
      </c>
      <c r="D50" s="117">
        <v>14099.87</v>
      </c>
      <c r="E50" s="117">
        <v>566.26</v>
      </c>
      <c r="F50" s="117">
        <v>1619.57</v>
      </c>
      <c r="G50" s="117">
        <v>-1053.31</v>
      </c>
      <c r="H50" s="118">
        <v>13046.56</v>
      </c>
    </row>
    <row r="51" spans="1:8" x14ac:dyDescent="0.35">
      <c r="A51" s="101" t="str">
        <f t="shared" si="0"/>
        <v>1</v>
      </c>
      <c r="B51" s="134">
        <v>11644004</v>
      </c>
      <c r="C51" s="128" t="s">
        <v>10</v>
      </c>
      <c r="D51" s="117">
        <v>14099.87</v>
      </c>
      <c r="E51" s="117">
        <v>566.26</v>
      </c>
      <c r="F51" s="117">
        <v>1619.57</v>
      </c>
      <c r="G51" s="117">
        <v>-1053.31</v>
      </c>
      <c r="H51" s="118">
        <v>13046.56</v>
      </c>
    </row>
    <row r="52" spans="1:8" x14ac:dyDescent="0.35">
      <c r="A52" s="101">
        <f t="shared" si="0"/>
        <v>0</v>
      </c>
      <c r="B52" s="132" t="s">
        <v>349</v>
      </c>
      <c r="C52" s="128" t="s">
        <v>313</v>
      </c>
      <c r="D52" s="117">
        <v>97855.24</v>
      </c>
      <c r="E52" s="117">
        <v>1225.76</v>
      </c>
      <c r="F52" s="119">
        <v>0</v>
      </c>
      <c r="G52" s="117">
        <v>1225.76</v>
      </c>
      <c r="H52" s="118">
        <v>99081</v>
      </c>
    </row>
    <row r="53" spans="1:8" x14ac:dyDescent="0.35">
      <c r="A53" s="101" t="str">
        <f t="shared" si="0"/>
        <v>1</v>
      </c>
      <c r="B53" s="133">
        <v>11641009</v>
      </c>
      <c r="C53" s="128" t="s">
        <v>8</v>
      </c>
      <c r="D53" s="117">
        <v>97855.24</v>
      </c>
      <c r="E53" s="117">
        <v>1225.76</v>
      </c>
      <c r="F53" s="119">
        <v>0</v>
      </c>
      <c r="G53" s="117">
        <v>1225.76</v>
      </c>
      <c r="H53" s="118">
        <v>99081</v>
      </c>
    </row>
    <row r="54" spans="1:8" x14ac:dyDescent="0.35">
      <c r="A54" s="100">
        <f t="shared" si="0"/>
        <v>0</v>
      </c>
      <c r="B54" s="129" t="s">
        <v>350</v>
      </c>
      <c r="C54" s="127" t="s">
        <v>142</v>
      </c>
      <c r="D54" s="117">
        <v>322222.24</v>
      </c>
      <c r="E54" s="117">
        <v>528.67999999999995</v>
      </c>
      <c r="F54" s="117">
        <v>11639.79</v>
      </c>
      <c r="G54" s="117">
        <v>-11111.11</v>
      </c>
      <c r="H54" s="118">
        <v>311111.13</v>
      </c>
    </row>
    <row r="55" spans="1:8" x14ac:dyDescent="0.35">
      <c r="A55" s="101">
        <f t="shared" si="0"/>
        <v>0</v>
      </c>
      <c r="B55" s="130" t="s">
        <v>351</v>
      </c>
      <c r="C55" s="128" t="s">
        <v>144</v>
      </c>
      <c r="D55" s="117">
        <v>322222.24</v>
      </c>
      <c r="E55" s="117">
        <v>528.67999999999995</v>
      </c>
      <c r="F55" s="117">
        <v>11639.79</v>
      </c>
      <c r="G55" s="117">
        <v>-11111.11</v>
      </c>
      <c r="H55" s="118">
        <v>311111.13</v>
      </c>
    </row>
    <row r="56" spans="1:8" x14ac:dyDescent="0.35">
      <c r="A56" s="100" t="str">
        <f t="shared" si="0"/>
        <v>G</v>
      </c>
      <c r="B56" s="131" t="s">
        <v>352</v>
      </c>
      <c r="C56" s="128" t="s">
        <v>126</v>
      </c>
      <c r="D56" s="117">
        <v>322222.24</v>
      </c>
      <c r="E56" s="117">
        <v>528.67999999999995</v>
      </c>
      <c r="F56" s="117">
        <v>11639.79</v>
      </c>
      <c r="G56" s="117">
        <v>-11111.11</v>
      </c>
      <c r="H56" s="118">
        <v>311111.13</v>
      </c>
    </row>
    <row r="57" spans="1:8" x14ac:dyDescent="0.35">
      <c r="A57" s="101">
        <f t="shared" si="0"/>
        <v>0</v>
      </c>
      <c r="B57" s="132" t="s">
        <v>353</v>
      </c>
      <c r="C57" s="128" t="s">
        <v>128</v>
      </c>
      <c r="D57" s="117">
        <v>322222.24</v>
      </c>
      <c r="E57" s="117">
        <v>528.67999999999995</v>
      </c>
      <c r="F57" s="117">
        <v>11639.79</v>
      </c>
      <c r="G57" s="117">
        <v>-11111.11</v>
      </c>
      <c r="H57" s="118">
        <v>311111.13</v>
      </c>
    </row>
    <row r="58" spans="1:8" x14ac:dyDescent="0.35">
      <c r="A58" s="101">
        <f t="shared" si="0"/>
        <v>0</v>
      </c>
      <c r="B58" s="133" t="s">
        <v>354</v>
      </c>
      <c r="C58" s="128" t="s">
        <v>128</v>
      </c>
      <c r="D58" s="117">
        <v>322222.24</v>
      </c>
      <c r="E58" s="117">
        <v>528.67999999999995</v>
      </c>
      <c r="F58" s="117">
        <v>11639.79</v>
      </c>
      <c r="G58" s="117">
        <v>-11111.11</v>
      </c>
      <c r="H58" s="118">
        <v>311111.13</v>
      </c>
    </row>
    <row r="59" spans="1:8" x14ac:dyDescent="0.35">
      <c r="A59" s="101" t="str">
        <f t="shared" si="0"/>
        <v>1</v>
      </c>
      <c r="B59" s="134">
        <v>12610001</v>
      </c>
      <c r="C59" s="128" t="s">
        <v>12</v>
      </c>
      <c r="D59" s="117">
        <v>322222.24</v>
      </c>
      <c r="E59" s="117">
        <v>528.67999999999995</v>
      </c>
      <c r="F59" s="117">
        <v>11639.79</v>
      </c>
      <c r="G59" s="117">
        <v>-11111.11</v>
      </c>
      <c r="H59" s="118">
        <v>311111.13</v>
      </c>
    </row>
    <row r="60" spans="1:8" x14ac:dyDescent="0.35">
      <c r="A60" s="100">
        <f t="shared" si="0"/>
        <v>0</v>
      </c>
      <c r="B60" s="130" t="s">
        <v>355</v>
      </c>
      <c r="C60" s="128" t="s">
        <v>149</v>
      </c>
      <c r="D60" s="119">
        <v>0</v>
      </c>
      <c r="E60" s="119">
        <v>0</v>
      </c>
      <c r="F60" s="119">
        <v>0</v>
      </c>
      <c r="G60" s="119">
        <v>0</v>
      </c>
      <c r="H60" s="120">
        <v>0</v>
      </c>
    </row>
    <row r="61" spans="1:8" x14ac:dyDescent="0.35">
      <c r="A61" s="101" t="str">
        <f t="shared" si="0"/>
        <v>G</v>
      </c>
      <c r="B61" s="131" t="s">
        <v>356</v>
      </c>
      <c r="C61" s="128" t="s">
        <v>151</v>
      </c>
      <c r="D61" s="119">
        <v>0</v>
      </c>
      <c r="E61" s="119">
        <v>0</v>
      </c>
      <c r="F61" s="119">
        <v>0</v>
      </c>
      <c r="G61" s="119">
        <v>0</v>
      </c>
      <c r="H61" s="120">
        <v>0</v>
      </c>
    </row>
    <row r="62" spans="1:8" x14ac:dyDescent="0.35">
      <c r="A62" s="100">
        <f t="shared" si="0"/>
        <v>0</v>
      </c>
      <c r="B62" s="132" t="s">
        <v>357</v>
      </c>
      <c r="C62" s="128" t="s">
        <v>153</v>
      </c>
      <c r="D62" s="117">
        <v>16679.39</v>
      </c>
      <c r="E62" s="119">
        <v>0</v>
      </c>
      <c r="F62" s="119">
        <v>0</v>
      </c>
      <c r="G62" s="119">
        <v>0</v>
      </c>
      <c r="H62" s="118">
        <v>16679.39</v>
      </c>
    </row>
    <row r="63" spans="1:8" x14ac:dyDescent="0.35">
      <c r="A63" s="100">
        <f t="shared" si="0"/>
        <v>0</v>
      </c>
      <c r="B63" s="133" t="s">
        <v>358</v>
      </c>
      <c r="C63" s="128" t="s">
        <v>155</v>
      </c>
      <c r="D63" s="117">
        <v>16679.39</v>
      </c>
      <c r="E63" s="119">
        <v>0</v>
      </c>
      <c r="F63" s="119">
        <v>0</v>
      </c>
      <c r="G63" s="119">
        <v>0</v>
      </c>
      <c r="H63" s="118">
        <v>16679.39</v>
      </c>
    </row>
    <row r="64" spans="1:8" x14ac:dyDescent="0.35">
      <c r="A64" s="101" t="str">
        <f t="shared" si="0"/>
        <v>1</v>
      </c>
      <c r="B64" s="134">
        <v>14221001</v>
      </c>
      <c r="C64" s="128" t="s">
        <v>47</v>
      </c>
      <c r="D64" s="117">
        <v>16679.39</v>
      </c>
      <c r="E64" s="119">
        <v>0</v>
      </c>
      <c r="F64" s="119">
        <v>0</v>
      </c>
      <c r="G64" s="119">
        <v>0</v>
      </c>
      <c r="H64" s="118">
        <v>16679.39</v>
      </c>
    </row>
    <row r="65" spans="1:8" x14ac:dyDescent="0.35">
      <c r="A65" s="101">
        <f t="shared" si="0"/>
        <v>0</v>
      </c>
      <c r="B65" s="132" t="s">
        <v>359</v>
      </c>
      <c r="C65" s="128" t="s">
        <v>48</v>
      </c>
      <c r="D65" s="117">
        <v>6147</v>
      </c>
      <c r="E65" s="119">
        <v>0</v>
      </c>
      <c r="F65" s="119">
        <v>0</v>
      </c>
      <c r="G65" s="119">
        <v>0</v>
      </c>
      <c r="H65" s="118">
        <v>6147</v>
      </c>
    </row>
    <row r="66" spans="1:8" x14ac:dyDescent="0.35">
      <c r="A66" s="101" t="str">
        <f t="shared" si="0"/>
        <v>1</v>
      </c>
      <c r="B66" s="133">
        <v>14222001</v>
      </c>
      <c r="C66" s="128" t="s">
        <v>48</v>
      </c>
      <c r="D66" s="117">
        <v>6147</v>
      </c>
      <c r="E66" s="119">
        <v>0</v>
      </c>
      <c r="F66" s="119">
        <v>0</v>
      </c>
      <c r="G66" s="119">
        <v>0</v>
      </c>
      <c r="H66" s="118">
        <v>6147</v>
      </c>
    </row>
    <row r="67" spans="1:8" x14ac:dyDescent="0.35">
      <c r="A67" s="100">
        <f t="shared" si="0"/>
        <v>0</v>
      </c>
      <c r="B67" s="132" t="s">
        <v>360</v>
      </c>
      <c r="C67" s="128" t="s">
        <v>158</v>
      </c>
      <c r="D67" s="117">
        <v>-22826.39</v>
      </c>
      <c r="E67" s="119">
        <v>0</v>
      </c>
      <c r="F67" s="119">
        <v>0</v>
      </c>
      <c r="G67" s="119">
        <v>0</v>
      </c>
      <c r="H67" s="118">
        <v>-22826.39</v>
      </c>
    </row>
    <row r="68" spans="1:8" x14ac:dyDescent="0.35">
      <c r="A68" s="101">
        <f t="shared" si="0"/>
        <v>0</v>
      </c>
      <c r="B68" s="133" t="s">
        <v>361</v>
      </c>
      <c r="C68" s="128" t="s">
        <v>158</v>
      </c>
      <c r="D68" s="117">
        <v>-22826.39</v>
      </c>
      <c r="E68" s="119">
        <v>0</v>
      </c>
      <c r="F68" s="119">
        <v>0</v>
      </c>
      <c r="G68" s="119">
        <v>0</v>
      </c>
      <c r="H68" s="118">
        <v>-22826.39</v>
      </c>
    </row>
    <row r="69" spans="1:8" x14ac:dyDescent="0.35">
      <c r="A69" s="101" t="str">
        <f t="shared" ref="A69:A132" si="1">IF(LEN(B69)=8,LEFT(B69,1),0)</f>
        <v>1</v>
      </c>
      <c r="B69" s="134">
        <v>14229001</v>
      </c>
      <c r="C69" s="128" t="s">
        <v>49</v>
      </c>
      <c r="D69" s="117">
        <v>-16679.39</v>
      </c>
      <c r="E69" s="119">
        <v>0</v>
      </c>
      <c r="F69" s="119">
        <v>0</v>
      </c>
      <c r="G69" s="119">
        <v>0</v>
      </c>
      <c r="H69" s="118">
        <v>-16679.39</v>
      </c>
    </row>
    <row r="70" spans="1:8" x14ac:dyDescent="0.35">
      <c r="A70" s="100" t="str">
        <f t="shared" si="1"/>
        <v>1</v>
      </c>
      <c r="B70" s="134">
        <v>14229003</v>
      </c>
      <c r="C70" s="128" t="s">
        <v>50</v>
      </c>
      <c r="D70" s="117">
        <v>-6147</v>
      </c>
      <c r="E70" s="119">
        <v>0</v>
      </c>
      <c r="F70" s="119">
        <v>0</v>
      </c>
      <c r="G70" s="119">
        <v>0</v>
      </c>
      <c r="H70" s="118">
        <v>-6147</v>
      </c>
    </row>
    <row r="71" spans="1:8" x14ac:dyDescent="0.35">
      <c r="A71" s="101">
        <f t="shared" si="1"/>
        <v>0</v>
      </c>
      <c r="B71" s="125" t="s">
        <v>362</v>
      </c>
      <c r="C71" s="122" t="s">
        <v>161</v>
      </c>
      <c r="D71" s="117">
        <v>-2801920.42</v>
      </c>
      <c r="E71" s="117">
        <v>129554.5</v>
      </c>
      <c r="F71" s="117">
        <v>125026.99</v>
      </c>
      <c r="G71" s="117">
        <v>4527.51</v>
      </c>
      <c r="H71" s="118">
        <v>-2797392.91</v>
      </c>
    </row>
    <row r="72" spans="1:8" x14ac:dyDescent="0.35">
      <c r="A72" s="100">
        <f t="shared" si="1"/>
        <v>0</v>
      </c>
      <c r="B72" s="129" t="s">
        <v>363</v>
      </c>
      <c r="C72" s="127" t="s">
        <v>103</v>
      </c>
      <c r="D72" s="117">
        <v>-188704.13</v>
      </c>
      <c r="E72" s="117">
        <v>129554.5</v>
      </c>
      <c r="F72" s="117">
        <v>125026.99</v>
      </c>
      <c r="G72" s="117">
        <v>4527.51</v>
      </c>
      <c r="H72" s="118">
        <v>-184176.62</v>
      </c>
    </row>
    <row r="73" spans="1:8" x14ac:dyDescent="0.35">
      <c r="A73" s="100">
        <f t="shared" si="1"/>
        <v>0</v>
      </c>
      <c r="B73" s="130" t="s">
        <v>364</v>
      </c>
      <c r="C73" s="128" t="s">
        <v>164</v>
      </c>
      <c r="D73" s="117">
        <v>-188704.13</v>
      </c>
      <c r="E73" s="117">
        <v>129554.5</v>
      </c>
      <c r="F73" s="117">
        <v>125026.99</v>
      </c>
      <c r="G73" s="117">
        <v>4527.51</v>
      </c>
      <c r="H73" s="118">
        <v>-184176.62</v>
      </c>
    </row>
    <row r="74" spans="1:8" x14ac:dyDescent="0.35">
      <c r="A74" s="101" t="str">
        <f t="shared" si="1"/>
        <v>G</v>
      </c>
      <c r="B74" s="131" t="s">
        <v>365</v>
      </c>
      <c r="C74" s="128" t="s">
        <v>166</v>
      </c>
      <c r="D74" s="117">
        <v>-158237.57</v>
      </c>
      <c r="E74" s="117">
        <v>98494.080000000002</v>
      </c>
      <c r="F74" s="117">
        <v>119161.82</v>
      </c>
      <c r="G74" s="117">
        <v>-20667.740000000002</v>
      </c>
      <c r="H74" s="118">
        <v>-178905.31</v>
      </c>
    </row>
    <row r="75" spans="1:8" x14ac:dyDescent="0.35">
      <c r="A75" s="100">
        <f t="shared" si="1"/>
        <v>0</v>
      </c>
      <c r="B75" s="132" t="s">
        <v>366</v>
      </c>
      <c r="C75" s="128" t="s">
        <v>168</v>
      </c>
      <c r="D75" s="117">
        <v>-144244.54999999999</v>
      </c>
      <c r="E75" s="117">
        <v>85524.33</v>
      </c>
      <c r="F75" s="117">
        <v>61044.68</v>
      </c>
      <c r="G75" s="117">
        <v>24479.65</v>
      </c>
      <c r="H75" s="118">
        <v>-119764.9</v>
      </c>
    </row>
    <row r="76" spans="1:8" x14ac:dyDescent="0.35">
      <c r="A76" s="101" t="str">
        <f t="shared" si="1"/>
        <v>2</v>
      </c>
      <c r="B76" s="133">
        <v>21111001</v>
      </c>
      <c r="C76" s="128" t="s">
        <v>13</v>
      </c>
      <c r="D76" s="117">
        <v>-115916.53</v>
      </c>
      <c r="E76" s="117">
        <v>51760.66</v>
      </c>
      <c r="F76" s="117">
        <v>55609.03</v>
      </c>
      <c r="G76" s="117">
        <v>-3848.37</v>
      </c>
      <c r="H76" s="118">
        <v>-119764.9</v>
      </c>
    </row>
    <row r="77" spans="1:8" x14ac:dyDescent="0.35">
      <c r="A77" s="100" t="str">
        <f t="shared" si="1"/>
        <v>2</v>
      </c>
      <c r="B77" s="133">
        <v>21111002</v>
      </c>
      <c r="C77" s="128" t="s">
        <v>41</v>
      </c>
      <c r="D77" s="117">
        <v>-28328.02</v>
      </c>
      <c r="E77" s="117">
        <v>33763.67</v>
      </c>
      <c r="F77" s="117">
        <v>5435.65</v>
      </c>
      <c r="G77" s="117">
        <v>28328.02</v>
      </c>
      <c r="H77" s="120">
        <v>0</v>
      </c>
    </row>
    <row r="78" spans="1:8" x14ac:dyDescent="0.35">
      <c r="A78" s="101">
        <f t="shared" si="1"/>
        <v>0</v>
      </c>
      <c r="B78" s="132" t="s">
        <v>367</v>
      </c>
      <c r="C78" s="128" t="s">
        <v>170</v>
      </c>
      <c r="D78" s="117">
        <v>-13993.02</v>
      </c>
      <c r="E78" s="117">
        <v>12969.75</v>
      </c>
      <c r="F78" s="117">
        <v>58117.14</v>
      </c>
      <c r="G78" s="117">
        <v>-45147.39</v>
      </c>
      <c r="H78" s="118">
        <v>-59140.41</v>
      </c>
    </row>
    <row r="79" spans="1:8" x14ac:dyDescent="0.35">
      <c r="A79" s="101">
        <f t="shared" si="1"/>
        <v>0</v>
      </c>
      <c r="B79" s="133" t="s">
        <v>368</v>
      </c>
      <c r="C79" s="128" t="s">
        <v>172</v>
      </c>
      <c r="D79" s="117">
        <v>-13993.02</v>
      </c>
      <c r="E79" s="117">
        <v>12969.75</v>
      </c>
      <c r="F79" s="117">
        <v>58117.14</v>
      </c>
      <c r="G79" s="117">
        <v>-45147.39</v>
      </c>
      <c r="H79" s="118">
        <v>-59140.41</v>
      </c>
    </row>
    <row r="80" spans="1:8" x14ac:dyDescent="0.35">
      <c r="A80" s="101" t="str">
        <f t="shared" si="1"/>
        <v>2</v>
      </c>
      <c r="B80" s="134">
        <v>21111099</v>
      </c>
      <c r="C80" s="128" t="s">
        <v>44</v>
      </c>
      <c r="D80" s="117">
        <v>-13993.02</v>
      </c>
      <c r="E80" s="117">
        <v>12969.75</v>
      </c>
      <c r="F80" s="117">
        <v>58117.14</v>
      </c>
      <c r="G80" s="117">
        <v>-45147.39</v>
      </c>
      <c r="H80" s="118">
        <v>-59140.41</v>
      </c>
    </row>
    <row r="81" spans="1:8" x14ac:dyDescent="0.35">
      <c r="A81" s="100" t="str">
        <f t="shared" si="1"/>
        <v>G</v>
      </c>
      <c r="B81" s="131" t="s">
        <v>369</v>
      </c>
      <c r="C81" s="128" t="s">
        <v>174</v>
      </c>
      <c r="D81" s="117">
        <v>-13248.73</v>
      </c>
      <c r="E81" s="117">
        <v>13842.59</v>
      </c>
      <c r="F81" s="117">
        <v>5865.17</v>
      </c>
      <c r="G81" s="117">
        <v>7977.42</v>
      </c>
      <c r="H81" s="118">
        <v>-5271.31</v>
      </c>
    </row>
    <row r="82" spans="1:8" x14ac:dyDescent="0.35">
      <c r="A82" s="101">
        <f t="shared" si="1"/>
        <v>0</v>
      </c>
      <c r="B82" s="132" t="s">
        <v>370</v>
      </c>
      <c r="C82" s="128" t="s">
        <v>176</v>
      </c>
      <c r="D82" s="119">
        <v>0</v>
      </c>
      <c r="E82" s="119">
        <v>0</v>
      </c>
      <c r="F82" s="117">
        <v>420.38</v>
      </c>
      <c r="G82" s="117">
        <v>-420.38</v>
      </c>
      <c r="H82" s="118">
        <v>-420.38</v>
      </c>
    </row>
    <row r="83" spans="1:8" x14ac:dyDescent="0.35">
      <c r="A83" s="100" t="str">
        <f t="shared" si="1"/>
        <v>2</v>
      </c>
      <c r="B83" s="133">
        <v>21131104</v>
      </c>
      <c r="C83" s="128" t="s">
        <v>66</v>
      </c>
      <c r="D83" s="119">
        <v>0</v>
      </c>
      <c r="E83" s="119">
        <v>0</v>
      </c>
      <c r="F83" s="117">
        <v>420.38</v>
      </c>
      <c r="G83" s="117">
        <v>-420.38</v>
      </c>
      <c r="H83" s="118">
        <v>-420.38</v>
      </c>
    </row>
    <row r="84" spans="1:8" x14ac:dyDescent="0.35">
      <c r="A84" s="100">
        <f t="shared" si="1"/>
        <v>0</v>
      </c>
      <c r="B84" s="132" t="s">
        <v>371</v>
      </c>
      <c r="C84" s="128" t="s">
        <v>178</v>
      </c>
      <c r="D84" s="117">
        <v>-13248.73</v>
      </c>
      <c r="E84" s="117">
        <v>13842.59</v>
      </c>
      <c r="F84" s="117">
        <v>5444.79</v>
      </c>
      <c r="G84" s="117">
        <v>8397.7999999999993</v>
      </c>
      <c r="H84" s="118">
        <v>-4850.93</v>
      </c>
    </row>
    <row r="85" spans="1:8" x14ac:dyDescent="0.35">
      <c r="A85" s="100" t="str">
        <f t="shared" si="1"/>
        <v>2</v>
      </c>
      <c r="B85" s="133">
        <v>21131601</v>
      </c>
      <c r="C85" s="128" t="s">
        <v>14</v>
      </c>
      <c r="D85" s="117">
        <v>-7610.76</v>
      </c>
      <c r="E85" s="117">
        <v>7610.76</v>
      </c>
      <c r="F85" s="119">
        <v>0</v>
      </c>
      <c r="G85" s="117">
        <v>7610.76</v>
      </c>
      <c r="H85" s="120">
        <v>0</v>
      </c>
    </row>
    <row r="86" spans="1:8" x14ac:dyDescent="0.35">
      <c r="A86" s="101" t="str">
        <f t="shared" si="1"/>
        <v>2</v>
      </c>
      <c r="B86" s="133">
        <v>21131602</v>
      </c>
      <c r="C86" s="128" t="s">
        <v>15</v>
      </c>
      <c r="D86" s="117">
        <v>-1619.57</v>
      </c>
      <c r="E86" s="117">
        <v>1619.57</v>
      </c>
      <c r="F86" s="119">
        <v>0</v>
      </c>
      <c r="G86" s="117">
        <v>1619.57</v>
      </c>
      <c r="H86" s="120">
        <v>0</v>
      </c>
    </row>
    <row r="87" spans="1:8" x14ac:dyDescent="0.35">
      <c r="A87" s="100" t="str">
        <f t="shared" si="1"/>
        <v>2</v>
      </c>
      <c r="B87" s="133">
        <v>21131701</v>
      </c>
      <c r="C87" s="128" t="s">
        <v>67</v>
      </c>
      <c r="D87" s="119">
        <v>0</v>
      </c>
      <c r="E87" s="119">
        <v>0</v>
      </c>
      <c r="F87" s="117">
        <v>1303.1600000000001</v>
      </c>
      <c r="G87" s="117">
        <v>-1303.1600000000001</v>
      </c>
      <c r="H87" s="118">
        <v>-1303.1600000000001</v>
      </c>
    </row>
    <row r="88" spans="1:8" x14ac:dyDescent="0.35">
      <c r="A88" s="101" t="str">
        <f t="shared" si="1"/>
        <v>2</v>
      </c>
      <c r="B88" s="133">
        <v>21133102</v>
      </c>
      <c r="C88" s="128" t="s">
        <v>16</v>
      </c>
      <c r="D88" s="117">
        <v>-4018.4</v>
      </c>
      <c r="E88" s="117">
        <v>4612.26</v>
      </c>
      <c r="F88" s="117">
        <v>4141.63</v>
      </c>
      <c r="G88" s="117">
        <v>470.63</v>
      </c>
      <c r="H88" s="118">
        <v>-3547.77</v>
      </c>
    </row>
    <row r="89" spans="1:8" x14ac:dyDescent="0.35">
      <c r="A89" s="101" t="str">
        <f t="shared" si="1"/>
        <v>G</v>
      </c>
      <c r="B89" s="131" t="s">
        <v>372</v>
      </c>
      <c r="C89" s="128" t="s">
        <v>180</v>
      </c>
      <c r="D89" s="117">
        <v>-17217.830000000002</v>
      </c>
      <c r="E89" s="117">
        <v>17217.830000000002</v>
      </c>
      <c r="F89" s="119">
        <v>0</v>
      </c>
      <c r="G89" s="117">
        <v>17217.830000000002</v>
      </c>
      <c r="H89" s="120">
        <v>0</v>
      </c>
    </row>
    <row r="90" spans="1:8" x14ac:dyDescent="0.35">
      <c r="A90" s="100">
        <f t="shared" si="1"/>
        <v>0</v>
      </c>
      <c r="B90" s="132" t="s">
        <v>373</v>
      </c>
      <c r="C90" s="128" t="s">
        <v>182</v>
      </c>
      <c r="D90" s="117">
        <v>-12130.76</v>
      </c>
      <c r="E90" s="117">
        <v>12130.76</v>
      </c>
      <c r="F90" s="119">
        <v>0</v>
      </c>
      <c r="G90" s="117">
        <v>12130.76</v>
      </c>
      <c r="H90" s="120">
        <v>0</v>
      </c>
    </row>
    <row r="91" spans="1:8" x14ac:dyDescent="0.35">
      <c r="A91" s="100">
        <f t="shared" si="1"/>
        <v>0</v>
      </c>
      <c r="B91" s="133" t="s">
        <v>374</v>
      </c>
      <c r="C91" s="128" t="s">
        <v>182</v>
      </c>
      <c r="D91" s="117">
        <v>-27215.279999999999</v>
      </c>
      <c r="E91" s="119">
        <v>0</v>
      </c>
      <c r="F91" s="119">
        <v>0</v>
      </c>
      <c r="G91" s="119">
        <v>0</v>
      </c>
      <c r="H91" s="118">
        <v>-27215.279999999999</v>
      </c>
    </row>
    <row r="92" spans="1:8" x14ac:dyDescent="0.35">
      <c r="A92" s="101" t="str">
        <f t="shared" si="1"/>
        <v>2</v>
      </c>
      <c r="B92" s="134">
        <v>21131101</v>
      </c>
      <c r="C92" s="128" t="s">
        <v>37</v>
      </c>
      <c r="D92" s="117">
        <v>-27215.279999999999</v>
      </c>
      <c r="E92" s="119">
        <v>0</v>
      </c>
      <c r="F92" s="119">
        <v>0</v>
      </c>
      <c r="G92" s="119">
        <v>0</v>
      </c>
      <c r="H92" s="118">
        <v>-27215.279999999999</v>
      </c>
    </row>
    <row r="93" spans="1:8" x14ac:dyDescent="0.35">
      <c r="A93" s="100">
        <f t="shared" si="1"/>
        <v>0</v>
      </c>
      <c r="B93" s="133" t="s">
        <v>375</v>
      </c>
      <c r="C93" s="128" t="s">
        <v>185</v>
      </c>
      <c r="D93" s="117">
        <v>15084.52</v>
      </c>
      <c r="E93" s="117">
        <v>12130.76</v>
      </c>
      <c r="F93" s="119">
        <v>0</v>
      </c>
      <c r="G93" s="117">
        <v>12130.76</v>
      </c>
      <c r="H93" s="118">
        <v>27215.279999999999</v>
      </c>
    </row>
    <row r="94" spans="1:8" x14ac:dyDescent="0.35">
      <c r="A94" s="101" t="str">
        <f t="shared" si="1"/>
        <v>2</v>
      </c>
      <c r="B94" s="134">
        <v>21131102</v>
      </c>
      <c r="C94" s="128" t="s">
        <v>58</v>
      </c>
      <c r="D94" s="117">
        <v>15084.52</v>
      </c>
      <c r="E94" s="117">
        <v>12130.76</v>
      </c>
      <c r="F94" s="119">
        <v>0</v>
      </c>
      <c r="G94" s="117">
        <v>12130.76</v>
      </c>
      <c r="H94" s="118">
        <v>27215.279999999999</v>
      </c>
    </row>
    <row r="95" spans="1:8" x14ac:dyDescent="0.35">
      <c r="A95" s="100">
        <f t="shared" si="1"/>
        <v>0</v>
      </c>
      <c r="B95" s="132" t="s">
        <v>376</v>
      </c>
      <c r="C95" s="128" t="s">
        <v>140</v>
      </c>
      <c r="D95" s="117">
        <v>-5087.07</v>
      </c>
      <c r="E95" s="117">
        <v>5087.07</v>
      </c>
      <c r="F95" s="119">
        <v>0</v>
      </c>
      <c r="G95" s="117">
        <v>5087.07</v>
      </c>
      <c r="H95" s="120">
        <v>0</v>
      </c>
    </row>
    <row r="96" spans="1:8" x14ac:dyDescent="0.35">
      <c r="A96" s="100">
        <f t="shared" si="1"/>
        <v>0</v>
      </c>
      <c r="B96" s="133" t="s">
        <v>377</v>
      </c>
      <c r="C96" s="128" t="s">
        <v>140</v>
      </c>
      <c r="D96" s="117">
        <v>-13397.5</v>
      </c>
      <c r="E96" s="119">
        <v>0</v>
      </c>
      <c r="F96" s="119">
        <v>0</v>
      </c>
      <c r="G96" s="119">
        <v>0</v>
      </c>
      <c r="H96" s="118">
        <v>-13397.5</v>
      </c>
    </row>
    <row r="97" spans="1:8" x14ac:dyDescent="0.35">
      <c r="A97" s="101" t="str">
        <f>IF(LEN(B97)=8,LEFT(B97,1),0)</f>
        <v>2</v>
      </c>
      <c r="B97" s="134">
        <v>21131201</v>
      </c>
      <c r="C97" s="128" t="s">
        <v>38</v>
      </c>
      <c r="D97" s="117">
        <v>-13397.5</v>
      </c>
      <c r="E97" s="119">
        <v>0</v>
      </c>
      <c r="F97" s="119">
        <v>0</v>
      </c>
      <c r="G97" s="119">
        <v>0</v>
      </c>
      <c r="H97" s="118">
        <v>-13397.5</v>
      </c>
    </row>
    <row r="98" spans="1:8" x14ac:dyDescent="0.35">
      <c r="A98" s="100">
        <f t="shared" si="1"/>
        <v>0</v>
      </c>
      <c r="B98" s="133" t="s">
        <v>378</v>
      </c>
      <c r="C98" s="128" t="s">
        <v>189</v>
      </c>
      <c r="D98" s="117">
        <v>8310.43</v>
      </c>
      <c r="E98" s="117">
        <v>5087.07</v>
      </c>
      <c r="F98" s="119">
        <v>0</v>
      </c>
      <c r="G98" s="117">
        <v>5087.07</v>
      </c>
      <c r="H98" s="118">
        <v>13397.5</v>
      </c>
    </row>
    <row r="99" spans="1:8" x14ac:dyDescent="0.35">
      <c r="A99" s="101" t="str">
        <f t="shared" si="1"/>
        <v>2</v>
      </c>
      <c r="B99" s="134">
        <v>21131202</v>
      </c>
      <c r="C99" s="128" t="s">
        <v>59</v>
      </c>
      <c r="D99" s="117">
        <v>8310.43</v>
      </c>
      <c r="E99" s="117">
        <v>5087.07</v>
      </c>
      <c r="F99" s="119">
        <v>0</v>
      </c>
      <c r="G99" s="117">
        <v>5087.07</v>
      </c>
      <c r="H99" s="118">
        <v>13397.5</v>
      </c>
    </row>
    <row r="100" spans="1:8" x14ac:dyDescent="0.35">
      <c r="A100" s="100">
        <f t="shared" si="1"/>
        <v>0</v>
      </c>
      <c r="B100" s="129" t="s">
        <v>379</v>
      </c>
      <c r="C100" s="127" t="s">
        <v>191</v>
      </c>
      <c r="D100" s="117">
        <v>-2613216.29</v>
      </c>
      <c r="E100" s="119">
        <v>0</v>
      </c>
      <c r="F100" s="119">
        <v>0</v>
      </c>
      <c r="G100" s="119">
        <v>0</v>
      </c>
      <c r="H100" s="118">
        <v>-2613216.29</v>
      </c>
    </row>
    <row r="101" spans="1:8" x14ac:dyDescent="0.35">
      <c r="A101" s="101">
        <f t="shared" si="1"/>
        <v>0</v>
      </c>
      <c r="B101" s="130" t="s">
        <v>380</v>
      </c>
      <c r="C101" s="128" t="s">
        <v>193</v>
      </c>
      <c r="D101" s="117">
        <v>-2613216.29</v>
      </c>
      <c r="E101" s="119">
        <v>0</v>
      </c>
      <c r="F101" s="119">
        <v>0</v>
      </c>
      <c r="G101" s="119">
        <v>0</v>
      </c>
      <c r="H101" s="118">
        <v>-2613216.29</v>
      </c>
    </row>
    <row r="102" spans="1:8" x14ac:dyDescent="0.35">
      <c r="A102" s="100" t="str">
        <f t="shared" si="1"/>
        <v>G</v>
      </c>
      <c r="B102" s="131" t="s">
        <v>381</v>
      </c>
      <c r="C102" s="128" t="s">
        <v>195</v>
      </c>
      <c r="D102" s="117">
        <v>-1707264</v>
      </c>
      <c r="E102" s="119">
        <v>0</v>
      </c>
      <c r="F102" s="119">
        <v>0</v>
      </c>
      <c r="G102" s="119">
        <v>0</v>
      </c>
      <c r="H102" s="118">
        <v>-1707264</v>
      </c>
    </row>
    <row r="103" spans="1:8" x14ac:dyDescent="0.35">
      <c r="A103" s="101">
        <f t="shared" si="1"/>
        <v>0</v>
      </c>
      <c r="B103" s="132" t="s">
        <v>382</v>
      </c>
      <c r="C103" s="128" t="s">
        <v>197</v>
      </c>
      <c r="D103" s="117">
        <v>-1707264</v>
      </c>
      <c r="E103" s="119">
        <v>0</v>
      </c>
      <c r="F103" s="119">
        <v>0</v>
      </c>
      <c r="G103" s="119">
        <v>0</v>
      </c>
      <c r="H103" s="118">
        <v>-1707264</v>
      </c>
    </row>
    <row r="104" spans="1:8" x14ac:dyDescent="0.35">
      <c r="A104" s="100">
        <f t="shared" si="1"/>
        <v>0</v>
      </c>
      <c r="B104" s="133" t="s">
        <v>383</v>
      </c>
      <c r="C104" s="128" t="s">
        <v>51</v>
      </c>
      <c r="D104" s="117">
        <v>-1707264</v>
      </c>
      <c r="E104" s="119">
        <v>0</v>
      </c>
      <c r="F104" s="119">
        <v>0</v>
      </c>
      <c r="G104" s="119">
        <v>0</v>
      </c>
      <c r="H104" s="118">
        <v>-1707264</v>
      </c>
    </row>
    <row r="105" spans="1:8" x14ac:dyDescent="0.35">
      <c r="A105" s="101" t="str">
        <f t="shared" si="1"/>
        <v>2</v>
      </c>
      <c r="B105" s="134">
        <v>24111001</v>
      </c>
      <c r="C105" s="128" t="s">
        <v>51</v>
      </c>
      <c r="D105" s="117">
        <v>-1707264</v>
      </c>
      <c r="E105" s="119">
        <v>0</v>
      </c>
      <c r="F105" s="119">
        <v>0</v>
      </c>
      <c r="G105" s="119">
        <v>0</v>
      </c>
      <c r="H105" s="118">
        <v>-1707264</v>
      </c>
    </row>
    <row r="106" spans="1:8" x14ac:dyDescent="0.35">
      <c r="A106" s="100" t="str">
        <f t="shared" si="1"/>
        <v>G</v>
      </c>
      <c r="B106" s="131" t="s">
        <v>384</v>
      </c>
      <c r="C106" s="128" t="s">
        <v>200</v>
      </c>
      <c r="D106" s="117">
        <v>-905952.29</v>
      </c>
      <c r="E106" s="119">
        <v>0</v>
      </c>
      <c r="F106" s="119">
        <v>0</v>
      </c>
      <c r="G106" s="119">
        <v>0</v>
      </c>
      <c r="H106" s="118">
        <v>-905952.29</v>
      </c>
    </row>
    <row r="107" spans="1:8" x14ac:dyDescent="0.35">
      <c r="A107" s="101">
        <f t="shared" si="1"/>
        <v>0</v>
      </c>
      <c r="B107" s="132" t="s">
        <v>385</v>
      </c>
      <c r="C107" s="128" t="s">
        <v>202</v>
      </c>
      <c r="D107" s="117">
        <v>-905952.29</v>
      </c>
      <c r="E107" s="119">
        <v>0</v>
      </c>
      <c r="F107" s="119">
        <v>0</v>
      </c>
      <c r="G107" s="119">
        <v>0</v>
      </c>
      <c r="H107" s="118">
        <v>-905952.29</v>
      </c>
    </row>
    <row r="108" spans="1:8" x14ac:dyDescent="0.35">
      <c r="A108" s="101" t="str">
        <f t="shared" si="1"/>
        <v>2</v>
      </c>
      <c r="B108" s="133">
        <v>24180004</v>
      </c>
      <c r="C108" s="128" t="s">
        <v>17</v>
      </c>
      <c r="D108" s="117">
        <v>-905952.29</v>
      </c>
      <c r="E108" s="119">
        <v>0</v>
      </c>
      <c r="F108" s="119">
        <v>0</v>
      </c>
      <c r="G108" s="119">
        <v>0</v>
      </c>
      <c r="H108" s="118">
        <v>-905952.29</v>
      </c>
    </row>
    <row r="109" spans="1:8" x14ac:dyDescent="0.35">
      <c r="A109" s="101">
        <f t="shared" si="1"/>
        <v>0</v>
      </c>
      <c r="B109" s="125" t="s">
        <v>386</v>
      </c>
      <c r="C109" s="122" t="s">
        <v>204</v>
      </c>
      <c r="D109" s="117">
        <v>-108248.35</v>
      </c>
      <c r="E109" s="117">
        <v>68227.41</v>
      </c>
      <c r="F109" s="117">
        <v>116477.29</v>
      </c>
      <c r="G109" s="117">
        <v>-48249.88</v>
      </c>
      <c r="H109" s="118">
        <v>-156498.23000000001</v>
      </c>
    </row>
    <row r="110" spans="1:8" x14ac:dyDescent="0.35">
      <c r="A110" s="101">
        <f t="shared" si="1"/>
        <v>0</v>
      </c>
      <c r="B110" s="129" t="s">
        <v>387</v>
      </c>
      <c r="C110" s="127" t="s">
        <v>206</v>
      </c>
      <c r="D110" s="117">
        <v>-169629.65</v>
      </c>
      <c r="E110" s="117">
        <v>59532.53</v>
      </c>
      <c r="F110" s="117">
        <v>99580.5</v>
      </c>
      <c r="G110" s="117">
        <v>-40047.97</v>
      </c>
      <c r="H110" s="118">
        <v>-209677.62</v>
      </c>
    </row>
    <row r="111" spans="1:8" x14ac:dyDescent="0.35">
      <c r="A111" s="100">
        <f t="shared" si="1"/>
        <v>0</v>
      </c>
      <c r="B111" s="130" t="s">
        <v>388</v>
      </c>
      <c r="C111" s="128" t="s">
        <v>314</v>
      </c>
      <c r="D111" s="117">
        <v>28033.65</v>
      </c>
      <c r="E111" s="117">
        <v>24662.53</v>
      </c>
      <c r="F111" s="117">
        <v>12969.75</v>
      </c>
      <c r="G111" s="117">
        <v>11692.78</v>
      </c>
      <c r="H111" s="118">
        <v>39726.43</v>
      </c>
    </row>
    <row r="112" spans="1:8" x14ac:dyDescent="0.35">
      <c r="A112" s="101" t="str">
        <f t="shared" si="1"/>
        <v>G</v>
      </c>
      <c r="B112" s="131" t="s">
        <v>389</v>
      </c>
      <c r="C112" s="128" t="s">
        <v>315</v>
      </c>
      <c r="D112" s="117">
        <v>28033.65</v>
      </c>
      <c r="E112" s="117">
        <v>24662.53</v>
      </c>
      <c r="F112" s="117">
        <v>12969.75</v>
      </c>
      <c r="G112" s="117">
        <v>11692.78</v>
      </c>
      <c r="H112" s="118">
        <v>39726.43</v>
      </c>
    </row>
    <row r="113" spans="1:9" x14ac:dyDescent="0.35">
      <c r="A113" s="101">
        <f t="shared" si="1"/>
        <v>0</v>
      </c>
      <c r="B113" s="132" t="s">
        <v>390</v>
      </c>
      <c r="C113" s="128" t="s">
        <v>315</v>
      </c>
      <c r="D113" s="117">
        <v>28033.65</v>
      </c>
      <c r="E113" s="117">
        <v>24662.53</v>
      </c>
      <c r="F113" s="117">
        <v>12969.75</v>
      </c>
      <c r="G113" s="117">
        <v>11692.78</v>
      </c>
      <c r="H113" s="118">
        <v>39726.43</v>
      </c>
    </row>
    <row r="114" spans="1:9" x14ac:dyDescent="0.35">
      <c r="A114" s="100">
        <f t="shared" si="1"/>
        <v>0</v>
      </c>
      <c r="B114" s="133" t="s">
        <v>391</v>
      </c>
      <c r="C114" s="128" t="s">
        <v>304</v>
      </c>
      <c r="D114" s="117">
        <v>28033.65</v>
      </c>
      <c r="E114" s="117">
        <v>24662.53</v>
      </c>
      <c r="F114" s="117">
        <v>12969.75</v>
      </c>
      <c r="G114" s="117">
        <v>11692.78</v>
      </c>
      <c r="H114" s="118">
        <v>39726.43</v>
      </c>
    </row>
    <row r="115" spans="1:9" x14ac:dyDescent="0.35">
      <c r="A115" s="101" t="str">
        <f t="shared" si="1"/>
        <v>4</v>
      </c>
      <c r="B115" s="134">
        <v>44189012</v>
      </c>
      <c r="C115" s="128" t="s">
        <v>224</v>
      </c>
      <c r="D115" s="117">
        <v>16659.66</v>
      </c>
      <c r="E115" s="117">
        <v>1635.65</v>
      </c>
      <c r="F115" s="119">
        <v>0</v>
      </c>
      <c r="G115" s="117">
        <v>1635.65</v>
      </c>
      <c r="H115" s="118">
        <v>18295.310000000001</v>
      </c>
    </row>
    <row r="116" spans="1:9" x14ac:dyDescent="0.35">
      <c r="A116" s="100" t="str">
        <f t="shared" si="1"/>
        <v>4</v>
      </c>
      <c r="B116" s="134">
        <v>44189013</v>
      </c>
      <c r="C116" s="128" t="s">
        <v>70</v>
      </c>
      <c r="D116" s="117">
        <v>11373.99</v>
      </c>
      <c r="E116" s="117">
        <v>23026.880000000001</v>
      </c>
      <c r="F116" s="117">
        <v>12969.75</v>
      </c>
      <c r="G116" s="117">
        <v>10057.129999999999</v>
      </c>
      <c r="H116" s="118">
        <v>21431.119999999999</v>
      </c>
    </row>
    <row r="117" spans="1:9" x14ac:dyDescent="0.35">
      <c r="A117" s="101">
        <f t="shared" si="1"/>
        <v>0</v>
      </c>
      <c r="B117" s="130" t="s">
        <v>392</v>
      </c>
      <c r="C117" s="128" t="s">
        <v>208</v>
      </c>
      <c r="D117" s="117">
        <v>-197663.3</v>
      </c>
      <c r="E117" s="117">
        <v>34870</v>
      </c>
      <c r="F117" s="117">
        <v>86610.75</v>
      </c>
      <c r="G117" s="117">
        <v>-51740.75</v>
      </c>
      <c r="H117" s="118">
        <v>-249404.05</v>
      </c>
    </row>
    <row r="118" spans="1:9" x14ac:dyDescent="0.35">
      <c r="A118" s="101" t="str">
        <f t="shared" si="1"/>
        <v>G</v>
      </c>
      <c r="B118" s="131" t="s">
        <v>393</v>
      </c>
      <c r="C118" s="128" t="s">
        <v>210</v>
      </c>
      <c r="D118" s="117">
        <v>-277768.3</v>
      </c>
      <c r="E118" s="119">
        <v>0</v>
      </c>
      <c r="F118" s="117">
        <v>86610.75</v>
      </c>
      <c r="G118" s="117">
        <v>-86610.75</v>
      </c>
      <c r="H118" s="118">
        <v>-364379.05</v>
      </c>
    </row>
    <row r="119" spans="1:9" x14ac:dyDescent="0.35">
      <c r="A119" s="101">
        <f t="shared" si="1"/>
        <v>0</v>
      </c>
      <c r="B119" s="132" t="s">
        <v>394</v>
      </c>
      <c r="C119" s="128" t="s">
        <v>212</v>
      </c>
      <c r="D119" s="117">
        <v>-277768.3</v>
      </c>
      <c r="E119" s="119">
        <v>0</v>
      </c>
      <c r="F119" s="117">
        <v>86610.75</v>
      </c>
      <c r="G119" s="117">
        <v>-86610.75</v>
      </c>
      <c r="H119" s="118">
        <v>-364379.05</v>
      </c>
    </row>
    <row r="120" spans="1:9" x14ac:dyDescent="0.35">
      <c r="A120" s="100">
        <f t="shared" si="1"/>
        <v>0</v>
      </c>
      <c r="B120" s="133" t="s">
        <v>395</v>
      </c>
      <c r="C120" s="128" t="s">
        <v>214</v>
      </c>
      <c r="D120" s="117">
        <v>-277768.3</v>
      </c>
      <c r="E120" s="119">
        <v>0</v>
      </c>
      <c r="F120" s="117">
        <v>86610.75</v>
      </c>
      <c r="G120" s="117">
        <v>-86610.75</v>
      </c>
      <c r="H120" s="118">
        <v>-364379.05</v>
      </c>
    </row>
    <row r="121" spans="1:9" x14ac:dyDescent="0.35">
      <c r="A121" s="101">
        <f t="shared" si="1"/>
        <v>0</v>
      </c>
      <c r="B121" s="134" t="s">
        <v>396</v>
      </c>
      <c r="C121" s="128" t="s">
        <v>216</v>
      </c>
      <c r="D121" s="117">
        <v>-277768.3</v>
      </c>
      <c r="E121" s="119">
        <v>0</v>
      </c>
      <c r="F121" s="117">
        <v>86610.75</v>
      </c>
      <c r="G121" s="117">
        <v>-86610.75</v>
      </c>
      <c r="H121" s="118">
        <v>-364379.05</v>
      </c>
    </row>
    <row r="122" spans="1:9" x14ac:dyDescent="0.35">
      <c r="A122" s="101" t="str">
        <f t="shared" si="1"/>
        <v>3</v>
      </c>
      <c r="B122" s="112">
        <v>35199995</v>
      </c>
      <c r="C122" s="103" t="s">
        <v>68</v>
      </c>
      <c r="D122" s="89">
        <v>-252081.5</v>
      </c>
      <c r="E122" s="90">
        <v>0</v>
      </c>
      <c r="F122" s="89">
        <v>79219</v>
      </c>
      <c r="G122" s="89">
        <v>-79219</v>
      </c>
      <c r="H122" s="91">
        <v>-331300.5</v>
      </c>
      <c r="I122" s="111">
        <f>G122+G123</f>
        <v>-86610.75</v>
      </c>
    </row>
    <row r="123" spans="1:9" x14ac:dyDescent="0.35">
      <c r="A123" s="101" t="str">
        <f t="shared" si="1"/>
        <v>3</v>
      </c>
      <c r="B123" s="112">
        <v>35199998</v>
      </c>
      <c r="C123" s="103" t="s">
        <v>18</v>
      </c>
      <c r="D123" s="89">
        <v>-25686.799999999999</v>
      </c>
      <c r="E123" s="90">
        <v>0</v>
      </c>
      <c r="F123" s="89">
        <v>7391.75</v>
      </c>
      <c r="G123" s="89">
        <v>-7391.75</v>
      </c>
      <c r="H123" s="91">
        <v>-33078.550000000003</v>
      </c>
    </row>
    <row r="124" spans="1:9" x14ac:dyDescent="0.35">
      <c r="A124" s="100" t="str">
        <f t="shared" si="1"/>
        <v>G</v>
      </c>
      <c r="B124" s="131" t="s">
        <v>397</v>
      </c>
      <c r="C124" s="128" t="s">
        <v>218</v>
      </c>
      <c r="D124" s="117">
        <v>80105</v>
      </c>
      <c r="E124" s="117">
        <v>34870</v>
      </c>
      <c r="F124" s="119">
        <v>0</v>
      </c>
      <c r="G124" s="117">
        <v>34870</v>
      </c>
      <c r="H124" s="118">
        <v>114975</v>
      </c>
    </row>
    <row r="125" spans="1:9" x14ac:dyDescent="0.35">
      <c r="A125" s="101">
        <f t="shared" si="1"/>
        <v>0</v>
      </c>
      <c r="B125" s="132" t="s">
        <v>398</v>
      </c>
      <c r="C125" s="128" t="s">
        <v>220</v>
      </c>
      <c r="D125" s="117">
        <v>80105</v>
      </c>
      <c r="E125" s="117">
        <v>34870</v>
      </c>
      <c r="F125" s="119">
        <v>0</v>
      </c>
      <c r="G125" s="117">
        <v>34870</v>
      </c>
      <c r="H125" s="118">
        <v>114975</v>
      </c>
    </row>
    <row r="126" spans="1:9" x14ac:dyDescent="0.35">
      <c r="A126" s="101">
        <f t="shared" si="1"/>
        <v>0</v>
      </c>
      <c r="B126" s="133" t="s">
        <v>399</v>
      </c>
      <c r="C126" s="128" t="s">
        <v>222</v>
      </c>
      <c r="D126" s="117">
        <v>80105</v>
      </c>
      <c r="E126" s="117">
        <v>34870</v>
      </c>
      <c r="F126" s="119">
        <v>0</v>
      </c>
      <c r="G126" s="117">
        <v>34870</v>
      </c>
      <c r="H126" s="118">
        <v>114975</v>
      </c>
    </row>
    <row r="127" spans="1:9" x14ac:dyDescent="0.35">
      <c r="A127" s="100">
        <f t="shared" si="1"/>
        <v>0</v>
      </c>
      <c r="B127" s="134" t="s">
        <v>400</v>
      </c>
      <c r="C127" s="128" t="s">
        <v>216</v>
      </c>
      <c r="D127" s="117">
        <v>80105</v>
      </c>
      <c r="E127" s="117">
        <v>34870</v>
      </c>
      <c r="F127" s="119">
        <v>0</v>
      </c>
      <c r="G127" s="117">
        <v>34870</v>
      </c>
      <c r="H127" s="118">
        <v>114975</v>
      </c>
    </row>
    <row r="128" spans="1:9" x14ac:dyDescent="0.35">
      <c r="A128" s="101" t="str">
        <f t="shared" si="1"/>
        <v>4</v>
      </c>
      <c r="B128" s="135">
        <v>44189011</v>
      </c>
      <c r="C128" s="128" t="s">
        <v>94</v>
      </c>
      <c r="D128" s="117">
        <v>80105</v>
      </c>
      <c r="E128" s="117">
        <v>34870</v>
      </c>
      <c r="F128" s="119">
        <v>0</v>
      </c>
      <c r="G128" s="117">
        <v>34870</v>
      </c>
      <c r="H128" s="118">
        <v>114975</v>
      </c>
    </row>
    <row r="129" spans="1:10" x14ac:dyDescent="0.35">
      <c r="A129" s="100">
        <f t="shared" si="1"/>
        <v>0</v>
      </c>
      <c r="B129" s="129" t="s">
        <v>401</v>
      </c>
      <c r="C129" s="127" t="s">
        <v>226</v>
      </c>
      <c r="D129" s="117">
        <v>64421.07</v>
      </c>
      <c r="E129" s="117">
        <v>8474.6200000000008</v>
      </c>
      <c r="F129" s="117">
        <v>435.65</v>
      </c>
      <c r="G129" s="117">
        <v>8038.97</v>
      </c>
      <c r="H129" s="118">
        <v>72460.039999999994</v>
      </c>
    </row>
    <row r="130" spans="1:10" x14ac:dyDescent="0.35">
      <c r="A130" s="100">
        <f t="shared" si="1"/>
        <v>0</v>
      </c>
      <c r="B130" s="130" t="s">
        <v>402</v>
      </c>
      <c r="C130" s="128" t="s">
        <v>228</v>
      </c>
      <c r="D130" s="117">
        <v>13800</v>
      </c>
      <c r="E130" s="117">
        <v>3800</v>
      </c>
      <c r="F130" s="119">
        <v>0</v>
      </c>
      <c r="G130" s="117">
        <v>3800</v>
      </c>
      <c r="H130" s="118">
        <v>17600</v>
      </c>
    </row>
    <row r="131" spans="1:10" x14ac:dyDescent="0.35">
      <c r="A131" s="101" t="str">
        <f t="shared" si="1"/>
        <v>G</v>
      </c>
      <c r="B131" s="131" t="s">
        <v>403</v>
      </c>
      <c r="C131" s="128" t="s">
        <v>228</v>
      </c>
      <c r="D131" s="117">
        <v>13800</v>
      </c>
      <c r="E131" s="117">
        <v>3800</v>
      </c>
      <c r="F131" s="119">
        <v>0</v>
      </c>
      <c r="G131" s="117">
        <v>3800</v>
      </c>
      <c r="H131" s="118">
        <v>17600</v>
      </c>
    </row>
    <row r="132" spans="1:10" x14ac:dyDescent="0.35">
      <c r="A132" s="101">
        <f t="shared" si="1"/>
        <v>0</v>
      </c>
      <c r="B132" s="132" t="s">
        <v>404</v>
      </c>
      <c r="C132" s="128" t="s">
        <v>231</v>
      </c>
      <c r="D132" s="117">
        <v>13800</v>
      </c>
      <c r="E132" s="117">
        <v>3800</v>
      </c>
      <c r="F132" s="119">
        <v>0</v>
      </c>
      <c r="G132" s="117">
        <v>3800</v>
      </c>
      <c r="H132" s="118">
        <v>17600</v>
      </c>
    </row>
    <row r="133" spans="1:10" x14ac:dyDescent="0.35">
      <c r="A133" s="100">
        <f t="shared" ref="A133:A196" si="2">IF(LEN(B133)=8,LEFT(B133,1),0)</f>
        <v>0</v>
      </c>
      <c r="B133" s="133" t="s">
        <v>405</v>
      </c>
      <c r="C133" s="128" t="s">
        <v>220</v>
      </c>
      <c r="D133" s="117">
        <v>13800</v>
      </c>
      <c r="E133" s="117">
        <v>3800</v>
      </c>
      <c r="F133" s="119">
        <v>0</v>
      </c>
      <c r="G133" s="117">
        <v>3800</v>
      </c>
      <c r="H133" s="118">
        <v>17600</v>
      </c>
    </row>
    <row r="134" spans="1:10" x14ac:dyDescent="0.35">
      <c r="A134" s="101" t="str">
        <f t="shared" si="2"/>
        <v>4</v>
      </c>
      <c r="B134" s="134">
        <v>46211017</v>
      </c>
      <c r="C134" s="128" t="s">
        <v>56</v>
      </c>
      <c r="D134" s="117">
        <v>13800</v>
      </c>
      <c r="E134" s="117">
        <v>3800</v>
      </c>
      <c r="F134" s="119">
        <v>0</v>
      </c>
      <c r="G134" s="117">
        <v>3800</v>
      </c>
      <c r="H134" s="118">
        <v>17600</v>
      </c>
    </row>
    <row r="135" spans="1:10" x14ac:dyDescent="0.35">
      <c r="A135" s="101">
        <f t="shared" si="2"/>
        <v>0</v>
      </c>
      <c r="B135" s="130" t="s">
        <v>406</v>
      </c>
      <c r="C135" s="128" t="s">
        <v>236</v>
      </c>
      <c r="D135" s="117">
        <v>2332.15</v>
      </c>
      <c r="E135" s="117">
        <v>532.99</v>
      </c>
      <c r="F135" s="117">
        <v>435.65</v>
      </c>
      <c r="G135" s="117">
        <v>97.34</v>
      </c>
      <c r="H135" s="118">
        <v>2429.4899999999998</v>
      </c>
      <c r="J135" s="110"/>
    </row>
    <row r="136" spans="1:10" x14ac:dyDescent="0.35">
      <c r="A136" s="100" t="str">
        <f t="shared" si="2"/>
        <v>G</v>
      </c>
      <c r="B136" s="131" t="s">
        <v>407</v>
      </c>
      <c r="C136" s="128" t="s">
        <v>236</v>
      </c>
      <c r="D136" s="117">
        <v>2332.15</v>
      </c>
      <c r="E136" s="117">
        <v>532.99</v>
      </c>
      <c r="F136" s="117">
        <v>435.65</v>
      </c>
      <c r="G136" s="117">
        <v>97.34</v>
      </c>
      <c r="H136" s="118">
        <v>2429.4899999999998</v>
      </c>
    </row>
    <row r="137" spans="1:10" x14ac:dyDescent="0.35">
      <c r="A137" s="100">
        <f t="shared" si="2"/>
        <v>0</v>
      </c>
      <c r="B137" s="132" t="s">
        <v>408</v>
      </c>
      <c r="C137" s="128" t="s">
        <v>239</v>
      </c>
      <c r="D137" s="117">
        <v>1896.5</v>
      </c>
      <c r="E137" s="117">
        <v>532.99</v>
      </c>
      <c r="F137" s="119">
        <v>0</v>
      </c>
      <c r="G137" s="117">
        <v>532.99</v>
      </c>
      <c r="H137" s="118">
        <v>2429.4899999999998</v>
      </c>
      <c r="J137" s="111"/>
    </row>
    <row r="138" spans="1:10" x14ac:dyDescent="0.35">
      <c r="A138" s="101">
        <f t="shared" si="2"/>
        <v>0</v>
      </c>
      <c r="B138" s="133" t="s">
        <v>409</v>
      </c>
      <c r="C138" s="128" t="s">
        <v>241</v>
      </c>
      <c r="D138" s="117">
        <v>1896.5</v>
      </c>
      <c r="E138" s="117">
        <v>532.99</v>
      </c>
      <c r="F138" s="119">
        <v>0</v>
      </c>
      <c r="G138" s="117">
        <v>532.99</v>
      </c>
      <c r="H138" s="118">
        <v>2429.4899999999998</v>
      </c>
    </row>
    <row r="139" spans="1:10" x14ac:dyDescent="0.35">
      <c r="A139" s="100" t="str">
        <f t="shared" si="2"/>
        <v>4</v>
      </c>
      <c r="B139" s="134">
        <v>46312006</v>
      </c>
      <c r="C139" s="128" t="s">
        <v>22</v>
      </c>
      <c r="D139" s="117">
        <v>1896.5</v>
      </c>
      <c r="E139" s="117">
        <v>532.99</v>
      </c>
      <c r="F139" s="119">
        <v>0</v>
      </c>
      <c r="G139" s="117">
        <v>532.99</v>
      </c>
      <c r="H139" s="118">
        <v>2429.4899999999998</v>
      </c>
      <c r="J139" s="111"/>
    </row>
    <row r="140" spans="1:10" x14ac:dyDescent="0.35">
      <c r="A140" s="101">
        <f t="shared" si="2"/>
        <v>0</v>
      </c>
      <c r="B140" s="132" t="s">
        <v>454</v>
      </c>
      <c r="C140" s="128" t="s">
        <v>450</v>
      </c>
      <c r="D140" s="117">
        <v>435.65</v>
      </c>
      <c r="E140" s="119">
        <v>0</v>
      </c>
      <c r="F140" s="117">
        <v>435.65</v>
      </c>
      <c r="G140" s="117">
        <v>-435.65</v>
      </c>
      <c r="H140" s="120">
        <v>0</v>
      </c>
    </row>
    <row r="141" spans="1:10" x14ac:dyDescent="0.35">
      <c r="A141" s="100">
        <f t="shared" si="2"/>
        <v>0</v>
      </c>
      <c r="B141" s="133" t="s">
        <v>455</v>
      </c>
      <c r="C141" s="128" t="s">
        <v>451</v>
      </c>
      <c r="D141" s="117">
        <v>435.65</v>
      </c>
      <c r="E141" s="119">
        <v>0</v>
      </c>
      <c r="F141" s="117">
        <v>435.65</v>
      </c>
      <c r="G141" s="117">
        <v>-435.65</v>
      </c>
      <c r="H141" s="120">
        <v>0</v>
      </c>
      <c r="J141" s="111"/>
    </row>
    <row r="142" spans="1:10" x14ac:dyDescent="0.35">
      <c r="A142" s="100" t="str">
        <f t="shared" si="2"/>
        <v>4</v>
      </c>
      <c r="B142" s="134">
        <v>46316004</v>
      </c>
      <c r="C142" s="128" t="s">
        <v>452</v>
      </c>
      <c r="D142" s="117">
        <v>435.65</v>
      </c>
      <c r="E142" s="119">
        <v>0</v>
      </c>
      <c r="F142" s="117">
        <v>435.65</v>
      </c>
      <c r="G142" s="117">
        <v>-435.65</v>
      </c>
      <c r="H142" s="120">
        <v>0</v>
      </c>
    </row>
    <row r="143" spans="1:10" x14ac:dyDescent="0.35">
      <c r="A143" s="101">
        <f t="shared" si="2"/>
        <v>0</v>
      </c>
      <c r="B143" s="130" t="s">
        <v>410</v>
      </c>
      <c r="C143" s="128" t="s">
        <v>243</v>
      </c>
      <c r="D143" s="117">
        <v>43718.83</v>
      </c>
      <c r="E143" s="117">
        <v>4141.63</v>
      </c>
      <c r="F143" s="119">
        <v>0</v>
      </c>
      <c r="G143" s="117">
        <v>4141.63</v>
      </c>
      <c r="H143" s="118">
        <v>47860.46</v>
      </c>
    </row>
    <row r="144" spans="1:10" x14ac:dyDescent="0.35">
      <c r="A144" s="101" t="str">
        <f t="shared" si="2"/>
        <v>G</v>
      </c>
      <c r="B144" s="131" t="s">
        <v>411</v>
      </c>
      <c r="C144" s="128" t="s">
        <v>243</v>
      </c>
      <c r="D144" s="117">
        <v>43718.83</v>
      </c>
      <c r="E144" s="117">
        <v>4141.63</v>
      </c>
      <c r="F144" s="119">
        <v>0</v>
      </c>
      <c r="G144" s="117">
        <v>4141.63</v>
      </c>
      <c r="H144" s="118">
        <v>47860.46</v>
      </c>
    </row>
    <row r="145" spans="1:8" x14ac:dyDescent="0.35">
      <c r="A145" s="100">
        <f t="shared" si="2"/>
        <v>0</v>
      </c>
      <c r="B145" s="132" t="s">
        <v>412</v>
      </c>
      <c r="C145" s="128" t="s">
        <v>316</v>
      </c>
      <c r="D145" s="117">
        <v>13294.25</v>
      </c>
      <c r="E145" s="117">
        <v>4141.63</v>
      </c>
      <c r="F145" s="119">
        <v>0</v>
      </c>
      <c r="G145" s="117">
        <v>4141.63</v>
      </c>
      <c r="H145" s="118">
        <v>17435.88</v>
      </c>
    </row>
    <row r="146" spans="1:8" x14ac:dyDescent="0.35">
      <c r="A146" s="100">
        <f t="shared" si="2"/>
        <v>0</v>
      </c>
      <c r="B146" s="133" t="s">
        <v>413</v>
      </c>
      <c r="C146" s="128" t="s">
        <v>317</v>
      </c>
      <c r="D146" s="117">
        <v>13294.25</v>
      </c>
      <c r="E146" s="117">
        <v>4141.63</v>
      </c>
      <c r="F146" s="119">
        <v>0</v>
      </c>
      <c r="G146" s="117">
        <v>4141.63</v>
      </c>
      <c r="H146" s="118">
        <v>17435.88</v>
      </c>
    </row>
    <row r="147" spans="1:8" x14ac:dyDescent="0.35">
      <c r="A147" s="101" t="str">
        <f t="shared" si="2"/>
        <v>4</v>
      </c>
      <c r="B147" s="134">
        <v>46530007</v>
      </c>
      <c r="C147" s="128" t="s">
        <v>25</v>
      </c>
      <c r="D147" s="117">
        <v>13294.25</v>
      </c>
      <c r="E147" s="117">
        <v>4141.63</v>
      </c>
      <c r="F147" s="119">
        <v>0</v>
      </c>
      <c r="G147" s="117">
        <v>4141.63</v>
      </c>
      <c r="H147" s="118">
        <v>17435.88</v>
      </c>
    </row>
    <row r="148" spans="1:8" x14ac:dyDescent="0.35">
      <c r="A148" s="101">
        <f t="shared" si="2"/>
        <v>0</v>
      </c>
      <c r="B148" s="132" t="s">
        <v>414</v>
      </c>
      <c r="C148" s="128" t="s">
        <v>246</v>
      </c>
      <c r="D148" s="117">
        <v>29031.86</v>
      </c>
      <c r="E148" s="119">
        <v>0</v>
      </c>
      <c r="F148" s="119">
        <v>0</v>
      </c>
      <c r="G148" s="119">
        <v>0</v>
      </c>
      <c r="H148" s="118">
        <v>29031.86</v>
      </c>
    </row>
    <row r="149" spans="1:8" x14ac:dyDescent="0.35">
      <c r="A149" s="101">
        <f t="shared" si="2"/>
        <v>0</v>
      </c>
      <c r="B149" s="133" t="s">
        <v>415</v>
      </c>
      <c r="C149" s="128" t="s">
        <v>248</v>
      </c>
      <c r="D149" s="117">
        <v>29031.86</v>
      </c>
      <c r="E149" s="119">
        <v>0</v>
      </c>
      <c r="F149" s="119">
        <v>0</v>
      </c>
      <c r="G149" s="119">
        <v>0</v>
      </c>
      <c r="H149" s="118">
        <v>29031.86</v>
      </c>
    </row>
    <row r="150" spans="1:8" x14ac:dyDescent="0.35">
      <c r="A150" s="100">
        <f t="shared" si="2"/>
        <v>0</v>
      </c>
      <c r="B150" s="134" t="s">
        <v>416</v>
      </c>
      <c r="C150" s="128" t="s">
        <v>23</v>
      </c>
      <c r="D150" s="117">
        <v>23982.04</v>
      </c>
      <c r="E150" s="119">
        <v>0</v>
      </c>
      <c r="F150" s="119">
        <v>0</v>
      </c>
      <c r="G150" s="119">
        <v>0</v>
      </c>
      <c r="H150" s="118">
        <v>23982.04</v>
      </c>
    </row>
    <row r="151" spans="1:8" x14ac:dyDescent="0.35">
      <c r="A151" s="101" t="str">
        <f t="shared" si="2"/>
        <v>4</v>
      </c>
      <c r="B151" s="135">
        <v>46511001</v>
      </c>
      <c r="C151" s="128" t="s">
        <v>23</v>
      </c>
      <c r="D151" s="117">
        <v>23982.04</v>
      </c>
      <c r="E151" s="119">
        <v>0</v>
      </c>
      <c r="F151" s="119">
        <v>0</v>
      </c>
      <c r="G151" s="119">
        <v>0</v>
      </c>
      <c r="H151" s="118">
        <v>23982.04</v>
      </c>
    </row>
    <row r="152" spans="1:8" x14ac:dyDescent="0.35">
      <c r="A152" s="101">
        <f t="shared" si="2"/>
        <v>0</v>
      </c>
      <c r="B152" s="134" t="s">
        <v>417</v>
      </c>
      <c r="C152" s="128" t="s">
        <v>251</v>
      </c>
      <c r="D152" s="117">
        <v>5049.82</v>
      </c>
      <c r="E152" s="119">
        <v>0</v>
      </c>
      <c r="F152" s="119">
        <v>0</v>
      </c>
      <c r="G152" s="119">
        <v>0</v>
      </c>
      <c r="H152" s="118">
        <v>5049.82</v>
      </c>
    </row>
    <row r="153" spans="1:8" x14ac:dyDescent="0.35">
      <c r="A153" s="101" t="str">
        <f t="shared" si="2"/>
        <v>4</v>
      </c>
      <c r="B153" s="135">
        <v>46511002</v>
      </c>
      <c r="C153" s="128" t="s">
        <v>24</v>
      </c>
      <c r="D153" s="117">
        <v>5049.82</v>
      </c>
      <c r="E153" s="119">
        <v>0</v>
      </c>
      <c r="F153" s="119">
        <v>0</v>
      </c>
      <c r="G153" s="119">
        <v>0</v>
      </c>
      <c r="H153" s="118">
        <v>5049.82</v>
      </c>
    </row>
    <row r="154" spans="1:8" x14ac:dyDescent="0.35">
      <c r="A154" s="100">
        <f t="shared" si="2"/>
        <v>0</v>
      </c>
      <c r="B154" s="132" t="s">
        <v>418</v>
      </c>
      <c r="C154" s="128" t="s">
        <v>253</v>
      </c>
      <c r="D154" s="117">
        <v>1392.72</v>
      </c>
      <c r="E154" s="119">
        <v>0</v>
      </c>
      <c r="F154" s="119">
        <v>0</v>
      </c>
      <c r="G154" s="119">
        <v>0</v>
      </c>
      <c r="H154" s="118">
        <v>1392.72</v>
      </c>
    </row>
    <row r="155" spans="1:8" x14ac:dyDescent="0.35">
      <c r="A155" s="101">
        <f t="shared" si="2"/>
        <v>0</v>
      </c>
      <c r="B155" s="133" t="s">
        <v>419</v>
      </c>
      <c r="C155" s="128" t="s">
        <v>255</v>
      </c>
      <c r="D155" s="117">
        <v>1392.72</v>
      </c>
      <c r="E155" s="119">
        <v>0</v>
      </c>
      <c r="F155" s="119">
        <v>0</v>
      </c>
      <c r="G155" s="119">
        <v>0</v>
      </c>
      <c r="H155" s="118">
        <v>1392.72</v>
      </c>
    </row>
    <row r="156" spans="1:8" x14ac:dyDescent="0.35">
      <c r="A156" s="101" t="str">
        <f t="shared" si="2"/>
        <v>4</v>
      </c>
      <c r="B156" s="134">
        <v>46540007</v>
      </c>
      <c r="C156" s="128" t="s">
        <v>45</v>
      </c>
      <c r="D156" s="117">
        <v>1392.72</v>
      </c>
      <c r="E156" s="119">
        <v>0</v>
      </c>
      <c r="F156" s="119">
        <v>0</v>
      </c>
      <c r="G156" s="119">
        <v>0</v>
      </c>
      <c r="H156" s="118">
        <v>1392.72</v>
      </c>
    </row>
    <row r="157" spans="1:8" x14ac:dyDescent="0.35">
      <c r="A157" s="100">
        <f t="shared" si="2"/>
        <v>0</v>
      </c>
      <c r="B157" s="130" t="s">
        <v>420</v>
      </c>
      <c r="C157" s="128" t="s">
        <v>257</v>
      </c>
      <c r="D157" s="117">
        <v>4570.09</v>
      </c>
      <c r="E157" s="119">
        <v>0</v>
      </c>
      <c r="F157" s="119">
        <v>0</v>
      </c>
      <c r="G157" s="119">
        <v>0</v>
      </c>
      <c r="H157" s="118">
        <v>4570.09</v>
      </c>
    </row>
    <row r="158" spans="1:8" x14ac:dyDescent="0.35">
      <c r="A158" s="101" t="str">
        <f t="shared" si="2"/>
        <v>G</v>
      </c>
      <c r="B158" s="131" t="s">
        <v>421</v>
      </c>
      <c r="C158" s="128" t="s">
        <v>226</v>
      </c>
      <c r="D158" s="117">
        <v>4570.09</v>
      </c>
      <c r="E158" s="119">
        <v>0</v>
      </c>
      <c r="F158" s="119">
        <v>0</v>
      </c>
      <c r="G158" s="119">
        <v>0</v>
      </c>
      <c r="H158" s="118">
        <v>4570.09</v>
      </c>
    </row>
    <row r="159" spans="1:8" x14ac:dyDescent="0.35">
      <c r="A159" s="100">
        <f t="shared" si="2"/>
        <v>0</v>
      </c>
      <c r="B159" s="132" t="s">
        <v>422</v>
      </c>
      <c r="C159" s="128" t="s">
        <v>260</v>
      </c>
      <c r="D159" s="117">
        <v>4570.09</v>
      </c>
      <c r="E159" s="119">
        <v>0</v>
      </c>
      <c r="F159" s="119">
        <v>0</v>
      </c>
      <c r="G159" s="119">
        <v>0</v>
      </c>
      <c r="H159" s="118">
        <v>4570.09</v>
      </c>
    </row>
    <row r="160" spans="1:8" x14ac:dyDescent="0.35">
      <c r="A160" s="100">
        <f t="shared" si="2"/>
        <v>0</v>
      </c>
      <c r="B160" s="133" t="s">
        <v>423</v>
      </c>
      <c r="C160" s="128" t="s">
        <v>318</v>
      </c>
      <c r="D160" s="117">
        <v>273.55</v>
      </c>
      <c r="E160" s="119">
        <v>0</v>
      </c>
      <c r="F160" s="119">
        <v>0</v>
      </c>
      <c r="G160" s="119">
        <v>0</v>
      </c>
      <c r="H160" s="118">
        <v>273.55</v>
      </c>
    </row>
    <row r="161" spans="1:9" x14ac:dyDescent="0.35">
      <c r="A161" s="101" t="str">
        <f t="shared" si="2"/>
        <v>4</v>
      </c>
      <c r="B161" s="134">
        <v>46312004</v>
      </c>
      <c r="C161" s="128" t="s">
        <v>319</v>
      </c>
      <c r="D161" s="117">
        <v>273.55</v>
      </c>
      <c r="E161" s="119">
        <v>0</v>
      </c>
      <c r="F161" s="119">
        <v>0</v>
      </c>
      <c r="G161" s="119">
        <v>0</v>
      </c>
      <c r="H161" s="118">
        <v>273.55</v>
      </c>
    </row>
    <row r="162" spans="1:9" x14ac:dyDescent="0.35">
      <c r="A162" s="101">
        <f t="shared" si="2"/>
        <v>0</v>
      </c>
      <c r="B162" s="133" t="s">
        <v>424</v>
      </c>
      <c r="C162" s="128" t="s">
        <v>262</v>
      </c>
      <c r="D162" s="117">
        <v>41.3</v>
      </c>
      <c r="E162" s="119">
        <v>0</v>
      </c>
      <c r="F162" s="119">
        <v>0</v>
      </c>
      <c r="G162" s="119">
        <v>0</v>
      </c>
      <c r="H162" s="118">
        <v>41.3</v>
      </c>
    </row>
    <row r="163" spans="1:9" x14ac:dyDescent="0.35">
      <c r="A163" s="101" t="str">
        <f t="shared" si="2"/>
        <v>4</v>
      </c>
      <c r="B163" s="134">
        <v>46920003</v>
      </c>
      <c r="C163" s="128" t="s">
        <v>26</v>
      </c>
      <c r="D163" s="117">
        <v>41.3</v>
      </c>
      <c r="E163" s="119">
        <v>0</v>
      </c>
      <c r="F163" s="119">
        <v>0</v>
      </c>
      <c r="G163" s="119">
        <v>0</v>
      </c>
      <c r="H163" s="118">
        <v>41.3</v>
      </c>
    </row>
    <row r="164" spans="1:9" x14ac:dyDescent="0.35">
      <c r="A164" s="101">
        <f t="shared" si="2"/>
        <v>0</v>
      </c>
      <c r="B164" s="133" t="s">
        <v>425</v>
      </c>
      <c r="C164" s="128" t="s">
        <v>222</v>
      </c>
      <c r="D164" s="117">
        <v>4255.24</v>
      </c>
      <c r="E164" s="119">
        <v>0</v>
      </c>
      <c r="F164" s="119">
        <v>0</v>
      </c>
      <c r="G164" s="119">
        <v>0</v>
      </c>
      <c r="H164" s="118">
        <v>4255.24</v>
      </c>
    </row>
    <row r="165" spans="1:9" x14ac:dyDescent="0.35">
      <c r="A165" s="100" t="str">
        <f t="shared" si="2"/>
        <v>4</v>
      </c>
      <c r="B165" s="134">
        <v>46990099</v>
      </c>
      <c r="C165" s="128" t="s">
        <v>222</v>
      </c>
      <c r="D165" s="117">
        <v>4255.24</v>
      </c>
      <c r="E165" s="119">
        <v>0</v>
      </c>
      <c r="F165" s="119">
        <v>0</v>
      </c>
      <c r="G165" s="119">
        <v>0</v>
      </c>
      <c r="H165" s="118">
        <v>4255.24</v>
      </c>
    </row>
    <row r="166" spans="1:9" x14ac:dyDescent="0.35">
      <c r="A166" s="101">
        <f t="shared" si="2"/>
        <v>0</v>
      </c>
      <c r="B166" s="129" t="s">
        <v>426</v>
      </c>
      <c r="C166" s="127" t="s">
        <v>264</v>
      </c>
      <c r="D166" s="117">
        <v>-43652.55</v>
      </c>
      <c r="E166" s="117">
        <v>220.26</v>
      </c>
      <c r="F166" s="117">
        <v>16461.14</v>
      </c>
      <c r="G166" s="117">
        <v>-16240.88</v>
      </c>
      <c r="H166" s="118">
        <v>-59893.43</v>
      </c>
    </row>
    <row r="167" spans="1:9" x14ac:dyDescent="0.35">
      <c r="A167" s="101">
        <f t="shared" si="2"/>
        <v>0</v>
      </c>
      <c r="B167" s="130" t="s">
        <v>427</v>
      </c>
      <c r="C167" s="128" t="s">
        <v>36</v>
      </c>
      <c r="D167" s="117">
        <v>-44481.43</v>
      </c>
      <c r="E167" s="117">
        <v>220.26</v>
      </c>
      <c r="F167" s="117">
        <v>16461.14</v>
      </c>
      <c r="G167" s="117">
        <v>-16240.88</v>
      </c>
      <c r="H167" s="118">
        <v>-60722.31</v>
      </c>
    </row>
    <row r="168" spans="1:9" x14ac:dyDescent="0.35">
      <c r="A168" s="100" t="str">
        <f t="shared" si="2"/>
        <v>G</v>
      </c>
      <c r="B168" s="131" t="s">
        <v>428</v>
      </c>
      <c r="C168" s="128" t="s">
        <v>267</v>
      </c>
      <c r="D168" s="117">
        <v>-44481.43</v>
      </c>
      <c r="E168" s="117">
        <v>220.26</v>
      </c>
      <c r="F168" s="117">
        <v>16461.14</v>
      </c>
      <c r="G168" s="117">
        <v>-16240.88</v>
      </c>
      <c r="H168" s="118">
        <v>-60722.31</v>
      </c>
    </row>
    <row r="169" spans="1:9" x14ac:dyDescent="0.35">
      <c r="A169" s="101">
        <f t="shared" si="2"/>
        <v>0</v>
      </c>
      <c r="B169" s="132" t="s">
        <v>429</v>
      </c>
      <c r="C169" s="128" t="s">
        <v>269</v>
      </c>
      <c r="D169" s="117">
        <v>-36080.76</v>
      </c>
      <c r="E169" s="119">
        <v>0</v>
      </c>
      <c r="F169" s="117">
        <v>7967.44</v>
      </c>
      <c r="G169" s="117">
        <v>-7967.44</v>
      </c>
      <c r="H169" s="118">
        <v>-44048.2</v>
      </c>
    </row>
    <row r="170" spans="1:9" x14ac:dyDescent="0.35">
      <c r="A170" s="100">
        <f t="shared" si="2"/>
        <v>0</v>
      </c>
      <c r="B170" s="133" t="s">
        <v>430</v>
      </c>
      <c r="C170" s="128" t="s">
        <v>271</v>
      </c>
      <c r="D170" s="117">
        <v>-36080.76</v>
      </c>
      <c r="E170" s="119">
        <v>0</v>
      </c>
      <c r="F170" s="117">
        <v>7967.44</v>
      </c>
      <c r="G170" s="117">
        <v>-7967.44</v>
      </c>
      <c r="H170" s="118">
        <v>-44048.2</v>
      </c>
    </row>
    <row r="171" spans="1:9" x14ac:dyDescent="0.35">
      <c r="A171" s="101" t="str">
        <f t="shared" si="2"/>
        <v>3</v>
      </c>
      <c r="B171" s="104">
        <v>36910001</v>
      </c>
      <c r="C171" s="103" t="s">
        <v>20</v>
      </c>
      <c r="D171" s="89">
        <v>-36080.76</v>
      </c>
      <c r="E171" s="90">
        <v>0</v>
      </c>
      <c r="F171" s="89">
        <v>7967.44</v>
      </c>
      <c r="G171" s="89">
        <v>-7967.44</v>
      </c>
      <c r="H171" s="91">
        <v>-44048.2</v>
      </c>
      <c r="I171" s="111">
        <f>G171+G176+G179</f>
        <v>-16240.880000000001</v>
      </c>
    </row>
    <row r="172" spans="1:9" x14ac:dyDescent="0.35">
      <c r="A172" s="100">
        <f t="shared" si="2"/>
        <v>0</v>
      </c>
      <c r="B172" s="132" t="s">
        <v>431</v>
      </c>
      <c r="C172" s="128" t="s">
        <v>273</v>
      </c>
      <c r="D172" s="117">
        <v>-32967.550000000003</v>
      </c>
      <c r="E172" s="119">
        <v>0</v>
      </c>
      <c r="F172" s="117">
        <v>6936.26</v>
      </c>
      <c r="G172" s="117">
        <v>-6936.26</v>
      </c>
      <c r="H172" s="118">
        <v>-39903.81</v>
      </c>
    </row>
    <row r="173" spans="1:9" x14ac:dyDescent="0.35">
      <c r="A173" s="101">
        <f t="shared" si="2"/>
        <v>0</v>
      </c>
      <c r="B173" s="133" t="s">
        <v>432</v>
      </c>
      <c r="C173" s="128" t="s">
        <v>275</v>
      </c>
      <c r="D173" s="117">
        <v>-32967.550000000003</v>
      </c>
      <c r="E173" s="119">
        <v>0</v>
      </c>
      <c r="F173" s="117">
        <v>6936.26</v>
      </c>
      <c r="G173" s="117">
        <v>-6936.26</v>
      </c>
      <c r="H173" s="118">
        <v>-39903.81</v>
      </c>
    </row>
    <row r="174" spans="1:9" x14ac:dyDescent="0.35">
      <c r="A174" s="101">
        <f t="shared" si="2"/>
        <v>0</v>
      </c>
      <c r="B174" s="134" t="s">
        <v>433</v>
      </c>
      <c r="C174" s="128" t="s">
        <v>277</v>
      </c>
      <c r="D174" s="117">
        <v>-32967.550000000003</v>
      </c>
      <c r="E174" s="119">
        <v>0</v>
      </c>
      <c r="F174" s="117">
        <v>6936.26</v>
      </c>
      <c r="G174" s="117">
        <v>-6936.26</v>
      </c>
      <c r="H174" s="118">
        <v>-39903.81</v>
      </c>
    </row>
    <row r="175" spans="1:9" x14ac:dyDescent="0.35">
      <c r="A175" s="100">
        <f t="shared" si="2"/>
        <v>0</v>
      </c>
      <c r="B175" s="135" t="s">
        <v>434</v>
      </c>
      <c r="C175" s="128" t="s">
        <v>279</v>
      </c>
      <c r="D175" s="117">
        <v>-32967.550000000003</v>
      </c>
      <c r="E175" s="119">
        <v>0</v>
      </c>
      <c r="F175" s="117">
        <v>6936.26</v>
      </c>
      <c r="G175" s="117">
        <v>-6936.26</v>
      </c>
      <c r="H175" s="118">
        <v>-39903.81</v>
      </c>
    </row>
    <row r="176" spans="1:9" x14ac:dyDescent="0.35">
      <c r="A176" s="100" t="str">
        <f t="shared" si="2"/>
        <v>3</v>
      </c>
      <c r="B176" s="113">
        <v>36114001</v>
      </c>
      <c r="C176" s="103" t="s">
        <v>19</v>
      </c>
      <c r="D176" s="89">
        <v>-32967.550000000003</v>
      </c>
      <c r="E176" s="90">
        <v>0</v>
      </c>
      <c r="F176" s="89">
        <v>6936.26</v>
      </c>
      <c r="G176" s="89">
        <v>-6936.26</v>
      </c>
      <c r="H176" s="91">
        <v>-39903.81</v>
      </c>
    </row>
    <row r="177" spans="1:8" x14ac:dyDescent="0.35">
      <c r="A177" s="101">
        <f t="shared" si="2"/>
        <v>0</v>
      </c>
      <c r="B177" s="132" t="s">
        <v>435</v>
      </c>
      <c r="C177" s="128" t="s">
        <v>36</v>
      </c>
      <c r="D177" s="117">
        <v>24566.880000000001</v>
      </c>
      <c r="E177" s="117">
        <v>220.26</v>
      </c>
      <c r="F177" s="117">
        <v>1557.44</v>
      </c>
      <c r="G177" s="117">
        <v>-1337.18</v>
      </c>
      <c r="H177" s="118">
        <v>23229.7</v>
      </c>
    </row>
    <row r="178" spans="1:8" x14ac:dyDescent="0.35">
      <c r="A178" s="101">
        <f t="shared" si="2"/>
        <v>0</v>
      </c>
      <c r="B178" s="133" t="s">
        <v>436</v>
      </c>
      <c r="C178" s="128" t="s">
        <v>214</v>
      </c>
      <c r="D178" s="117">
        <v>24566.880000000001</v>
      </c>
      <c r="E178" s="117">
        <v>220.26</v>
      </c>
      <c r="F178" s="117">
        <v>1557.44</v>
      </c>
      <c r="G178" s="117">
        <v>-1337.18</v>
      </c>
      <c r="H178" s="118">
        <v>23229.7</v>
      </c>
    </row>
    <row r="179" spans="1:8" x14ac:dyDescent="0.35">
      <c r="A179" s="100" t="str">
        <f t="shared" si="2"/>
        <v>3</v>
      </c>
      <c r="B179" s="104">
        <v>36990099</v>
      </c>
      <c r="C179" s="103" t="s">
        <v>21</v>
      </c>
      <c r="D179" s="89">
        <v>24566.880000000001</v>
      </c>
      <c r="E179" s="89">
        <v>220.26</v>
      </c>
      <c r="F179" s="89">
        <v>1557.44</v>
      </c>
      <c r="G179" s="89">
        <v>-1337.18</v>
      </c>
      <c r="H179" s="91">
        <v>23229.7</v>
      </c>
    </row>
    <row r="180" spans="1:8" x14ac:dyDescent="0.35">
      <c r="A180" s="101">
        <f t="shared" si="2"/>
        <v>0</v>
      </c>
      <c r="B180" s="130" t="s">
        <v>437</v>
      </c>
      <c r="C180" s="128" t="s">
        <v>283</v>
      </c>
      <c r="D180" s="117">
        <v>828.88</v>
      </c>
      <c r="E180" s="119">
        <v>0</v>
      </c>
      <c r="F180" s="119">
        <v>0</v>
      </c>
      <c r="G180" s="119">
        <v>0</v>
      </c>
      <c r="H180" s="118">
        <v>828.88</v>
      </c>
    </row>
    <row r="181" spans="1:8" x14ac:dyDescent="0.35">
      <c r="A181" s="101" t="str">
        <f t="shared" si="2"/>
        <v>G</v>
      </c>
      <c r="B181" s="131" t="s">
        <v>438</v>
      </c>
      <c r="C181" s="128" t="s">
        <v>285</v>
      </c>
      <c r="D181" s="117">
        <v>828.88</v>
      </c>
      <c r="E181" s="119">
        <v>0</v>
      </c>
      <c r="F181" s="119">
        <v>0</v>
      </c>
      <c r="G181" s="119">
        <v>0</v>
      </c>
      <c r="H181" s="118">
        <v>828.88</v>
      </c>
    </row>
    <row r="182" spans="1:8" x14ac:dyDescent="0.35">
      <c r="A182" s="100">
        <f t="shared" si="2"/>
        <v>0</v>
      </c>
      <c r="B182" s="132" t="s">
        <v>439</v>
      </c>
      <c r="C182" s="128" t="s">
        <v>283</v>
      </c>
      <c r="D182" s="117">
        <v>828.88</v>
      </c>
      <c r="E182" s="119">
        <v>0</v>
      </c>
      <c r="F182" s="119">
        <v>0</v>
      </c>
      <c r="G182" s="119">
        <v>0</v>
      </c>
      <c r="H182" s="118">
        <v>828.88</v>
      </c>
    </row>
    <row r="183" spans="1:8" x14ac:dyDescent="0.35">
      <c r="A183" s="101">
        <f t="shared" si="2"/>
        <v>0</v>
      </c>
      <c r="B183" s="133" t="s">
        <v>440</v>
      </c>
      <c r="C183" s="128" t="s">
        <v>222</v>
      </c>
      <c r="D183" s="117">
        <v>828.88</v>
      </c>
      <c r="E183" s="119">
        <v>0</v>
      </c>
      <c r="F183" s="119">
        <v>0</v>
      </c>
      <c r="G183" s="119">
        <v>0</v>
      </c>
      <c r="H183" s="118">
        <v>828.88</v>
      </c>
    </row>
    <row r="184" spans="1:8" x14ac:dyDescent="0.35">
      <c r="A184" s="101" t="str">
        <f t="shared" si="2"/>
        <v>4</v>
      </c>
      <c r="B184" s="134">
        <v>45990005</v>
      </c>
      <c r="C184" s="128" t="s">
        <v>84</v>
      </c>
      <c r="D184" s="117">
        <v>828.88</v>
      </c>
      <c r="E184" s="119">
        <v>0</v>
      </c>
      <c r="F184" s="119">
        <v>0</v>
      </c>
      <c r="G184" s="119">
        <v>0</v>
      </c>
      <c r="H184" s="118">
        <v>828.88</v>
      </c>
    </row>
    <row r="185" spans="1:8" x14ac:dyDescent="0.35">
      <c r="A185" s="100">
        <f t="shared" si="2"/>
        <v>0</v>
      </c>
      <c r="B185" s="129" t="s">
        <v>441</v>
      </c>
      <c r="C185" s="127" t="s">
        <v>289</v>
      </c>
      <c r="D185" s="117">
        <v>40612.78</v>
      </c>
      <c r="E185" s="119">
        <v>0</v>
      </c>
      <c r="F185" s="119">
        <v>0</v>
      </c>
      <c r="G185" s="119">
        <v>0</v>
      </c>
      <c r="H185" s="118">
        <v>40612.78</v>
      </c>
    </row>
    <row r="186" spans="1:8" x14ac:dyDescent="0.35">
      <c r="A186" s="101">
        <f t="shared" si="2"/>
        <v>0</v>
      </c>
      <c r="B186" s="130" t="s">
        <v>442</v>
      </c>
      <c r="C186" s="128" t="s">
        <v>180</v>
      </c>
      <c r="D186" s="117">
        <v>40612.78</v>
      </c>
      <c r="E186" s="119">
        <v>0</v>
      </c>
      <c r="F186" s="119">
        <v>0</v>
      </c>
      <c r="G186" s="119">
        <v>0</v>
      </c>
      <c r="H186" s="118">
        <v>40612.78</v>
      </c>
    </row>
    <row r="187" spans="1:8" x14ac:dyDescent="0.35">
      <c r="A187" s="101" t="str">
        <f t="shared" si="2"/>
        <v>G</v>
      </c>
      <c r="B187" s="131" t="s">
        <v>443</v>
      </c>
      <c r="C187" s="128" t="s">
        <v>180</v>
      </c>
      <c r="D187" s="117">
        <v>40612.78</v>
      </c>
      <c r="E187" s="119">
        <v>0</v>
      </c>
      <c r="F187" s="119">
        <v>0</v>
      </c>
      <c r="G187" s="119">
        <v>0</v>
      </c>
      <c r="H187" s="118">
        <v>40612.78</v>
      </c>
    </row>
    <row r="188" spans="1:8" x14ac:dyDescent="0.35">
      <c r="A188" s="100">
        <f t="shared" si="2"/>
        <v>0</v>
      </c>
      <c r="B188" s="132" t="s">
        <v>444</v>
      </c>
      <c r="C188" s="128" t="s">
        <v>180</v>
      </c>
      <c r="D188" s="117">
        <v>40612.78</v>
      </c>
      <c r="E188" s="119">
        <v>0</v>
      </c>
      <c r="F188" s="119">
        <v>0</v>
      </c>
      <c r="G188" s="119">
        <v>0</v>
      </c>
      <c r="H188" s="118">
        <v>40612.78</v>
      </c>
    </row>
    <row r="189" spans="1:8" x14ac:dyDescent="0.35">
      <c r="A189" s="100">
        <f t="shared" si="2"/>
        <v>0</v>
      </c>
      <c r="B189" s="133" t="s">
        <v>445</v>
      </c>
      <c r="C189" s="128" t="s">
        <v>182</v>
      </c>
      <c r="D189" s="117">
        <v>27215.279999999999</v>
      </c>
      <c r="E189" s="119">
        <v>0</v>
      </c>
      <c r="F189" s="119">
        <v>0</v>
      </c>
      <c r="G189" s="119">
        <v>0</v>
      </c>
      <c r="H189" s="118">
        <v>27215.279999999999</v>
      </c>
    </row>
    <row r="190" spans="1:8" x14ac:dyDescent="0.35">
      <c r="A190" s="101" t="str">
        <f t="shared" si="2"/>
        <v>5</v>
      </c>
      <c r="B190" s="134">
        <v>51110001</v>
      </c>
      <c r="C190" s="128" t="s">
        <v>52</v>
      </c>
      <c r="D190" s="117">
        <v>27215.279999999999</v>
      </c>
      <c r="E190" s="119">
        <v>0</v>
      </c>
      <c r="F190" s="119">
        <v>0</v>
      </c>
      <c r="G190" s="119">
        <v>0</v>
      </c>
      <c r="H190" s="118">
        <v>27215.279999999999</v>
      </c>
    </row>
    <row r="191" spans="1:8" x14ac:dyDescent="0.35">
      <c r="A191" s="101">
        <f t="shared" si="2"/>
        <v>0</v>
      </c>
      <c r="B191" s="133" t="s">
        <v>446</v>
      </c>
      <c r="C191" s="128" t="s">
        <v>140</v>
      </c>
      <c r="D191" s="117">
        <v>13397.5</v>
      </c>
      <c r="E191" s="119">
        <v>0</v>
      </c>
      <c r="F191" s="119">
        <v>0</v>
      </c>
      <c r="G191" s="119">
        <v>0</v>
      </c>
      <c r="H191" s="118">
        <v>13397.5</v>
      </c>
    </row>
    <row r="192" spans="1:8" x14ac:dyDescent="0.35">
      <c r="A192" s="100" t="str">
        <f t="shared" si="2"/>
        <v>5</v>
      </c>
      <c r="B192" s="134">
        <v>51110002</v>
      </c>
      <c r="C192" s="128" t="s">
        <v>53</v>
      </c>
      <c r="D192" s="117">
        <v>13397.5</v>
      </c>
      <c r="E192" s="119">
        <v>0</v>
      </c>
      <c r="F192" s="119">
        <v>0</v>
      </c>
      <c r="G192" s="119">
        <v>0</v>
      </c>
      <c r="H192" s="118">
        <v>13397.5</v>
      </c>
    </row>
    <row r="193" spans="1:8" x14ac:dyDescent="0.35">
      <c r="A193" s="101">
        <f t="shared" si="2"/>
        <v>0</v>
      </c>
      <c r="B193" s="126" t="s">
        <v>295</v>
      </c>
      <c r="C193" s="123" t="s">
        <v>295</v>
      </c>
      <c r="D193" s="117">
        <v>0.02</v>
      </c>
      <c r="E193" s="117">
        <v>182653.15</v>
      </c>
      <c r="F193" s="117">
        <v>182653.17</v>
      </c>
      <c r="G193" s="117">
        <v>-0.02</v>
      </c>
      <c r="H193" s="120">
        <v>0</v>
      </c>
    </row>
    <row r="194" spans="1:8" x14ac:dyDescent="0.35">
      <c r="A194" s="101" t="str">
        <f t="shared" si="2"/>
        <v>1</v>
      </c>
      <c r="B194" s="125">
        <v>11133091</v>
      </c>
      <c r="C194" s="122" t="s">
        <v>64</v>
      </c>
      <c r="D194" s="117">
        <v>0.02</v>
      </c>
      <c r="E194" s="117">
        <v>0.02</v>
      </c>
      <c r="F194" s="117">
        <v>0.04</v>
      </c>
      <c r="G194" s="117">
        <v>-0.02</v>
      </c>
      <c r="H194" s="120">
        <v>0</v>
      </c>
    </row>
    <row r="195" spans="1:8" x14ac:dyDescent="0.35">
      <c r="A195" s="100" t="str">
        <f t="shared" si="2"/>
        <v>7</v>
      </c>
      <c r="B195" s="125">
        <v>70000000</v>
      </c>
      <c r="C195" s="122" t="s">
        <v>27</v>
      </c>
      <c r="D195" s="119">
        <v>0</v>
      </c>
      <c r="E195" s="117">
        <v>182653.13</v>
      </c>
      <c r="F195" s="117">
        <v>182653.13</v>
      </c>
      <c r="G195" s="119">
        <v>0</v>
      </c>
      <c r="H195" s="120">
        <v>0</v>
      </c>
    </row>
    <row r="196" spans="1:8" x14ac:dyDescent="0.35">
      <c r="A196" s="101">
        <f t="shared" si="2"/>
        <v>0</v>
      </c>
      <c r="B196" s="10"/>
      <c r="C196" s="11"/>
      <c r="D196" s="39"/>
      <c r="E196" s="39"/>
      <c r="F196" s="39"/>
      <c r="G196" s="39"/>
      <c r="H196" s="40"/>
    </row>
    <row r="197" spans="1:8" x14ac:dyDescent="0.35">
      <c r="A197" s="100">
        <f t="shared" ref="A197:A260" si="3">IF(LEN(B197)=8,LEFT(B197,1),0)</f>
        <v>0</v>
      </c>
      <c r="B197" s="10"/>
      <c r="C197" s="11"/>
      <c r="D197" s="39"/>
      <c r="E197" s="39"/>
      <c r="F197" s="39"/>
      <c r="G197" s="39"/>
      <c r="H197" s="40"/>
    </row>
    <row r="198" spans="1:8" x14ac:dyDescent="0.35">
      <c r="A198" s="101">
        <f t="shared" si="3"/>
        <v>0</v>
      </c>
      <c r="B198" s="10"/>
      <c r="C198" s="11"/>
      <c r="D198" s="39"/>
      <c r="E198" s="39"/>
      <c r="F198" s="39"/>
      <c r="G198" s="39"/>
      <c r="H198" s="40"/>
    </row>
    <row r="199" spans="1:8" x14ac:dyDescent="0.35">
      <c r="A199" s="101">
        <f t="shared" si="3"/>
        <v>0</v>
      </c>
      <c r="B199" s="10"/>
      <c r="C199" s="11"/>
      <c r="D199" s="39"/>
      <c r="E199" s="39"/>
      <c r="F199" s="41"/>
      <c r="G199" s="39"/>
      <c r="H199" s="40"/>
    </row>
    <row r="200" spans="1:8" x14ac:dyDescent="0.35">
      <c r="A200" s="101">
        <f t="shared" si="3"/>
        <v>0</v>
      </c>
    </row>
    <row r="201" spans="1:8" x14ac:dyDescent="0.35">
      <c r="A201" s="100">
        <f t="shared" si="3"/>
        <v>0</v>
      </c>
    </row>
    <row r="202" spans="1:8" x14ac:dyDescent="0.35">
      <c r="A202" s="101">
        <f t="shared" si="3"/>
        <v>0</v>
      </c>
    </row>
    <row r="203" spans="1:8" x14ac:dyDescent="0.35">
      <c r="A203" s="101">
        <f t="shared" si="3"/>
        <v>0</v>
      </c>
    </row>
    <row r="204" spans="1:8" x14ac:dyDescent="0.35">
      <c r="A204" s="100">
        <f t="shared" si="3"/>
        <v>0</v>
      </c>
    </row>
    <row r="205" spans="1:8" x14ac:dyDescent="0.35">
      <c r="A205" s="101">
        <f t="shared" si="3"/>
        <v>0</v>
      </c>
    </row>
    <row r="206" spans="1:8" x14ac:dyDescent="0.35">
      <c r="A206" s="100">
        <f t="shared" si="3"/>
        <v>0</v>
      </c>
    </row>
    <row r="207" spans="1:8" x14ac:dyDescent="0.35">
      <c r="A207" s="101">
        <f t="shared" si="3"/>
        <v>0</v>
      </c>
    </row>
    <row r="208" spans="1:8" x14ac:dyDescent="0.35">
      <c r="A208" s="100">
        <f t="shared" si="3"/>
        <v>0</v>
      </c>
    </row>
    <row r="209" spans="1:1" x14ac:dyDescent="0.35">
      <c r="A209" s="101">
        <f t="shared" si="3"/>
        <v>0</v>
      </c>
    </row>
    <row r="210" spans="1:1" x14ac:dyDescent="0.35">
      <c r="A210" s="101">
        <f t="shared" si="3"/>
        <v>0</v>
      </c>
    </row>
    <row r="211" spans="1:1" x14ac:dyDescent="0.35">
      <c r="A211" s="100">
        <f t="shared" si="3"/>
        <v>0</v>
      </c>
    </row>
    <row r="212" spans="1:1" x14ac:dyDescent="0.35">
      <c r="A212" s="101">
        <f t="shared" si="3"/>
        <v>0</v>
      </c>
    </row>
    <row r="213" spans="1:1" x14ac:dyDescent="0.35">
      <c r="A213" s="100">
        <f t="shared" si="3"/>
        <v>0</v>
      </c>
    </row>
    <row r="214" spans="1:1" x14ac:dyDescent="0.35">
      <c r="A214" s="101">
        <f t="shared" si="3"/>
        <v>0</v>
      </c>
    </row>
    <row r="215" spans="1:1" x14ac:dyDescent="0.35">
      <c r="A215" s="101">
        <f t="shared" si="3"/>
        <v>0</v>
      </c>
    </row>
    <row r="216" spans="1:1" x14ac:dyDescent="0.35">
      <c r="A216" s="101">
        <f t="shared" si="3"/>
        <v>0</v>
      </c>
    </row>
    <row r="217" spans="1:1" x14ac:dyDescent="0.35">
      <c r="A217" s="100">
        <f t="shared" si="3"/>
        <v>0</v>
      </c>
    </row>
    <row r="218" spans="1:1" x14ac:dyDescent="0.35">
      <c r="A218" s="101">
        <f t="shared" si="3"/>
        <v>0</v>
      </c>
    </row>
    <row r="219" spans="1:1" x14ac:dyDescent="0.35">
      <c r="A219" s="100">
        <f t="shared" si="3"/>
        <v>0</v>
      </c>
    </row>
    <row r="220" spans="1:1" x14ac:dyDescent="0.35">
      <c r="A220" s="101">
        <f t="shared" si="3"/>
        <v>0</v>
      </c>
    </row>
    <row r="221" spans="1:1" x14ac:dyDescent="0.35">
      <c r="A221" s="101">
        <f t="shared" si="3"/>
        <v>0</v>
      </c>
    </row>
    <row r="222" spans="1:1" x14ac:dyDescent="0.35">
      <c r="A222" s="100">
        <f t="shared" si="3"/>
        <v>0</v>
      </c>
    </row>
    <row r="223" spans="1:1" x14ac:dyDescent="0.35">
      <c r="A223" s="101">
        <f t="shared" si="3"/>
        <v>0</v>
      </c>
    </row>
    <row r="224" spans="1:1" x14ac:dyDescent="0.35">
      <c r="A224" s="100">
        <f t="shared" si="3"/>
        <v>0</v>
      </c>
    </row>
    <row r="225" spans="1:1" x14ac:dyDescent="0.35">
      <c r="A225" s="100">
        <f t="shared" si="3"/>
        <v>0</v>
      </c>
    </row>
    <row r="226" spans="1:1" x14ac:dyDescent="0.35">
      <c r="A226" s="100">
        <f t="shared" si="3"/>
        <v>0</v>
      </c>
    </row>
    <row r="227" spans="1:1" x14ac:dyDescent="0.35">
      <c r="A227" s="101">
        <f t="shared" si="3"/>
        <v>0</v>
      </c>
    </row>
    <row r="228" spans="1:1" x14ac:dyDescent="0.35">
      <c r="A228" s="100">
        <f t="shared" si="3"/>
        <v>0</v>
      </c>
    </row>
    <row r="229" spans="1:1" x14ac:dyDescent="0.35">
      <c r="A229" s="101">
        <f t="shared" si="3"/>
        <v>0</v>
      </c>
    </row>
    <row r="230" spans="1:1" x14ac:dyDescent="0.35">
      <c r="A230" s="100">
        <f t="shared" si="3"/>
        <v>0</v>
      </c>
    </row>
    <row r="231" spans="1:1" x14ac:dyDescent="0.35">
      <c r="A231" s="101">
        <f t="shared" si="3"/>
        <v>0</v>
      </c>
    </row>
    <row r="232" spans="1:1" x14ac:dyDescent="0.35">
      <c r="A232" s="100">
        <f t="shared" si="3"/>
        <v>0</v>
      </c>
    </row>
    <row r="233" spans="1:1" x14ac:dyDescent="0.35">
      <c r="A233" s="101">
        <f t="shared" si="3"/>
        <v>0</v>
      </c>
    </row>
    <row r="234" spans="1:1" x14ac:dyDescent="0.35">
      <c r="A234" s="101">
        <f t="shared" si="3"/>
        <v>0</v>
      </c>
    </row>
    <row r="235" spans="1:1" x14ac:dyDescent="0.35">
      <c r="A235" s="100">
        <f t="shared" si="3"/>
        <v>0</v>
      </c>
    </row>
    <row r="236" spans="1:1" x14ac:dyDescent="0.35">
      <c r="A236" s="101">
        <f t="shared" si="3"/>
        <v>0</v>
      </c>
    </row>
    <row r="237" spans="1:1" x14ac:dyDescent="0.35">
      <c r="A237" s="100">
        <f t="shared" si="3"/>
        <v>0</v>
      </c>
    </row>
    <row r="238" spans="1:1" x14ac:dyDescent="0.35">
      <c r="A238" s="101">
        <f t="shared" si="3"/>
        <v>0</v>
      </c>
    </row>
    <row r="239" spans="1:1" x14ac:dyDescent="0.35">
      <c r="A239" s="101">
        <f t="shared" si="3"/>
        <v>0</v>
      </c>
    </row>
    <row r="240" spans="1:1" x14ac:dyDescent="0.35">
      <c r="A240" s="100">
        <f t="shared" si="3"/>
        <v>0</v>
      </c>
    </row>
    <row r="241" spans="1:1" x14ac:dyDescent="0.35">
      <c r="A241" s="101">
        <f t="shared" si="3"/>
        <v>0</v>
      </c>
    </row>
    <row r="242" spans="1:1" x14ac:dyDescent="0.35">
      <c r="A242" s="101">
        <f t="shared" si="3"/>
        <v>0</v>
      </c>
    </row>
    <row r="243" spans="1:1" x14ac:dyDescent="0.35">
      <c r="A243" s="100">
        <f t="shared" si="3"/>
        <v>0</v>
      </c>
    </row>
    <row r="244" spans="1:1" x14ac:dyDescent="0.35">
      <c r="A244" s="100">
        <f t="shared" si="3"/>
        <v>0</v>
      </c>
    </row>
    <row r="245" spans="1:1" x14ac:dyDescent="0.35">
      <c r="A245" s="100">
        <f t="shared" si="3"/>
        <v>0</v>
      </c>
    </row>
    <row r="246" spans="1:1" x14ac:dyDescent="0.35">
      <c r="A246" s="101">
        <f t="shared" si="3"/>
        <v>0</v>
      </c>
    </row>
    <row r="247" spans="1:1" x14ac:dyDescent="0.35">
      <c r="A247" s="101">
        <f t="shared" si="3"/>
        <v>0</v>
      </c>
    </row>
    <row r="248" spans="1:1" x14ac:dyDescent="0.35">
      <c r="A248" s="101">
        <f t="shared" si="3"/>
        <v>0</v>
      </c>
    </row>
    <row r="249" spans="1:1" x14ac:dyDescent="0.35">
      <c r="A249" s="101">
        <f t="shared" si="3"/>
        <v>0</v>
      </c>
    </row>
    <row r="250" spans="1:1" x14ac:dyDescent="0.35">
      <c r="A250" s="100">
        <f t="shared" si="3"/>
        <v>0</v>
      </c>
    </row>
    <row r="251" spans="1:1" x14ac:dyDescent="0.35">
      <c r="A251" s="101">
        <f t="shared" si="3"/>
        <v>0</v>
      </c>
    </row>
    <row r="252" spans="1:1" x14ac:dyDescent="0.35">
      <c r="A252" s="100">
        <f t="shared" si="3"/>
        <v>0</v>
      </c>
    </row>
    <row r="253" spans="1:1" x14ac:dyDescent="0.35">
      <c r="A253" s="101">
        <f t="shared" si="3"/>
        <v>0</v>
      </c>
    </row>
    <row r="254" spans="1:1" x14ac:dyDescent="0.35">
      <c r="A254" s="100">
        <f t="shared" si="3"/>
        <v>0</v>
      </c>
    </row>
    <row r="255" spans="1:1" x14ac:dyDescent="0.35">
      <c r="A255" s="100">
        <f t="shared" si="3"/>
        <v>0</v>
      </c>
    </row>
    <row r="256" spans="1:1" x14ac:dyDescent="0.35">
      <c r="A256" s="101">
        <f t="shared" si="3"/>
        <v>0</v>
      </c>
    </row>
    <row r="257" spans="1:1" x14ac:dyDescent="0.35">
      <c r="A257" s="101">
        <f t="shared" si="3"/>
        <v>0</v>
      </c>
    </row>
    <row r="258" spans="1:1" x14ac:dyDescent="0.35">
      <c r="A258" s="100">
        <f t="shared" si="3"/>
        <v>0</v>
      </c>
    </row>
    <row r="259" spans="1:1" x14ac:dyDescent="0.35">
      <c r="A259" s="101">
        <f t="shared" si="3"/>
        <v>0</v>
      </c>
    </row>
    <row r="260" spans="1:1" x14ac:dyDescent="0.35">
      <c r="A260" s="101">
        <f t="shared" si="3"/>
        <v>0</v>
      </c>
    </row>
    <row r="261" spans="1:1" x14ac:dyDescent="0.35">
      <c r="A261" s="100">
        <f t="shared" ref="A261:A324" si="4">IF(LEN(B261)=8,LEFT(B261,1),0)</f>
        <v>0</v>
      </c>
    </row>
    <row r="262" spans="1:1" x14ac:dyDescent="0.35">
      <c r="A262" s="101">
        <f t="shared" si="4"/>
        <v>0</v>
      </c>
    </row>
    <row r="263" spans="1:1" x14ac:dyDescent="0.35">
      <c r="A263" s="101">
        <f t="shared" si="4"/>
        <v>0</v>
      </c>
    </row>
    <row r="264" spans="1:1" x14ac:dyDescent="0.35">
      <c r="A264" s="100">
        <f t="shared" si="4"/>
        <v>0</v>
      </c>
    </row>
    <row r="265" spans="1:1" x14ac:dyDescent="0.35">
      <c r="A265" s="101">
        <f t="shared" si="4"/>
        <v>0</v>
      </c>
    </row>
    <row r="266" spans="1:1" x14ac:dyDescent="0.35">
      <c r="A266" s="100">
        <f t="shared" si="4"/>
        <v>0</v>
      </c>
    </row>
    <row r="267" spans="1:1" x14ac:dyDescent="0.35">
      <c r="A267" s="101">
        <f t="shared" si="4"/>
        <v>0</v>
      </c>
    </row>
    <row r="268" spans="1:1" x14ac:dyDescent="0.35">
      <c r="A268" s="100">
        <f t="shared" si="4"/>
        <v>0</v>
      </c>
    </row>
    <row r="269" spans="1:1" x14ac:dyDescent="0.35">
      <c r="A269" s="100">
        <f t="shared" si="4"/>
        <v>0</v>
      </c>
    </row>
    <row r="270" spans="1:1" x14ac:dyDescent="0.35">
      <c r="A270" s="100">
        <f t="shared" si="4"/>
        <v>0</v>
      </c>
    </row>
    <row r="271" spans="1:1" x14ac:dyDescent="0.35">
      <c r="A271" s="100">
        <f t="shared" si="4"/>
        <v>0</v>
      </c>
    </row>
    <row r="272" spans="1:1" x14ac:dyDescent="0.35">
      <c r="A272" s="100">
        <f t="shared" si="4"/>
        <v>0</v>
      </c>
    </row>
    <row r="273" spans="1:1" x14ac:dyDescent="0.35">
      <c r="A273" s="100">
        <f t="shared" si="4"/>
        <v>0</v>
      </c>
    </row>
    <row r="274" spans="1:1" x14ac:dyDescent="0.35">
      <c r="A274" s="100">
        <f t="shared" si="4"/>
        <v>0</v>
      </c>
    </row>
    <row r="275" spans="1:1" x14ac:dyDescent="0.35">
      <c r="A275" s="100">
        <f t="shared" si="4"/>
        <v>0</v>
      </c>
    </row>
    <row r="276" spans="1:1" x14ac:dyDescent="0.35">
      <c r="A276" s="100">
        <f t="shared" si="4"/>
        <v>0</v>
      </c>
    </row>
    <row r="277" spans="1:1" x14ac:dyDescent="0.35">
      <c r="A277" s="100">
        <f t="shared" si="4"/>
        <v>0</v>
      </c>
    </row>
    <row r="278" spans="1:1" x14ac:dyDescent="0.35">
      <c r="A278" s="100">
        <f t="shared" si="4"/>
        <v>0</v>
      </c>
    </row>
    <row r="279" spans="1:1" x14ac:dyDescent="0.35">
      <c r="A279" s="100">
        <f t="shared" si="4"/>
        <v>0</v>
      </c>
    </row>
    <row r="280" spans="1:1" x14ac:dyDescent="0.35">
      <c r="A280" s="100">
        <f t="shared" si="4"/>
        <v>0</v>
      </c>
    </row>
    <row r="281" spans="1:1" x14ac:dyDescent="0.35">
      <c r="A281" s="100">
        <f t="shared" si="4"/>
        <v>0</v>
      </c>
    </row>
    <row r="282" spans="1:1" x14ac:dyDescent="0.35">
      <c r="A282" s="100">
        <f t="shared" si="4"/>
        <v>0</v>
      </c>
    </row>
    <row r="283" spans="1:1" x14ac:dyDescent="0.35">
      <c r="A283" s="100">
        <f t="shared" si="4"/>
        <v>0</v>
      </c>
    </row>
    <row r="284" spans="1:1" x14ac:dyDescent="0.35">
      <c r="A284" s="100">
        <f t="shared" si="4"/>
        <v>0</v>
      </c>
    </row>
    <row r="285" spans="1:1" x14ac:dyDescent="0.35">
      <c r="A285" s="100">
        <f t="shared" si="4"/>
        <v>0</v>
      </c>
    </row>
    <row r="286" spans="1:1" x14ac:dyDescent="0.35">
      <c r="A286" s="100">
        <f t="shared" si="4"/>
        <v>0</v>
      </c>
    </row>
    <row r="287" spans="1:1" x14ac:dyDescent="0.35">
      <c r="A287" s="100">
        <f t="shared" si="4"/>
        <v>0</v>
      </c>
    </row>
    <row r="288" spans="1:1" x14ac:dyDescent="0.35">
      <c r="A288" s="100">
        <f t="shared" si="4"/>
        <v>0</v>
      </c>
    </row>
    <row r="289" spans="1:1" x14ac:dyDescent="0.35">
      <c r="A289" s="100">
        <f t="shared" si="4"/>
        <v>0</v>
      </c>
    </row>
    <row r="290" spans="1:1" x14ac:dyDescent="0.35">
      <c r="A290" s="100">
        <f t="shared" si="4"/>
        <v>0</v>
      </c>
    </row>
    <row r="291" spans="1:1" x14ac:dyDescent="0.35">
      <c r="A291" s="100">
        <f t="shared" si="4"/>
        <v>0</v>
      </c>
    </row>
    <row r="292" spans="1:1" x14ac:dyDescent="0.35">
      <c r="A292" s="100">
        <f t="shared" si="4"/>
        <v>0</v>
      </c>
    </row>
    <row r="293" spans="1:1" x14ac:dyDescent="0.35">
      <c r="A293" s="100">
        <f t="shared" si="4"/>
        <v>0</v>
      </c>
    </row>
    <row r="294" spans="1:1" x14ac:dyDescent="0.35">
      <c r="A294" s="100">
        <f t="shared" si="4"/>
        <v>0</v>
      </c>
    </row>
    <row r="295" spans="1:1" x14ac:dyDescent="0.35">
      <c r="A295" s="100">
        <f t="shared" si="4"/>
        <v>0</v>
      </c>
    </row>
    <row r="296" spans="1:1" x14ac:dyDescent="0.35">
      <c r="A296" s="100">
        <f t="shared" si="4"/>
        <v>0</v>
      </c>
    </row>
    <row r="297" spans="1:1" x14ac:dyDescent="0.35">
      <c r="A297" s="100">
        <f t="shared" si="4"/>
        <v>0</v>
      </c>
    </row>
    <row r="298" spans="1:1" x14ac:dyDescent="0.35">
      <c r="A298" s="100">
        <f t="shared" si="4"/>
        <v>0</v>
      </c>
    </row>
    <row r="299" spans="1:1" x14ac:dyDescent="0.35">
      <c r="A299" s="100">
        <f t="shared" si="4"/>
        <v>0</v>
      </c>
    </row>
    <row r="300" spans="1:1" x14ac:dyDescent="0.35">
      <c r="A300" s="100">
        <f t="shared" si="4"/>
        <v>0</v>
      </c>
    </row>
    <row r="301" spans="1:1" x14ac:dyDescent="0.35">
      <c r="A301" s="100">
        <f t="shared" si="4"/>
        <v>0</v>
      </c>
    </row>
    <row r="302" spans="1:1" x14ac:dyDescent="0.35">
      <c r="A302" s="100">
        <f t="shared" si="4"/>
        <v>0</v>
      </c>
    </row>
    <row r="303" spans="1:1" x14ac:dyDescent="0.35">
      <c r="A303" s="100">
        <f t="shared" si="4"/>
        <v>0</v>
      </c>
    </row>
    <row r="304" spans="1:1" x14ac:dyDescent="0.35">
      <c r="A304" s="100">
        <f t="shared" si="4"/>
        <v>0</v>
      </c>
    </row>
    <row r="305" spans="1:1" x14ac:dyDescent="0.35">
      <c r="A305" s="100">
        <f t="shared" si="4"/>
        <v>0</v>
      </c>
    </row>
    <row r="306" spans="1:1" x14ac:dyDescent="0.35">
      <c r="A306" s="100">
        <f t="shared" si="4"/>
        <v>0</v>
      </c>
    </row>
    <row r="307" spans="1:1" x14ac:dyDescent="0.35">
      <c r="A307" s="100">
        <f t="shared" si="4"/>
        <v>0</v>
      </c>
    </row>
    <row r="308" spans="1:1" x14ac:dyDescent="0.35">
      <c r="A308" s="100">
        <f t="shared" si="4"/>
        <v>0</v>
      </c>
    </row>
    <row r="309" spans="1:1" x14ac:dyDescent="0.35">
      <c r="A309" s="100">
        <f t="shared" si="4"/>
        <v>0</v>
      </c>
    </row>
    <row r="310" spans="1:1" x14ac:dyDescent="0.35">
      <c r="A310" s="100">
        <f t="shared" si="4"/>
        <v>0</v>
      </c>
    </row>
    <row r="311" spans="1:1" x14ac:dyDescent="0.35">
      <c r="A311" s="100">
        <f t="shared" si="4"/>
        <v>0</v>
      </c>
    </row>
    <row r="312" spans="1:1" x14ac:dyDescent="0.35">
      <c r="A312" s="100">
        <f t="shared" si="4"/>
        <v>0</v>
      </c>
    </row>
    <row r="313" spans="1:1" x14ac:dyDescent="0.35">
      <c r="A313" s="100">
        <f t="shared" si="4"/>
        <v>0</v>
      </c>
    </row>
    <row r="314" spans="1:1" x14ac:dyDescent="0.35">
      <c r="A314" s="100">
        <f t="shared" si="4"/>
        <v>0</v>
      </c>
    </row>
    <row r="315" spans="1:1" x14ac:dyDescent="0.35">
      <c r="A315" s="100">
        <f t="shared" si="4"/>
        <v>0</v>
      </c>
    </row>
    <row r="316" spans="1:1" x14ac:dyDescent="0.35">
      <c r="A316" s="100">
        <f t="shared" si="4"/>
        <v>0</v>
      </c>
    </row>
    <row r="317" spans="1:1" x14ac:dyDescent="0.35">
      <c r="A317" s="100">
        <f t="shared" si="4"/>
        <v>0</v>
      </c>
    </row>
    <row r="318" spans="1:1" x14ac:dyDescent="0.35">
      <c r="A318" s="100">
        <f t="shared" si="4"/>
        <v>0</v>
      </c>
    </row>
    <row r="319" spans="1:1" x14ac:dyDescent="0.35">
      <c r="A319" s="100">
        <f t="shared" si="4"/>
        <v>0</v>
      </c>
    </row>
    <row r="320" spans="1:1" x14ac:dyDescent="0.35">
      <c r="A320" s="100">
        <f t="shared" si="4"/>
        <v>0</v>
      </c>
    </row>
    <row r="321" spans="1:1" x14ac:dyDescent="0.35">
      <c r="A321" s="100">
        <f t="shared" si="4"/>
        <v>0</v>
      </c>
    </row>
    <row r="322" spans="1:1" x14ac:dyDescent="0.35">
      <c r="A322" s="100">
        <f t="shared" si="4"/>
        <v>0</v>
      </c>
    </row>
    <row r="323" spans="1:1" x14ac:dyDescent="0.35">
      <c r="A323" s="100">
        <f t="shared" si="4"/>
        <v>0</v>
      </c>
    </row>
    <row r="324" spans="1:1" x14ac:dyDescent="0.35">
      <c r="A324" s="100">
        <f t="shared" si="4"/>
        <v>0</v>
      </c>
    </row>
    <row r="325" spans="1:1" x14ac:dyDescent="0.35">
      <c r="A325" s="100">
        <f t="shared" ref="A325:A388" si="5">IF(LEN(B325)=8,LEFT(B325,1),0)</f>
        <v>0</v>
      </c>
    </row>
    <row r="326" spans="1:1" x14ac:dyDescent="0.35">
      <c r="A326" s="100">
        <f t="shared" si="5"/>
        <v>0</v>
      </c>
    </row>
    <row r="327" spans="1:1" x14ac:dyDescent="0.35">
      <c r="A327" s="100">
        <f t="shared" si="5"/>
        <v>0</v>
      </c>
    </row>
    <row r="328" spans="1:1" x14ac:dyDescent="0.35">
      <c r="A328" s="100">
        <f t="shared" si="5"/>
        <v>0</v>
      </c>
    </row>
    <row r="329" spans="1:1" x14ac:dyDescent="0.35">
      <c r="A329" s="100">
        <f t="shared" si="5"/>
        <v>0</v>
      </c>
    </row>
    <row r="330" spans="1:1" x14ac:dyDescent="0.35">
      <c r="A330" s="100">
        <f t="shared" si="5"/>
        <v>0</v>
      </c>
    </row>
    <row r="331" spans="1:1" x14ac:dyDescent="0.35">
      <c r="A331" s="100">
        <f t="shared" si="5"/>
        <v>0</v>
      </c>
    </row>
    <row r="332" spans="1:1" x14ac:dyDescent="0.35">
      <c r="A332" s="100">
        <f t="shared" si="5"/>
        <v>0</v>
      </c>
    </row>
    <row r="333" spans="1:1" x14ac:dyDescent="0.35">
      <c r="A333" s="100">
        <f t="shared" si="5"/>
        <v>0</v>
      </c>
    </row>
    <row r="334" spans="1:1" x14ac:dyDescent="0.35">
      <c r="A334" s="100">
        <f t="shared" si="5"/>
        <v>0</v>
      </c>
    </row>
    <row r="335" spans="1:1" x14ac:dyDescent="0.35">
      <c r="A335" s="100">
        <f t="shared" si="5"/>
        <v>0</v>
      </c>
    </row>
    <row r="336" spans="1:1" x14ac:dyDescent="0.35">
      <c r="A336" s="100">
        <f t="shared" si="5"/>
        <v>0</v>
      </c>
    </row>
    <row r="337" spans="1:1" x14ac:dyDescent="0.35">
      <c r="A337" s="100">
        <f t="shared" si="5"/>
        <v>0</v>
      </c>
    </row>
    <row r="338" spans="1:1" x14ac:dyDescent="0.35">
      <c r="A338" s="100">
        <f t="shared" si="5"/>
        <v>0</v>
      </c>
    </row>
    <row r="339" spans="1:1" x14ac:dyDescent="0.35">
      <c r="A339" s="100">
        <f t="shared" si="5"/>
        <v>0</v>
      </c>
    </row>
    <row r="340" spans="1:1" x14ac:dyDescent="0.35">
      <c r="A340" s="100">
        <f t="shared" si="5"/>
        <v>0</v>
      </c>
    </row>
    <row r="341" spans="1:1" x14ac:dyDescent="0.35">
      <c r="A341" s="100">
        <f t="shared" si="5"/>
        <v>0</v>
      </c>
    </row>
    <row r="342" spans="1:1" x14ac:dyDescent="0.35">
      <c r="A342" s="100">
        <f t="shared" si="5"/>
        <v>0</v>
      </c>
    </row>
    <row r="343" spans="1:1" x14ac:dyDescent="0.35">
      <c r="A343" s="100">
        <f t="shared" si="5"/>
        <v>0</v>
      </c>
    </row>
    <row r="344" spans="1:1" x14ac:dyDescent="0.35">
      <c r="A344" s="100">
        <f t="shared" si="5"/>
        <v>0</v>
      </c>
    </row>
    <row r="345" spans="1:1" x14ac:dyDescent="0.35">
      <c r="A345" s="100">
        <f t="shared" si="5"/>
        <v>0</v>
      </c>
    </row>
    <row r="346" spans="1:1" x14ac:dyDescent="0.35">
      <c r="A346" s="100">
        <f t="shared" si="5"/>
        <v>0</v>
      </c>
    </row>
    <row r="347" spans="1:1" x14ac:dyDescent="0.35">
      <c r="A347" s="100">
        <f t="shared" si="5"/>
        <v>0</v>
      </c>
    </row>
    <row r="348" spans="1:1" x14ac:dyDescent="0.35">
      <c r="A348" s="100">
        <f t="shared" si="5"/>
        <v>0</v>
      </c>
    </row>
    <row r="349" spans="1:1" x14ac:dyDescent="0.35">
      <c r="A349" s="100">
        <f t="shared" si="5"/>
        <v>0</v>
      </c>
    </row>
    <row r="350" spans="1:1" x14ac:dyDescent="0.35">
      <c r="A350" s="100">
        <f t="shared" si="5"/>
        <v>0</v>
      </c>
    </row>
    <row r="351" spans="1:1" x14ac:dyDescent="0.35">
      <c r="A351" s="100">
        <f t="shared" si="5"/>
        <v>0</v>
      </c>
    </row>
    <row r="352" spans="1:1" x14ac:dyDescent="0.35">
      <c r="A352" s="100">
        <f t="shared" si="5"/>
        <v>0</v>
      </c>
    </row>
    <row r="353" spans="1:1" x14ac:dyDescent="0.35">
      <c r="A353" s="100">
        <f t="shared" si="5"/>
        <v>0</v>
      </c>
    </row>
    <row r="354" spans="1:1" x14ac:dyDescent="0.35">
      <c r="A354" s="100">
        <f t="shared" si="5"/>
        <v>0</v>
      </c>
    </row>
    <row r="355" spans="1:1" x14ac:dyDescent="0.35">
      <c r="A355" s="100">
        <f t="shared" si="5"/>
        <v>0</v>
      </c>
    </row>
    <row r="356" spans="1:1" x14ac:dyDescent="0.35">
      <c r="A356" s="100">
        <f t="shared" si="5"/>
        <v>0</v>
      </c>
    </row>
    <row r="357" spans="1:1" x14ac:dyDescent="0.35">
      <c r="A357" s="100">
        <f t="shared" si="5"/>
        <v>0</v>
      </c>
    </row>
    <row r="358" spans="1:1" x14ac:dyDescent="0.35">
      <c r="A358" s="100">
        <f t="shared" si="5"/>
        <v>0</v>
      </c>
    </row>
    <row r="359" spans="1:1" x14ac:dyDescent="0.35">
      <c r="A359" s="100">
        <f t="shared" si="5"/>
        <v>0</v>
      </c>
    </row>
    <row r="360" spans="1:1" x14ac:dyDescent="0.35">
      <c r="A360" s="100">
        <f t="shared" si="5"/>
        <v>0</v>
      </c>
    </row>
    <row r="361" spans="1:1" x14ac:dyDescent="0.35">
      <c r="A361" s="100">
        <f t="shared" si="5"/>
        <v>0</v>
      </c>
    </row>
    <row r="362" spans="1:1" x14ac:dyDescent="0.35">
      <c r="A362" s="100">
        <f t="shared" si="5"/>
        <v>0</v>
      </c>
    </row>
    <row r="363" spans="1:1" x14ac:dyDescent="0.35">
      <c r="A363" s="100">
        <f t="shared" si="5"/>
        <v>0</v>
      </c>
    </row>
    <row r="364" spans="1:1" x14ac:dyDescent="0.35">
      <c r="A364" s="100">
        <f t="shared" si="5"/>
        <v>0</v>
      </c>
    </row>
    <row r="365" spans="1:1" x14ac:dyDescent="0.35">
      <c r="A365" s="100">
        <f t="shared" si="5"/>
        <v>0</v>
      </c>
    </row>
    <row r="366" spans="1:1" x14ac:dyDescent="0.35">
      <c r="A366" s="100">
        <f t="shared" si="5"/>
        <v>0</v>
      </c>
    </row>
    <row r="367" spans="1:1" x14ac:dyDescent="0.35">
      <c r="A367" s="100">
        <f t="shared" si="5"/>
        <v>0</v>
      </c>
    </row>
    <row r="368" spans="1:1" x14ac:dyDescent="0.35">
      <c r="A368" s="100">
        <f t="shared" si="5"/>
        <v>0</v>
      </c>
    </row>
    <row r="369" spans="1:1" x14ac:dyDescent="0.35">
      <c r="A369" s="100">
        <f t="shared" si="5"/>
        <v>0</v>
      </c>
    </row>
    <row r="370" spans="1:1" x14ac:dyDescent="0.35">
      <c r="A370" s="100">
        <f t="shared" si="5"/>
        <v>0</v>
      </c>
    </row>
    <row r="371" spans="1:1" x14ac:dyDescent="0.35">
      <c r="A371" s="100">
        <f t="shared" si="5"/>
        <v>0</v>
      </c>
    </row>
    <row r="372" spans="1:1" x14ac:dyDescent="0.35">
      <c r="A372" s="100">
        <f t="shared" si="5"/>
        <v>0</v>
      </c>
    </row>
    <row r="373" spans="1:1" x14ac:dyDescent="0.35">
      <c r="A373" s="100">
        <f t="shared" si="5"/>
        <v>0</v>
      </c>
    </row>
    <row r="374" spans="1:1" x14ac:dyDescent="0.35">
      <c r="A374" s="100">
        <f t="shared" si="5"/>
        <v>0</v>
      </c>
    </row>
    <row r="375" spans="1:1" x14ac:dyDescent="0.35">
      <c r="A375" s="100">
        <f t="shared" si="5"/>
        <v>0</v>
      </c>
    </row>
    <row r="376" spans="1:1" x14ac:dyDescent="0.35">
      <c r="A376" s="100">
        <f t="shared" si="5"/>
        <v>0</v>
      </c>
    </row>
    <row r="377" spans="1:1" x14ac:dyDescent="0.35">
      <c r="A377" s="100">
        <f t="shared" si="5"/>
        <v>0</v>
      </c>
    </row>
    <row r="378" spans="1:1" x14ac:dyDescent="0.35">
      <c r="A378" s="100">
        <f t="shared" si="5"/>
        <v>0</v>
      </c>
    </row>
    <row r="379" spans="1:1" x14ac:dyDescent="0.35">
      <c r="A379" s="100">
        <f t="shared" si="5"/>
        <v>0</v>
      </c>
    </row>
    <row r="380" spans="1:1" x14ac:dyDescent="0.35">
      <c r="A380" s="100">
        <f t="shared" si="5"/>
        <v>0</v>
      </c>
    </row>
    <row r="381" spans="1:1" x14ac:dyDescent="0.35">
      <c r="A381" s="100">
        <f t="shared" si="5"/>
        <v>0</v>
      </c>
    </row>
    <row r="382" spans="1:1" x14ac:dyDescent="0.35">
      <c r="A382" s="100">
        <f t="shared" si="5"/>
        <v>0</v>
      </c>
    </row>
    <row r="383" spans="1:1" x14ac:dyDescent="0.35">
      <c r="A383" s="100">
        <f t="shared" si="5"/>
        <v>0</v>
      </c>
    </row>
    <row r="384" spans="1:1" x14ac:dyDescent="0.35">
      <c r="A384" s="100">
        <f t="shared" si="5"/>
        <v>0</v>
      </c>
    </row>
    <row r="385" spans="1:1" x14ac:dyDescent="0.35">
      <c r="A385" s="100">
        <f t="shared" si="5"/>
        <v>0</v>
      </c>
    </row>
    <row r="386" spans="1:1" x14ac:dyDescent="0.35">
      <c r="A386" s="100">
        <f t="shared" si="5"/>
        <v>0</v>
      </c>
    </row>
    <row r="387" spans="1:1" x14ac:dyDescent="0.35">
      <c r="A387" s="100">
        <f t="shared" si="5"/>
        <v>0</v>
      </c>
    </row>
    <row r="388" spans="1:1" x14ac:dyDescent="0.35">
      <c r="A388" s="100">
        <f t="shared" si="5"/>
        <v>0</v>
      </c>
    </row>
    <row r="389" spans="1:1" x14ac:dyDescent="0.35">
      <c r="A389" s="100">
        <f t="shared" ref="A389:A452" si="6">IF(LEN(B389)=8,LEFT(B389,1),0)</f>
        <v>0</v>
      </c>
    </row>
    <row r="390" spans="1:1" x14ac:dyDescent="0.35">
      <c r="A390" s="100">
        <f t="shared" si="6"/>
        <v>0</v>
      </c>
    </row>
    <row r="391" spans="1:1" x14ac:dyDescent="0.35">
      <c r="A391" s="100">
        <f t="shared" si="6"/>
        <v>0</v>
      </c>
    </row>
    <row r="392" spans="1:1" x14ac:dyDescent="0.35">
      <c r="A392" s="100">
        <f t="shared" si="6"/>
        <v>0</v>
      </c>
    </row>
    <row r="393" spans="1:1" x14ac:dyDescent="0.35">
      <c r="A393" s="100">
        <f t="shared" si="6"/>
        <v>0</v>
      </c>
    </row>
    <row r="394" spans="1:1" x14ac:dyDescent="0.35">
      <c r="A394" s="100">
        <f t="shared" si="6"/>
        <v>0</v>
      </c>
    </row>
    <row r="395" spans="1:1" x14ac:dyDescent="0.35">
      <c r="A395" s="100">
        <f t="shared" si="6"/>
        <v>0</v>
      </c>
    </row>
    <row r="396" spans="1:1" x14ac:dyDescent="0.35">
      <c r="A396" s="100">
        <f t="shared" si="6"/>
        <v>0</v>
      </c>
    </row>
    <row r="397" spans="1:1" x14ac:dyDescent="0.35">
      <c r="A397" s="100">
        <f t="shared" si="6"/>
        <v>0</v>
      </c>
    </row>
    <row r="398" spans="1:1" x14ac:dyDescent="0.35">
      <c r="A398" s="100">
        <f t="shared" si="6"/>
        <v>0</v>
      </c>
    </row>
    <row r="399" spans="1:1" x14ac:dyDescent="0.35">
      <c r="A399" s="100">
        <f t="shared" si="6"/>
        <v>0</v>
      </c>
    </row>
    <row r="400" spans="1:1" x14ac:dyDescent="0.35">
      <c r="A400" s="100">
        <f t="shared" si="6"/>
        <v>0</v>
      </c>
    </row>
    <row r="401" spans="1:1" x14ac:dyDescent="0.35">
      <c r="A401" s="100">
        <f t="shared" si="6"/>
        <v>0</v>
      </c>
    </row>
    <row r="402" spans="1:1" x14ac:dyDescent="0.35">
      <c r="A402" s="100">
        <f t="shared" si="6"/>
        <v>0</v>
      </c>
    </row>
    <row r="403" spans="1:1" x14ac:dyDescent="0.35">
      <c r="A403" s="100">
        <f t="shared" si="6"/>
        <v>0</v>
      </c>
    </row>
    <row r="404" spans="1:1" x14ac:dyDescent="0.35">
      <c r="A404" s="100">
        <f t="shared" si="6"/>
        <v>0</v>
      </c>
    </row>
    <row r="405" spans="1:1" x14ac:dyDescent="0.35">
      <c r="A405" s="100">
        <f t="shared" si="6"/>
        <v>0</v>
      </c>
    </row>
    <row r="406" spans="1:1" x14ac:dyDescent="0.35">
      <c r="A406" s="100">
        <f t="shared" si="6"/>
        <v>0</v>
      </c>
    </row>
    <row r="407" spans="1:1" x14ac:dyDescent="0.35">
      <c r="A407" s="100">
        <f t="shared" si="6"/>
        <v>0</v>
      </c>
    </row>
    <row r="408" spans="1:1" x14ac:dyDescent="0.35">
      <c r="A408" s="100">
        <f t="shared" si="6"/>
        <v>0</v>
      </c>
    </row>
    <row r="409" spans="1:1" x14ac:dyDescent="0.35">
      <c r="A409" s="100">
        <f t="shared" si="6"/>
        <v>0</v>
      </c>
    </row>
    <row r="410" spans="1:1" x14ac:dyDescent="0.35">
      <c r="A410" s="100">
        <f t="shared" si="6"/>
        <v>0</v>
      </c>
    </row>
    <row r="411" spans="1:1" x14ac:dyDescent="0.35">
      <c r="A411" s="100">
        <f t="shared" si="6"/>
        <v>0</v>
      </c>
    </row>
    <row r="412" spans="1:1" x14ac:dyDescent="0.35">
      <c r="A412" s="100">
        <f t="shared" si="6"/>
        <v>0</v>
      </c>
    </row>
    <row r="413" spans="1:1" x14ac:dyDescent="0.35">
      <c r="A413" s="100">
        <f t="shared" si="6"/>
        <v>0</v>
      </c>
    </row>
    <row r="414" spans="1:1" x14ac:dyDescent="0.35">
      <c r="A414" s="100">
        <f t="shared" si="6"/>
        <v>0</v>
      </c>
    </row>
    <row r="415" spans="1:1" x14ac:dyDescent="0.35">
      <c r="A415" s="100">
        <f t="shared" si="6"/>
        <v>0</v>
      </c>
    </row>
    <row r="416" spans="1:1" x14ac:dyDescent="0.35">
      <c r="A416" s="100">
        <f t="shared" si="6"/>
        <v>0</v>
      </c>
    </row>
    <row r="417" spans="1:1" x14ac:dyDescent="0.35">
      <c r="A417" s="100">
        <f t="shared" si="6"/>
        <v>0</v>
      </c>
    </row>
    <row r="418" spans="1:1" x14ac:dyDescent="0.35">
      <c r="A418" s="100">
        <f t="shared" si="6"/>
        <v>0</v>
      </c>
    </row>
    <row r="419" spans="1:1" x14ac:dyDescent="0.35">
      <c r="A419" s="100">
        <f t="shared" si="6"/>
        <v>0</v>
      </c>
    </row>
    <row r="420" spans="1:1" x14ac:dyDescent="0.35">
      <c r="A420" s="100">
        <f t="shared" si="6"/>
        <v>0</v>
      </c>
    </row>
    <row r="421" spans="1:1" x14ac:dyDescent="0.35">
      <c r="A421" s="100">
        <f t="shared" si="6"/>
        <v>0</v>
      </c>
    </row>
    <row r="422" spans="1:1" x14ac:dyDescent="0.35">
      <c r="A422" s="100">
        <f t="shared" si="6"/>
        <v>0</v>
      </c>
    </row>
    <row r="423" spans="1:1" x14ac:dyDescent="0.35">
      <c r="A423" s="100">
        <f t="shared" si="6"/>
        <v>0</v>
      </c>
    </row>
    <row r="424" spans="1:1" x14ac:dyDescent="0.35">
      <c r="A424" s="100">
        <f t="shared" si="6"/>
        <v>0</v>
      </c>
    </row>
    <row r="425" spans="1:1" x14ac:dyDescent="0.35">
      <c r="A425" s="100">
        <f t="shared" si="6"/>
        <v>0</v>
      </c>
    </row>
    <row r="426" spans="1:1" x14ac:dyDescent="0.35">
      <c r="A426" s="100">
        <f t="shared" si="6"/>
        <v>0</v>
      </c>
    </row>
    <row r="427" spans="1:1" x14ac:dyDescent="0.35">
      <c r="A427" s="100">
        <f t="shared" si="6"/>
        <v>0</v>
      </c>
    </row>
    <row r="428" spans="1:1" x14ac:dyDescent="0.35">
      <c r="A428" s="100">
        <f t="shared" si="6"/>
        <v>0</v>
      </c>
    </row>
    <row r="429" spans="1:1" x14ac:dyDescent="0.35">
      <c r="A429" s="100">
        <f t="shared" si="6"/>
        <v>0</v>
      </c>
    </row>
    <row r="430" spans="1:1" x14ac:dyDescent="0.35">
      <c r="A430" s="100">
        <f t="shared" si="6"/>
        <v>0</v>
      </c>
    </row>
    <row r="431" spans="1:1" x14ac:dyDescent="0.35">
      <c r="A431" s="100">
        <f t="shared" si="6"/>
        <v>0</v>
      </c>
    </row>
    <row r="432" spans="1:1" x14ac:dyDescent="0.35">
      <c r="A432" s="100">
        <f t="shared" si="6"/>
        <v>0</v>
      </c>
    </row>
    <row r="433" spans="1:1" x14ac:dyDescent="0.35">
      <c r="A433" s="100">
        <f t="shared" si="6"/>
        <v>0</v>
      </c>
    </row>
    <row r="434" spans="1:1" x14ac:dyDescent="0.35">
      <c r="A434" s="100">
        <f t="shared" si="6"/>
        <v>0</v>
      </c>
    </row>
    <row r="435" spans="1:1" x14ac:dyDescent="0.35">
      <c r="A435" s="100">
        <f t="shared" si="6"/>
        <v>0</v>
      </c>
    </row>
    <row r="436" spans="1:1" x14ac:dyDescent="0.35">
      <c r="A436" s="100">
        <f t="shared" si="6"/>
        <v>0</v>
      </c>
    </row>
    <row r="437" spans="1:1" x14ac:dyDescent="0.35">
      <c r="A437" s="100">
        <f t="shared" si="6"/>
        <v>0</v>
      </c>
    </row>
    <row r="438" spans="1:1" x14ac:dyDescent="0.35">
      <c r="A438" s="100">
        <f t="shared" si="6"/>
        <v>0</v>
      </c>
    </row>
    <row r="439" spans="1:1" x14ac:dyDescent="0.35">
      <c r="A439" s="100">
        <f t="shared" si="6"/>
        <v>0</v>
      </c>
    </row>
    <row r="440" spans="1:1" x14ac:dyDescent="0.35">
      <c r="A440" s="100">
        <f t="shared" si="6"/>
        <v>0</v>
      </c>
    </row>
    <row r="441" spans="1:1" x14ac:dyDescent="0.35">
      <c r="A441" s="100">
        <f t="shared" si="6"/>
        <v>0</v>
      </c>
    </row>
    <row r="442" spans="1:1" x14ac:dyDescent="0.35">
      <c r="A442" s="100">
        <f t="shared" si="6"/>
        <v>0</v>
      </c>
    </row>
    <row r="443" spans="1:1" x14ac:dyDescent="0.35">
      <c r="A443" s="100">
        <f t="shared" si="6"/>
        <v>0</v>
      </c>
    </row>
    <row r="444" spans="1:1" x14ac:dyDescent="0.35">
      <c r="A444" s="100">
        <f t="shared" si="6"/>
        <v>0</v>
      </c>
    </row>
    <row r="445" spans="1:1" x14ac:dyDescent="0.35">
      <c r="A445" s="100">
        <f t="shared" si="6"/>
        <v>0</v>
      </c>
    </row>
    <row r="446" spans="1:1" x14ac:dyDescent="0.35">
      <c r="A446" s="100">
        <f t="shared" si="6"/>
        <v>0</v>
      </c>
    </row>
    <row r="447" spans="1:1" x14ac:dyDescent="0.35">
      <c r="A447" s="100">
        <f t="shared" si="6"/>
        <v>0</v>
      </c>
    </row>
    <row r="448" spans="1:1" x14ac:dyDescent="0.35">
      <c r="A448" s="100">
        <f t="shared" si="6"/>
        <v>0</v>
      </c>
    </row>
    <row r="449" spans="1:1" x14ac:dyDescent="0.35">
      <c r="A449" s="100">
        <f t="shared" si="6"/>
        <v>0</v>
      </c>
    </row>
    <row r="450" spans="1:1" x14ac:dyDescent="0.35">
      <c r="A450" s="100">
        <f t="shared" si="6"/>
        <v>0</v>
      </c>
    </row>
    <row r="451" spans="1:1" x14ac:dyDescent="0.35">
      <c r="A451" s="100">
        <f t="shared" si="6"/>
        <v>0</v>
      </c>
    </row>
    <row r="452" spans="1:1" x14ac:dyDescent="0.35">
      <c r="A452" s="100">
        <f t="shared" si="6"/>
        <v>0</v>
      </c>
    </row>
    <row r="453" spans="1:1" x14ac:dyDescent="0.35">
      <c r="A453" s="100">
        <f t="shared" ref="A453:A516" si="7">IF(LEN(B453)=8,LEFT(B453,1),0)</f>
        <v>0</v>
      </c>
    </row>
    <row r="454" spans="1:1" x14ac:dyDescent="0.35">
      <c r="A454" s="100">
        <f t="shared" si="7"/>
        <v>0</v>
      </c>
    </row>
    <row r="455" spans="1:1" x14ac:dyDescent="0.35">
      <c r="A455" s="100">
        <f t="shared" si="7"/>
        <v>0</v>
      </c>
    </row>
    <row r="456" spans="1:1" x14ac:dyDescent="0.35">
      <c r="A456" s="100">
        <f t="shared" si="7"/>
        <v>0</v>
      </c>
    </row>
    <row r="457" spans="1:1" x14ac:dyDescent="0.35">
      <c r="A457" s="100">
        <f t="shared" si="7"/>
        <v>0</v>
      </c>
    </row>
    <row r="458" spans="1:1" x14ac:dyDescent="0.35">
      <c r="A458" s="100">
        <f t="shared" si="7"/>
        <v>0</v>
      </c>
    </row>
    <row r="459" spans="1:1" x14ac:dyDescent="0.35">
      <c r="A459" s="100">
        <f t="shared" si="7"/>
        <v>0</v>
      </c>
    </row>
    <row r="460" spans="1:1" x14ac:dyDescent="0.35">
      <c r="A460" s="100">
        <f t="shared" si="7"/>
        <v>0</v>
      </c>
    </row>
    <row r="461" spans="1:1" x14ac:dyDescent="0.35">
      <c r="A461" s="100">
        <f t="shared" si="7"/>
        <v>0</v>
      </c>
    </row>
    <row r="462" spans="1:1" x14ac:dyDescent="0.35">
      <c r="A462" s="100">
        <f t="shared" si="7"/>
        <v>0</v>
      </c>
    </row>
    <row r="463" spans="1:1" x14ac:dyDescent="0.35">
      <c r="A463" s="100">
        <f t="shared" si="7"/>
        <v>0</v>
      </c>
    </row>
    <row r="464" spans="1:1" x14ac:dyDescent="0.35">
      <c r="A464" s="100">
        <f t="shared" si="7"/>
        <v>0</v>
      </c>
    </row>
    <row r="465" spans="1:1" x14ac:dyDescent="0.35">
      <c r="A465" s="100">
        <f t="shared" si="7"/>
        <v>0</v>
      </c>
    </row>
    <row r="466" spans="1:1" x14ac:dyDescent="0.35">
      <c r="A466" s="100">
        <f t="shared" si="7"/>
        <v>0</v>
      </c>
    </row>
    <row r="467" spans="1:1" x14ac:dyDescent="0.35">
      <c r="A467" s="100">
        <f t="shared" si="7"/>
        <v>0</v>
      </c>
    </row>
    <row r="468" spans="1:1" x14ac:dyDescent="0.35">
      <c r="A468" s="100">
        <f t="shared" si="7"/>
        <v>0</v>
      </c>
    </row>
    <row r="469" spans="1:1" x14ac:dyDescent="0.35">
      <c r="A469" s="100">
        <f t="shared" si="7"/>
        <v>0</v>
      </c>
    </row>
    <row r="470" spans="1:1" x14ac:dyDescent="0.35">
      <c r="A470" s="100">
        <f t="shared" si="7"/>
        <v>0</v>
      </c>
    </row>
    <row r="471" spans="1:1" x14ac:dyDescent="0.35">
      <c r="A471" s="100">
        <f t="shared" si="7"/>
        <v>0</v>
      </c>
    </row>
    <row r="472" spans="1:1" x14ac:dyDescent="0.35">
      <c r="A472" s="100">
        <f t="shared" si="7"/>
        <v>0</v>
      </c>
    </row>
    <row r="473" spans="1:1" x14ac:dyDescent="0.35">
      <c r="A473" s="100">
        <f t="shared" si="7"/>
        <v>0</v>
      </c>
    </row>
    <row r="474" spans="1:1" x14ac:dyDescent="0.35">
      <c r="A474" s="100">
        <f t="shared" si="7"/>
        <v>0</v>
      </c>
    </row>
    <row r="475" spans="1:1" x14ac:dyDescent="0.35">
      <c r="A475" s="100">
        <f t="shared" si="7"/>
        <v>0</v>
      </c>
    </row>
    <row r="476" spans="1:1" x14ac:dyDescent="0.35">
      <c r="A476" s="100">
        <f t="shared" si="7"/>
        <v>0</v>
      </c>
    </row>
    <row r="477" spans="1:1" x14ac:dyDescent="0.35">
      <c r="A477" s="100">
        <f t="shared" si="7"/>
        <v>0</v>
      </c>
    </row>
    <row r="478" spans="1:1" x14ac:dyDescent="0.35">
      <c r="A478" s="100">
        <f t="shared" si="7"/>
        <v>0</v>
      </c>
    </row>
    <row r="479" spans="1:1" x14ac:dyDescent="0.35">
      <c r="A479" s="100">
        <f t="shared" si="7"/>
        <v>0</v>
      </c>
    </row>
    <row r="480" spans="1:1" x14ac:dyDescent="0.35">
      <c r="A480" s="100">
        <f t="shared" si="7"/>
        <v>0</v>
      </c>
    </row>
    <row r="481" spans="1:1" x14ac:dyDescent="0.35">
      <c r="A481" s="100">
        <f t="shared" si="7"/>
        <v>0</v>
      </c>
    </row>
    <row r="482" spans="1:1" x14ac:dyDescent="0.35">
      <c r="A482" s="100">
        <f t="shared" si="7"/>
        <v>0</v>
      </c>
    </row>
    <row r="483" spans="1:1" x14ac:dyDescent="0.35">
      <c r="A483" s="100">
        <f t="shared" si="7"/>
        <v>0</v>
      </c>
    </row>
    <row r="484" spans="1:1" x14ac:dyDescent="0.35">
      <c r="A484" s="100">
        <f t="shared" si="7"/>
        <v>0</v>
      </c>
    </row>
    <row r="485" spans="1:1" x14ac:dyDescent="0.35">
      <c r="A485" s="100">
        <f t="shared" si="7"/>
        <v>0</v>
      </c>
    </row>
    <row r="486" spans="1:1" x14ac:dyDescent="0.35">
      <c r="A486" s="100">
        <f t="shared" si="7"/>
        <v>0</v>
      </c>
    </row>
    <row r="487" spans="1:1" x14ac:dyDescent="0.35">
      <c r="A487" s="100">
        <f t="shared" si="7"/>
        <v>0</v>
      </c>
    </row>
    <row r="488" spans="1:1" x14ac:dyDescent="0.35">
      <c r="A488" s="100">
        <f t="shared" si="7"/>
        <v>0</v>
      </c>
    </row>
    <row r="489" spans="1:1" x14ac:dyDescent="0.35">
      <c r="A489" s="100">
        <f t="shared" si="7"/>
        <v>0</v>
      </c>
    </row>
    <row r="490" spans="1:1" x14ac:dyDescent="0.35">
      <c r="A490" s="100">
        <f t="shared" si="7"/>
        <v>0</v>
      </c>
    </row>
    <row r="491" spans="1:1" x14ac:dyDescent="0.35">
      <c r="A491" s="100">
        <f t="shared" si="7"/>
        <v>0</v>
      </c>
    </row>
    <row r="492" spans="1:1" x14ac:dyDescent="0.35">
      <c r="A492" s="100">
        <f t="shared" si="7"/>
        <v>0</v>
      </c>
    </row>
    <row r="493" spans="1:1" x14ac:dyDescent="0.35">
      <c r="A493" s="100">
        <f t="shared" si="7"/>
        <v>0</v>
      </c>
    </row>
    <row r="494" spans="1:1" x14ac:dyDescent="0.35">
      <c r="A494" s="100">
        <f t="shared" si="7"/>
        <v>0</v>
      </c>
    </row>
    <row r="495" spans="1:1" x14ac:dyDescent="0.35">
      <c r="A495" s="100">
        <f t="shared" si="7"/>
        <v>0</v>
      </c>
    </row>
    <row r="496" spans="1:1" x14ac:dyDescent="0.35">
      <c r="A496" s="100">
        <f t="shared" si="7"/>
        <v>0</v>
      </c>
    </row>
    <row r="497" spans="1:1" x14ac:dyDescent="0.35">
      <c r="A497" s="100">
        <f t="shared" si="7"/>
        <v>0</v>
      </c>
    </row>
    <row r="498" spans="1:1" x14ac:dyDescent="0.35">
      <c r="A498" s="100">
        <f t="shared" si="7"/>
        <v>0</v>
      </c>
    </row>
    <row r="499" spans="1:1" x14ac:dyDescent="0.35">
      <c r="A499" s="100">
        <f t="shared" si="7"/>
        <v>0</v>
      </c>
    </row>
    <row r="500" spans="1:1" x14ac:dyDescent="0.35">
      <c r="A500" s="100">
        <f t="shared" si="7"/>
        <v>0</v>
      </c>
    </row>
    <row r="501" spans="1:1" x14ac:dyDescent="0.35">
      <c r="A501" s="100">
        <f t="shared" si="7"/>
        <v>0</v>
      </c>
    </row>
    <row r="502" spans="1:1" x14ac:dyDescent="0.35">
      <c r="A502" s="100">
        <f t="shared" si="7"/>
        <v>0</v>
      </c>
    </row>
    <row r="503" spans="1:1" x14ac:dyDescent="0.35">
      <c r="A503" s="100">
        <f t="shared" si="7"/>
        <v>0</v>
      </c>
    </row>
    <row r="504" spans="1:1" x14ac:dyDescent="0.35">
      <c r="A504" s="100">
        <f t="shared" si="7"/>
        <v>0</v>
      </c>
    </row>
    <row r="505" spans="1:1" x14ac:dyDescent="0.35">
      <c r="A505" s="100">
        <f t="shared" si="7"/>
        <v>0</v>
      </c>
    </row>
    <row r="506" spans="1:1" x14ac:dyDescent="0.35">
      <c r="A506" s="100">
        <f t="shared" si="7"/>
        <v>0</v>
      </c>
    </row>
    <row r="507" spans="1:1" x14ac:dyDescent="0.35">
      <c r="A507" s="100">
        <f t="shared" si="7"/>
        <v>0</v>
      </c>
    </row>
    <row r="508" spans="1:1" x14ac:dyDescent="0.35">
      <c r="A508" s="100">
        <f t="shared" si="7"/>
        <v>0</v>
      </c>
    </row>
    <row r="509" spans="1:1" x14ac:dyDescent="0.35">
      <c r="A509" s="100">
        <f t="shared" si="7"/>
        <v>0</v>
      </c>
    </row>
    <row r="510" spans="1:1" x14ac:dyDescent="0.35">
      <c r="A510" s="100">
        <f t="shared" si="7"/>
        <v>0</v>
      </c>
    </row>
    <row r="511" spans="1:1" x14ac:dyDescent="0.35">
      <c r="A511" s="100">
        <f t="shared" si="7"/>
        <v>0</v>
      </c>
    </row>
    <row r="512" spans="1:1" x14ac:dyDescent="0.35">
      <c r="A512" s="100">
        <f t="shared" si="7"/>
        <v>0</v>
      </c>
    </row>
    <row r="513" spans="1:1" x14ac:dyDescent="0.35">
      <c r="A513" s="100">
        <f t="shared" si="7"/>
        <v>0</v>
      </c>
    </row>
    <row r="514" spans="1:1" x14ac:dyDescent="0.35">
      <c r="A514" s="100">
        <f t="shared" si="7"/>
        <v>0</v>
      </c>
    </row>
    <row r="515" spans="1:1" x14ac:dyDescent="0.35">
      <c r="A515" s="100">
        <f t="shared" si="7"/>
        <v>0</v>
      </c>
    </row>
    <row r="516" spans="1:1" x14ac:dyDescent="0.35">
      <c r="A516" s="100">
        <f t="shared" si="7"/>
        <v>0</v>
      </c>
    </row>
    <row r="517" spans="1:1" x14ac:dyDescent="0.35">
      <c r="A517" s="100">
        <f t="shared" ref="A517:A580" si="8">IF(LEN(B517)=8,LEFT(B517,1),0)</f>
        <v>0</v>
      </c>
    </row>
    <row r="518" spans="1:1" x14ac:dyDescent="0.35">
      <c r="A518" s="100">
        <f t="shared" si="8"/>
        <v>0</v>
      </c>
    </row>
    <row r="519" spans="1:1" x14ac:dyDescent="0.35">
      <c r="A519" s="100">
        <f t="shared" si="8"/>
        <v>0</v>
      </c>
    </row>
    <row r="520" spans="1:1" x14ac:dyDescent="0.35">
      <c r="A520" s="100">
        <f t="shared" si="8"/>
        <v>0</v>
      </c>
    </row>
    <row r="521" spans="1:1" x14ac:dyDescent="0.35">
      <c r="A521" s="100">
        <f t="shared" si="8"/>
        <v>0</v>
      </c>
    </row>
    <row r="522" spans="1:1" x14ac:dyDescent="0.35">
      <c r="A522" s="100">
        <f t="shared" si="8"/>
        <v>0</v>
      </c>
    </row>
    <row r="523" spans="1:1" x14ac:dyDescent="0.35">
      <c r="A523" s="100">
        <f t="shared" si="8"/>
        <v>0</v>
      </c>
    </row>
    <row r="524" spans="1:1" x14ac:dyDescent="0.35">
      <c r="A524" s="100">
        <f t="shared" si="8"/>
        <v>0</v>
      </c>
    </row>
    <row r="525" spans="1:1" x14ac:dyDescent="0.35">
      <c r="A525" s="100">
        <f t="shared" si="8"/>
        <v>0</v>
      </c>
    </row>
    <row r="526" spans="1:1" x14ac:dyDescent="0.35">
      <c r="A526" s="100">
        <f t="shared" si="8"/>
        <v>0</v>
      </c>
    </row>
    <row r="527" spans="1:1" x14ac:dyDescent="0.35">
      <c r="A527" s="100">
        <f t="shared" si="8"/>
        <v>0</v>
      </c>
    </row>
    <row r="528" spans="1:1" x14ac:dyDescent="0.35">
      <c r="A528" s="100">
        <f t="shared" si="8"/>
        <v>0</v>
      </c>
    </row>
    <row r="529" spans="1:1" x14ac:dyDescent="0.35">
      <c r="A529" s="100">
        <f t="shared" si="8"/>
        <v>0</v>
      </c>
    </row>
    <row r="530" spans="1:1" x14ac:dyDescent="0.35">
      <c r="A530" s="100">
        <f t="shared" si="8"/>
        <v>0</v>
      </c>
    </row>
    <row r="531" spans="1:1" x14ac:dyDescent="0.35">
      <c r="A531" s="100">
        <f t="shared" si="8"/>
        <v>0</v>
      </c>
    </row>
    <row r="532" spans="1:1" x14ac:dyDescent="0.35">
      <c r="A532" s="100">
        <f t="shared" si="8"/>
        <v>0</v>
      </c>
    </row>
    <row r="533" spans="1:1" x14ac:dyDescent="0.35">
      <c r="A533" s="100">
        <f t="shared" si="8"/>
        <v>0</v>
      </c>
    </row>
    <row r="534" spans="1:1" x14ac:dyDescent="0.35">
      <c r="A534" s="100">
        <f t="shared" si="8"/>
        <v>0</v>
      </c>
    </row>
    <row r="535" spans="1:1" x14ac:dyDescent="0.35">
      <c r="A535" s="100">
        <f t="shared" si="8"/>
        <v>0</v>
      </c>
    </row>
    <row r="536" spans="1:1" x14ac:dyDescent="0.35">
      <c r="A536" s="100">
        <f t="shared" si="8"/>
        <v>0</v>
      </c>
    </row>
    <row r="537" spans="1:1" x14ac:dyDescent="0.35">
      <c r="A537" s="100">
        <f t="shared" si="8"/>
        <v>0</v>
      </c>
    </row>
    <row r="538" spans="1:1" x14ac:dyDescent="0.35">
      <c r="A538" s="100">
        <f t="shared" si="8"/>
        <v>0</v>
      </c>
    </row>
    <row r="539" spans="1:1" x14ac:dyDescent="0.35">
      <c r="A539" s="100">
        <f t="shared" si="8"/>
        <v>0</v>
      </c>
    </row>
    <row r="540" spans="1:1" x14ac:dyDescent="0.35">
      <c r="A540" s="100">
        <f t="shared" si="8"/>
        <v>0</v>
      </c>
    </row>
    <row r="541" spans="1:1" x14ac:dyDescent="0.35">
      <c r="A541" s="100">
        <f t="shared" si="8"/>
        <v>0</v>
      </c>
    </row>
    <row r="542" spans="1:1" x14ac:dyDescent="0.35">
      <c r="A542" s="100">
        <f t="shared" si="8"/>
        <v>0</v>
      </c>
    </row>
    <row r="543" spans="1:1" x14ac:dyDescent="0.35">
      <c r="A543" s="100">
        <f t="shared" si="8"/>
        <v>0</v>
      </c>
    </row>
    <row r="544" spans="1:1" x14ac:dyDescent="0.35">
      <c r="A544" s="100">
        <f t="shared" si="8"/>
        <v>0</v>
      </c>
    </row>
    <row r="545" spans="1:1" x14ac:dyDescent="0.35">
      <c r="A545" s="100">
        <f t="shared" si="8"/>
        <v>0</v>
      </c>
    </row>
    <row r="546" spans="1:1" x14ac:dyDescent="0.35">
      <c r="A546" s="100">
        <f t="shared" si="8"/>
        <v>0</v>
      </c>
    </row>
    <row r="547" spans="1:1" x14ac:dyDescent="0.35">
      <c r="A547" s="100">
        <f t="shared" si="8"/>
        <v>0</v>
      </c>
    </row>
    <row r="548" spans="1:1" x14ac:dyDescent="0.35">
      <c r="A548" s="100">
        <f t="shared" si="8"/>
        <v>0</v>
      </c>
    </row>
    <row r="549" spans="1:1" x14ac:dyDescent="0.35">
      <c r="A549" s="100">
        <f t="shared" si="8"/>
        <v>0</v>
      </c>
    </row>
    <row r="550" spans="1:1" x14ac:dyDescent="0.35">
      <c r="A550" s="100">
        <f t="shared" si="8"/>
        <v>0</v>
      </c>
    </row>
    <row r="551" spans="1:1" x14ac:dyDescent="0.35">
      <c r="A551" s="100">
        <f t="shared" si="8"/>
        <v>0</v>
      </c>
    </row>
    <row r="552" spans="1:1" x14ac:dyDescent="0.35">
      <c r="A552" s="100">
        <f t="shared" si="8"/>
        <v>0</v>
      </c>
    </row>
    <row r="553" spans="1:1" x14ac:dyDescent="0.35">
      <c r="A553" s="100">
        <f t="shared" si="8"/>
        <v>0</v>
      </c>
    </row>
    <row r="554" spans="1:1" x14ac:dyDescent="0.35">
      <c r="A554" s="100">
        <f t="shared" si="8"/>
        <v>0</v>
      </c>
    </row>
    <row r="555" spans="1:1" x14ac:dyDescent="0.35">
      <c r="A555" s="100">
        <f t="shared" si="8"/>
        <v>0</v>
      </c>
    </row>
    <row r="556" spans="1:1" x14ac:dyDescent="0.35">
      <c r="A556" s="100">
        <f t="shared" si="8"/>
        <v>0</v>
      </c>
    </row>
    <row r="557" spans="1:1" x14ac:dyDescent="0.35">
      <c r="A557" s="100">
        <f t="shared" si="8"/>
        <v>0</v>
      </c>
    </row>
    <row r="558" spans="1:1" x14ac:dyDescent="0.35">
      <c r="A558" s="100">
        <f t="shared" si="8"/>
        <v>0</v>
      </c>
    </row>
    <row r="559" spans="1:1" x14ac:dyDescent="0.35">
      <c r="A559" s="100">
        <f t="shared" si="8"/>
        <v>0</v>
      </c>
    </row>
    <row r="560" spans="1:1" x14ac:dyDescent="0.35">
      <c r="A560" s="100">
        <f t="shared" si="8"/>
        <v>0</v>
      </c>
    </row>
    <row r="561" spans="1:1" x14ac:dyDescent="0.35">
      <c r="A561" s="100">
        <f t="shared" si="8"/>
        <v>0</v>
      </c>
    </row>
    <row r="562" spans="1:1" x14ac:dyDescent="0.35">
      <c r="A562" s="100">
        <f t="shared" si="8"/>
        <v>0</v>
      </c>
    </row>
    <row r="563" spans="1:1" x14ac:dyDescent="0.35">
      <c r="A563" s="100">
        <f t="shared" si="8"/>
        <v>0</v>
      </c>
    </row>
    <row r="564" spans="1:1" x14ac:dyDescent="0.35">
      <c r="A564" s="100">
        <f t="shared" si="8"/>
        <v>0</v>
      </c>
    </row>
    <row r="565" spans="1:1" x14ac:dyDescent="0.35">
      <c r="A565" s="100">
        <f t="shared" si="8"/>
        <v>0</v>
      </c>
    </row>
    <row r="566" spans="1:1" x14ac:dyDescent="0.35">
      <c r="A566" s="100">
        <f t="shared" si="8"/>
        <v>0</v>
      </c>
    </row>
    <row r="567" spans="1:1" x14ac:dyDescent="0.35">
      <c r="A567" s="100">
        <f t="shared" si="8"/>
        <v>0</v>
      </c>
    </row>
    <row r="568" spans="1:1" x14ac:dyDescent="0.35">
      <c r="A568" s="100">
        <f t="shared" si="8"/>
        <v>0</v>
      </c>
    </row>
    <row r="569" spans="1:1" x14ac:dyDescent="0.35">
      <c r="A569" s="100">
        <f t="shared" si="8"/>
        <v>0</v>
      </c>
    </row>
    <row r="570" spans="1:1" x14ac:dyDescent="0.35">
      <c r="A570" s="100">
        <f t="shared" si="8"/>
        <v>0</v>
      </c>
    </row>
    <row r="571" spans="1:1" x14ac:dyDescent="0.35">
      <c r="A571" s="100">
        <f t="shared" si="8"/>
        <v>0</v>
      </c>
    </row>
    <row r="572" spans="1:1" x14ac:dyDescent="0.35">
      <c r="A572" s="100">
        <f t="shared" si="8"/>
        <v>0</v>
      </c>
    </row>
    <row r="573" spans="1:1" x14ac:dyDescent="0.35">
      <c r="A573" s="100">
        <f t="shared" si="8"/>
        <v>0</v>
      </c>
    </row>
    <row r="574" spans="1:1" x14ac:dyDescent="0.35">
      <c r="A574" s="100">
        <f t="shared" si="8"/>
        <v>0</v>
      </c>
    </row>
    <row r="575" spans="1:1" x14ac:dyDescent="0.35">
      <c r="A575" s="100">
        <f t="shared" si="8"/>
        <v>0</v>
      </c>
    </row>
    <row r="576" spans="1:1" x14ac:dyDescent="0.35">
      <c r="A576" s="100">
        <f t="shared" si="8"/>
        <v>0</v>
      </c>
    </row>
    <row r="577" spans="1:1" x14ac:dyDescent="0.35">
      <c r="A577" s="100">
        <f t="shared" si="8"/>
        <v>0</v>
      </c>
    </row>
    <row r="578" spans="1:1" x14ac:dyDescent="0.35">
      <c r="A578" s="100">
        <f t="shared" si="8"/>
        <v>0</v>
      </c>
    </row>
    <row r="579" spans="1:1" x14ac:dyDescent="0.35">
      <c r="A579" s="100">
        <f t="shared" si="8"/>
        <v>0</v>
      </c>
    </row>
    <row r="580" spans="1:1" x14ac:dyDescent="0.35">
      <c r="A580" s="100">
        <f t="shared" si="8"/>
        <v>0</v>
      </c>
    </row>
    <row r="581" spans="1:1" x14ac:dyDescent="0.35">
      <c r="A581" s="100">
        <f t="shared" ref="A581:A625" si="9">IF(LEN(B581)=8,LEFT(B581,1),0)</f>
        <v>0</v>
      </c>
    </row>
    <row r="582" spans="1:1" x14ac:dyDescent="0.35">
      <c r="A582" s="100">
        <f t="shared" si="9"/>
        <v>0</v>
      </c>
    </row>
    <row r="583" spans="1:1" x14ac:dyDescent="0.35">
      <c r="A583" s="100">
        <f t="shared" si="9"/>
        <v>0</v>
      </c>
    </row>
    <row r="584" spans="1:1" x14ac:dyDescent="0.35">
      <c r="A584" s="100">
        <f t="shared" si="9"/>
        <v>0</v>
      </c>
    </row>
    <row r="585" spans="1:1" x14ac:dyDescent="0.35">
      <c r="A585" s="100">
        <f t="shared" si="9"/>
        <v>0</v>
      </c>
    </row>
    <row r="586" spans="1:1" x14ac:dyDescent="0.35">
      <c r="A586" s="100">
        <f t="shared" si="9"/>
        <v>0</v>
      </c>
    </row>
    <row r="587" spans="1:1" x14ac:dyDescent="0.35">
      <c r="A587" s="100">
        <f t="shared" si="9"/>
        <v>0</v>
      </c>
    </row>
    <row r="588" spans="1:1" x14ac:dyDescent="0.35">
      <c r="A588" s="100">
        <f t="shared" si="9"/>
        <v>0</v>
      </c>
    </row>
    <row r="589" spans="1:1" x14ac:dyDescent="0.35">
      <c r="A589" s="100">
        <f t="shared" si="9"/>
        <v>0</v>
      </c>
    </row>
    <row r="590" spans="1:1" x14ac:dyDescent="0.35">
      <c r="A590" s="100">
        <f t="shared" si="9"/>
        <v>0</v>
      </c>
    </row>
    <row r="591" spans="1:1" x14ac:dyDescent="0.35">
      <c r="A591" s="100">
        <f t="shared" si="9"/>
        <v>0</v>
      </c>
    </row>
    <row r="592" spans="1:1" x14ac:dyDescent="0.35">
      <c r="A592" s="100">
        <f t="shared" si="9"/>
        <v>0</v>
      </c>
    </row>
    <row r="593" spans="1:1" x14ac:dyDescent="0.35">
      <c r="A593" s="100">
        <f t="shared" si="9"/>
        <v>0</v>
      </c>
    </row>
    <row r="594" spans="1:1" x14ac:dyDescent="0.35">
      <c r="A594" s="100">
        <f t="shared" si="9"/>
        <v>0</v>
      </c>
    </row>
    <row r="595" spans="1:1" x14ac:dyDescent="0.35">
      <c r="A595" s="100">
        <f t="shared" si="9"/>
        <v>0</v>
      </c>
    </row>
    <row r="596" spans="1:1" x14ac:dyDescent="0.35">
      <c r="A596" s="100">
        <f t="shared" si="9"/>
        <v>0</v>
      </c>
    </row>
    <row r="597" spans="1:1" x14ac:dyDescent="0.35">
      <c r="A597" s="100">
        <f t="shared" si="9"/>
        <v>0</v>
      </c>
    </row>
    <row r="598" spans="1:1" x14ac:dyDescent="0.35">
      <c r="A598" s="100">
        <f t="shared" si="9"/>
        <v>0</v>
      </c>
    </row>
    <row r="599" spans="1:1" x14ac:dyDescent="0.35">
      <c r="A599" s="100">
        <f t="shared" si="9"/>
        <v>0</v>
      </c>
    </row>
    <row r="600" spans="1:1" x14ac:dyDescent="0.35">
      <c r="A600" s="100">
        <f t="shared" si="9"/>
        <v>0</v>
      </c>
    </row>
    <row r="601" spans="1:1" x14ac:dyDescent="0.35">
      <c r="A601" s="100">
        <f t="shared" si="9"/>
        <v>0</v>
      </c>
    </row>
    <row r="602" spans="1:1" x14ac:dyDescent="0.35">
      <c r="A602" s="100">
        <f t="shared" si="9"/>
        <v>0</v>
      </c>
    </row>
    <row r="603" spans="1:1" x14ac:dyDescent="0.35">
      <c r="A603" s="100">
        <f t="shared" si="9"/>
        <v>0</v>
      </c>
    </row>
    <row r="604" spans="1:1" x14ac:dyDescent="0.35">
      <c r="A604" s="100">
        <f t="shared" si="9"/>
        <v>0</v>
      </c>
    </row>
    <row r="605" spans="1:1" x14ac:dyDescent="0.35">
      <c r="A605" s="100">
        <f t="shared" si="9"/>
        <v>0</v>
      </c>
    </row>
    <row r="606" spans="1:1" x14ac:dyDescent="0.35">
      <c r="A606" s="100">
        <f t="shared" si="9"/>
        <v>0</v>
      </c>
    </row>
    <row r="607" spans="1:1" x14ac:dyDescent="0.35">
      <c r="A607" s="100">
        <f t="shared" si="9"/>
        <v>0</v>
      </c>
    </row>
    <row r="608" spans="1:1" x14ac:dyDescent="0.35">
      <c r="A608" s="100">
        <f t="shared" si="9"/>
        <v>0</v>
      </c>
    </row>
    <row r="609" spans="1:1" x14ac:dyDescent="0.35">
      <c r="A609" s="100">
        <f t="shared" si="9"/>
        <v>0</v>
      </c>
    </row>
    <row r="610" spans="1:1" x14ac:dyDescent="0.35">
      <c r="A610" s="100">
        <f t="shared" si="9"/>
        <v>0</v>
      </c>
    </row>
    <row r="611" spans="1:1" x14ac:dyDescent="0.35">
      <c r="A611" s="100">
        <f t="shared" si="9"/>
        <v>0</v>
      </c>
    </row>
    <row r="612" spans="1:1" x14ac:dyDescent="0.35">
      <c r="A612" s="100">
        <f t="shared" si="9"/>
        <v>0</v>
      </c>
    </row>
    <row r="613" spans="1:1" x14ac:dyDescent="0.35">
      <c r="A613" s="100">
        <f t="shared" si="9"/>
        <v>0</v>
      </c>
    </row>
    <row r="614" spans="1:1" x14ac:dyDescent="0.35">
      <c r="A614" s="100">
        <f t="shared" si="9"/>
        <v>0</v>
      </c>
    </row>
    <row r="615" spans="1:1" x14ac:dyDescent="0.35">
      <c r="A615" s="100">
        <f t="shared" si="9"/>
        <v>0</v>
      </c>
    </row>
    <row r="616" spans="1:1" x14ac:dyDescent="0.35">
      <c r="A616" s="100">
        <f t="shared" si="9"/>
        <v>0</v>
      </c>
    </row>
    <row r="617" spans="1:1" x14ac:dyDescent="0.35">
      <c r="A617" s="100">
        <f t="shared" si="9"/>
        <v>0</v>
      </c>
    </row>
    <row r="618" spans="1:1" x14ac:dyDescent="0.35">
      <c r="A618" s="100">
        <f t="shared" si="9"/>
        <v>0</v>
      </c>
    </row>
    <row r="619" spans="1:1" x14ac:dyDescent="0.35">
      <c r="A619" s="100">
        <f t="shared" si="9"/>
        <v>0</v>
      </c>
    </row>
    <row r="620" spans="1:1" x14ac:dyDescent="0.35">
      <c r="A620" s="100">
        <f t="shared" si="9"/>
        <v>0</v>
      </c>
    </row>
    <row r="621" spans="1:1" x14ac:dyDescent="0.35">
      <c r="A621" s="100">
        <f t="shared" si="9"/>
        <v>0</v>
      </c>
    </row>
    <row r="622" spans="1:1" x14ac:dyDescent="0.35">
      <c r="A622" s="100">
        <f t="shared" si="9"/>
        <v>0</v>
      </c>
    </row>
    <row r="623" spans="1:1" x14ac:dyDescent="0.35">
      <c r="A623" s="100">
        <f t="shared" si="9"/>
        <v>0</v>
      </c>
    </row>
    <row r="624" spans="1:1" x14ac:dyDescent="0.35">
      <c r="A624" s="100">
        <f t="shared" si="9"/>
        <v>0</v>
      </c>
    </row>
    <row r="625" spans="1:1" x14ac:dyDescent="0.35">
      <c r="A625" s="100">
        <f t="shared" si="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1BAF-E5F3-4E68-8D7A-F88EC97C682B}">
  <dimension ref="A1:H625"/>
  <sheetViews>
    <sheetView showGridLines="0" workbookViewId="0">
      <selection sqref="A1:A1048576"/>
    </sheetView>
  </sheetViews>
  <sheetFormatPr defaultRowHeight="14.5" x14ac:dyDescent="0.35"/>
  <cols>
    <col min="1" max="1" width="1.90625" style="100" bestFit="1" customWidth="1"/>
    <col min="2" max="2" width="24.90625" bestFit="1" customWidth="1"/>
    <col min="3" max="3" width="21.7265625" bestFit="1" customWidth="1"/>
    <col min="4" max="4" width="13.26953125" bestFit="1" customWidth="1"/>
    <col min="5" max="6" width="11.54296875" bestFit="1" customWidth="1"/>
    <col min="7" max="7" width="11.1796875" bestFit="1" customWidth="1"/>
    <col min="8" max="8" width="14.1796875" bestFit="1" customWidth="1"/>
  </cols>
  <sheetData>
    <row r="1" spans="1:8" x14ac:dyDescent="0.35">
      <c r="B1" s="96" t="s">
        <v>85</v>
      </c>
      <c r="C1" s="96"/>
      <c r="D1" s="96"/>
      <c r="E1" s="96"/>
      <c r="F1" s="96"/>
      <c r="G1" s="96"/>
      <c r="H1" s="96"/>
    </row>
    <row r="2" spans="1:8" x14ac:dyDescent="0.35">
      <c r="B2" s="6"/>
      <c r="C2" s="6" t="s">
        <v>87</v>
      </c>
      <c r="D2" s="7" t="s">
        <v>449</v>
      </c>
      <c r="E2" s="7" t="s">
        <v>449</v>
      </c>
      <c r="F2" s="7" t="s">
        <v>449</v>
      </c>
      <c r="G2" s="7" t="s">
        <v>449</v>
      </c>
      <c r="H2" s="7" t="s">
        <v>449</v>
      </c>
    </row>
    <row r="3" spans="1:8" x14ac:dyDescent="0.35">
      <c r="B3" s="6" t="s">
        <v>0</v>
      </c>
      <c r="C3" s="6" t="s">
        <v>86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</row>
    <row r="4" spans="1:8" x14ac:dyDescent="0.35">
      <c r="A4" s="101">
        <f>IF(LEN(B4)=8,LEFT(B4,1),0)</f>
        <v>0</v>
      </c>
      <c r="B4" s="8" t="s">
        <v>320</v>
      </c>
      <c r="C4" s="9" t="s">
        <v>306</v>
      </c>
      <c r="D4" s="41">
        <v>0</v>
      </c>
      <c r="E4" s="39">
        <v>616146.82999999996</v>
      </c>
      <c r="F4" s="39">
        <v>616146.85</v>
      </c>
      <c r="G4" s="39">
        <v>-0.02</v>
      </c>
      <c r="H4" s="40">
        <v>-0.02</v>
      </c>
    </row>
    <row r="5" spans="1:8" x14ac:dyDescent="0.35">
      <c r="A5" s="101">
        <f t="shared" ref="A5:A68" si="0">IF(LEN(B5)=8,LEFT(B5,1),0)</f>
        <v>0</v>
      </c>
      <c r="B5" s="10" t="s">
        <v>321</v>
      </c>
      <c r="C5" s="11" t="s">
        <v>101</v>
      </c>
      <c r="D5" s="39">
        <v>2822574.98</v>
      </c>
      <c r="E5" s="39">
        <v>477901.29</v>
      </c>
      <c r="F5" s="39">
        <v>390307.52</v>
      </c>
      <c r="G5" s="39">
        <v>87593.77</v>
      </c>
      <c r="H5" s="40">
        <v>2910168.75</v>
      </c>
    </row>
    <row r="6" spans="1:8" x14ac:dyDescent="0.35">
      <c r="A6" s="101">
        <f t="shared" si="0"/>
        <v>0</v>
      </c>
      <c r="B6" s="12" t="s">
        <v>322</v>
      </c>
      <c r="C6" s="13" t="s">
        <v>103</v>
      </c>
      <c r="D6" s="39">
        <v>2489241.63</v>
      </c>
      <c r="E6" s="39">
        <v>477372.61</v>
      </c>
      <c r="F6" s="39">
        <v>378667.73</v>
      </c>
      <c r="G6" s="39">
        <v>98704.88</v>
      </c>
      <c r="H6" s="40">
        <v>2587946.5099999998</v>
      </c>
    </row>
    <row r="7" spans="1:8" x14ac:dyDescent="0.35">
      <c r="A7" s="101">
        <f t="shared" si="0"/>
        <v>0</v>
      </c>
      <c r="B7" s="14" t="s">
        <v>323</v>
      </c>
      <c r="C7" s="15" t="s">
        <v>105</v>
      </c>
      <c r="D7" s="39">
        <v>119524.75</v>
      </c>
      <c r="E7" s="39">
        <v>331796.44</v>
      </c>
      <c r="F7" s="39">
        <v>245859.4</v>
      </c>
      <c r="G7" s="39">
        <v>85937.04</v>
      </c>
      <c r="H7" s="40">
        <v>205461.79</v>
      </c>
    </row>
    <row r="8" spans="1:8" x14ac:dyDescent="0.35">
      <c r="A8" s="100" t="str">
        <f t="shared" si="0"/>
        <v>G</v>
      </c>
      <c r="B8" s="16" t="s">
        <v>324</v>
      </c>
      <c r="C8" s="15" t="s">
        <v>107</v>
      </c>
      <c r="D8" s="39">
        <v>119524.75</v>
      </c>
      <c r="E8" s="39">
        <v>331796.44</v>
      </c>
      <c r="F8" s="39">
        <v>245859.4</v>
      </c>
      <c r="G8" s="39">
        <v>85937.04</v>
      </c>
      <c r="H8" s="40">
        <v>205461.79</v>
      </c>
    </row>
    <row r="9" spans="1:8" x14ac:dyDescent="0.35">
      <c r="A9" s="101">
        <f t="shared" si="0"/>
        <v>0</v>
      </c>
      <c r="B9" s="17" t="s">
        <v>325</v>
      </c>
      <c r="C9" s="15" t="s">
        <v>107</v>
      </c>
      <c r="D9" s="39">
        <v>119524.75</v>
      </c>
      <c r="E9" s="39">
        <v>331796.44</v>
      </c>
      <c r="F9" s="39">
        <v>245859.4</v>
      </c>
      <c r="G9" s="39">
        <v>85937.04</v>
      </c>
      <c r="H9" s="40">
        <v>205461.79</v>
      </c>
    </row>
    <row r="10" spans="1:8" x14ac:dyDescent="0.35">
      <c r="A10" s="100" t="str">
        <f t="shared" si="0"/>
        <v>1</v>
      </c>
      <c r="B10" s="37">
        <v>11131050</v>
      </c>
      <c r="C10" s="15" t="s">
        <v>1</v>
      </c>
      <c r="D10" s="39">
        <v>57128.19</v>
      </c>
      <c r="E10" s="39">
        <v>27127.42</v>
      </c>
      <c r="F10" s="39">
        <v>13167.81</v>
      </c>
      <c r="G10" s="39">
        <v>13959.61</v>
      </c>
      <c r="H10" s="40">
        <v>71087.8</v>
      </c>
    </row>
    <row r="11" spans="1:8" x14ac:dyDescent="0.35">
      <c r="A11" s="100" t="str">
        <f t="shared" si="0"/>
        <v>1</v>
      </c>
      <c r="B11" s="37">
        <v>11131090</v>
      </c>
      <c r="C11" s="15" t="s">
        <v>64</v>
      </c>
      <c r="D11" s="39">
        <v>62805.43</v>
      </c>
      <c r="E11" s="39">
        <v>55683.79</v>
      </c>
      <c r="F11" s="39">
        <v>231.2</v>
      </c>
      <c r="G11" s="39">
        <v>55452.59</v>
      </c>
      <c r="H11" s="40">
        <v>118258.02</v>
      </c>
    </row>
    <row r="12" spans="1:8" x14ac:dyDescent="0.35">
      <c r="A12" s="100" t="str">
        <f t="shared" si="0"/>
        <v>1</v>
      </c>
      <c r="B12" s="37">
        <v>11131091</v>
      </c>
      <c r="C12" s="15" t="s">
        <v>64</v>
      </c>
      <c r="D12" s="39">
        <v>1</v>
      </c>
      <c r="E12" s="39">
        <v>16878.02</v>
      </c>
      <c r="F12" s="39">
        <v>370.67</v>
      </c>
      <c r="G12" s="39">
        <v>16507.349999999999</v>
      </c>
      <c r="H12" s="40">
        <v>16508.349999999999</v>
      </c>
    </row>
    <row r="13" spans="1:8" x14ac:dyDescent="0.35">
      <c r="A13" s="100" t="str">
        <f t="shared" si="0"/>
        <v>1</v>
      </c>
      <c r="B13" s="37">
        <v>11132010</v>
      </c>
      <c r="C13" s="15" t="s">
        <v>453</v>
      </c>
      <c r="D13" s="41">
        <v>0</v>
      </c>
      <c r="E13" s="39">
        <v>99.56</v>
      </c>
      <c r="F13" s="39">
        <v>99.56</v>
      </c>
      <c r="G13" s="41">
        <v>0</v>
      </c>
      <c r="H13" s="42">
        <v>0</v>
      </c>
    </row>
    <row r="14" spans="1:8" x14ac:dyDescent="0.35">
      <c r="A14" s="100" t="str">
        <f t="shared" si="0"/>
        <v>1</v>
      </c>
      <c r="B14" s="37">
        <v>11132050</v>
      </c>
      <c r="C14" s="15" t="s">
        <v>1</v>
      </c>
      <c r="D14" s="41">
        <v>0</v>
      </c>
      <c r="E14" s="39">
        <v>45503.48</v>
      </c>
      <c r="F14" s="39">
        <v>45503.48</v>
      </c>
      <c r="G14" s="41">
        <v>0</v>
      </c>
      <c r="H14" s="42">
        <v>0</v>
      </c>
    </row>
    <row r="15" spans="1:8" x14ac:dyDescent="0.35">
      <c r="A15" s="100" t="str">
        <f t="shared" si="0"/>
        <v>1</v>
      </c>
      <c r="B15" s="37">
        <v>11132090</v>
      </c>
      <c r="C15" s="15" t="s">
        <v>64</v>
      </c>
      <c r="D15" s="39">
        <v>-409.87</v>
      </c>
      <c r="E15" s="39">
        <v>108364.88</v>
      </c>
      <c r="F15" s="39">
        <v>108347.39</v>
      </c>
      <c r="G15" s="39">
        <v>17.489999999999998</v>
      </c>
      <c r="H15" s="40">
        <v>-392.38</v>
      </c>
    </row>
    <row r="16" spans="1:8" x14ac:dyDescent="0.35">
      <c r="A16" s="100" t="str">
        <f t="shared" si="0"/>
        <v>1</v>
      </c>
      <c r="B16" s="37">
        <v>11132091</v>
      </c>
      <c r="C16" s="15" t="s">
        <v>64</v>
      </c>
      <c r="D16" s="41">
        <v>0</v>
      </c>
      <c r="E16" s="39">
        <v>33757.5</v>
      </c>
      <c r="F16" s="39">
        <v>33757.5</v>
      </c>
      <c r="G16" s="41">
        <v>0</v>
      </c>
      <c r="H16" s="42">
        <v>0</v>
      </c>
    </row>
    <row r="17" spans="1:8" x14ac:dyDescent="0.35">
      <c r="A17" s="101" t="str">
        <f t="shared" si="0"/>
        <v>1</v>
      </c>
      <c r="B17" s="37">
        <v>11133050</v>
      </c>
      <c r="C17" s="15" t="s">
        <v>2</v>
      </c>
      <c r="D17" s="41">
        <v>0</v>
      </c>
      <c r="E17" s="39">
        <v>41493.360000000001</v>
      </c>
      <c r="F17" s="39">
        <v>41493.360000000001</v>
      </c>
      <c r="G17" s="41">
        <v>0</v>
      </c>
      <c r="H17" s="42">
        <v>0</v>
      </c>
    </row>
    <row r="18" spans="1:8" x14ac:dyDescent="0.35">
      <c r="A18" s="100" t="str">
        <f>IF(LEN(B18)=8,LEFT(B18,1),0)</f>
        <v>1</v>
      </c>
      <c r="B18" s="37">
        <v>11133090</v>
      </c>
      <c r="C18" s="15" t="s">
        <v>64</v>
      </c>
      <c r="D18" s="41">
        <v>0</v>
      </c>
      <c r="E18" s="39">
        <v>2888.43</v>
      </c>
      <c r="F18" s="39">
        <v>2888.43</v>
      </c>
      <c r="G18" s="41">
        <v>0</v>
      </c>
      <c r="H18" s="42">
        <v>0</v>
      </c>
    </row>
    <row r="19" spans="1:8" x14ac:dyDescent="0.35">
      <c r="A19" s="101">
        <f t="shared" si="0"/>
        <v>0</v>
      </c>
      <c r="B19" s="14" t="s">
        <v>326</v>
      </c>
      <c r="C19" s="15" t="s">
        <v>110</v>
      </c>
      <c r="D19" s="39">
        <v>614908.77</v>
      </c>
      <c r="E19" s="39">
        <v>6759.61</v>
      </c>
      <c r="F19" s="39">
        <v>5646.54</v>
      </c>
      <c r="G19" s="39">
        <v>1113.07</v>
      </c>
      <c r="H19" s="40">
        <v>616021.84</v>
      </c>
    </row>
    <row r="20" spans="1:8" x14ac:dyDescent="0.35">
      <c r="A20" s="101" t="str">
        <f t="shared" si="0"/>
        <v>G</v>
      </c>
      <c r="B20" s="16" t="s">
        <v>327</v>
      </c>
      <c r="C20" s="15" t="s">
        <v>112</v>
      </c>
      <c r="D20" s="39">
        <v>614908.77</v>
      </c>
      <c r="E20" s="39">
        <v>6759.61</v>
      </c>
      <c r="F20" s="39">
        <v>5646.54</v>
      </c>
      <c r="G20" s="39">
        <v>1113.07</v>
      </c>
      <c r="H20" s="40">
        <v>616021.84</v>
      </c>
    </row>
    <row r="21" spans="1:8" x14ac:dyDescent="0.35">
      <c r="A21" s="101">
        <f t="shared" si="0"/>
        <v>0</v>
      </c>
      <c r="B21" s="17" t="s">
        <v>328</v>
      </c>
      <c r="C21" s="15" t="s">
        <v>114</v>
      </c>
      <c r="D21" s="39">
        <v>614908.77</v>
      </c>
      <c r="E21" s="39">
        <v>6759.61</v>
      </c>
      <c r="F21" s="39">
        <v>5646.54</v>
      </c>
      <c r="G21" s="39">
        <v>1113.07</v>
      </c>
      <c r="H21" s="40">
        <v>616021.84</v>
      </c>
    </row>
    <row r="22" spans="1:8" x14ac:dyDescent="0.35">
      <c r="A22" s="101">
        <f t="shared" si="0"/>
        <v>0</v>
      </c>
      <c r="B22" s="37" t="s">
        <v>329</v>
      </c>
      <c r="C22" s="15" t="s">
        <v>116</v>
      </c>
      <c r="D22" s="39">
        <v>614908.77</v>
      </c>
      <c r="E22" s="39">
        <v>6759.61</v>
      </c>
      <c r="F22" s="39">
        <v>5646.54</v>
      </c>
      <c r="G22" s="39">
        <v>1113.07</v>
      </c>
      <c r="H22" s="40">
        <v>616021.84</v>
      </c>
    </row>
    <row r="23" spans="1:8" x14ac:dyDescent="0.35">
      <c r="A23" s="100">
        <f>IF(LEN(B23)=8,LEFT(B23,1),0)</f>
        <v>0</v>
      </c>
      <c r="B23" s="105" t="s">
        <v>330</v>
      </c>
      <c r="C23" s="15" t="s">
        <v>118</v>
      </c>
      <c r="D23" s="39">
        <v>614908.77</v>
      </c>
      <c r="E23" s="39">
        <v>6759.61</v>
      </c>
      <c r="F23" s="39">
        <v>5646.54</v>
      </c>
      <c r="G23" s="39">
        <v>1113.07</v>
      </c>
      <c r="H23" s="40">
        <v>616021.84</v>
      </c>
    </row>
    <row r="24" spans="1:8" x14ac:dyDescent="0.35">
      <c r="A24" s="101" t="str">
        <f t="shared" si="0"/>
        <v>1</v>
      </c>
      <c r="B24" s="106">
        <v>11240001</v>
      </c>
      <c r="C24" s="15" t="s">
        <v>3</v>
      </c>
      <c r="D24" s="39">
        <v>614908.77</v>
      </c>
      <c r="E24" s="39">
        <v>6759.61</v>
      </c>
      <c r="F24" s="39">
        <v>5646.54</v>
      </c>
      <c r="G24" s="39">
        <v>1113.07</v>
      </c>
      <c r="H24" s="40">
        <v>616021.84</v>
      </c>
    </row>
    <row r="25" spans="1:8" x14ac:dyDescent="0.35">
      <c r="A25" s="100">
        <f t="shared" si="0"/>
        <v>0</v>
      </c>
      <c r="B25" s="14" t="s">
        <v>331</v>
      </c>
      <c r="C25" s="15" t="s">
        <v>120</v>
      </c>
      <c r="D25" s="39">
        <v>33118.5</v>
      </c>
      <c r="E25" s="39">
        <v>113299.57</v>
      </c>
      <c r="F25" s="39">
        <v>104776.07</v>
      </c>
      <c r="G25" s="39">
        <v>8523.5</v>
      </c>
      <c r="H25" s="40">
        <v>41642</v>
      </c>
    </row>
    <row r="26" spans="1:8" x14ac:dyDescent="0.35">
      <c r="A26" s="101" t="str">
        <f t="shared" si="0"/>
        <v>G</v>
      </c>
      <c r="B26" s="16" t="s">
        <v>332</v>
      </c>
      <c r="C26" s="15" t="s">
        <v>307</v>
      </c>
      <c r="D26" s="39">
        <v>33118.5</v>
      </c>
      <c r="E26" s="39">
        <v>87676.57</v>
      </c>
      <c r="F26" s="39">
        <v>79153.070000000007</v>
      </c>
      <c r="G26" s="39">
        <v>8523.5</v>
      </c>
      <c r="H26" s="40">
        <v>41642</v>
      </c>
    </row>
    <row r="27" spans="1:8" x14ac:dyDescent="0.35">
      <c r="A27" s="101">
        <f t="shared" si="0"/>
        <v>0</v>
      </c>
      <c r="B27" s="17" t="s">
        <v>333</v>
      </c>
      <c r="C27" s="15" t="s">
        <v>304</v>
      </c>
      <c r="D27" s="39">
        <v>33118.5</v>
      </c>
      <c r="E27" s="39">
        <v>87676.57</v>
      </c>
      <c r="F27" s="39">
        <v>79153.070000000007</v>
      </c>
      <c r="G27" s="39">
        <v>8523.5</v>
      </c>
      <c r="H27" s="40">
        <v>41642</v>
      </c>
    </row>
    <row r="28" spans="1:8" x14ac:dyDescent="0.35">
      <c r="A28" s="101">
        <f t="shared" si="0"/>
        <v>0</v>
      </c>
      <c r="B28" s="37" t="s">
        <v>334</v>
      </c>
      <c r="C28" s="15" t="s">
        <v>308</v>
      </c>
      <c r="D28" s="39">
        <v>33118.5</v>
      </c>
      <c r="E28" s="39">
        <v>87676.57</v>
      </c>
      <c r="F28" s="39">
        <v>79153.070000000007</v>
      </c>
      <c r="G28" s="39">
        <v>8523.5</v>
      </c>
      <c r="H28" s="40">
        <v>41642</v>
      </c>
    </row>
    <row r="29" spans="1:8" x14ac:dyDescent="0.35">
      <c r="A29" s="100" t="str">
        <f t="shared" si="0"/>
        <v>1</v>
      </c>
      <c r="B29" s="105">
        <v>11311011</v>
      </c>
      <c r="C29" s="15" t="s">
        <v>4</v>
      </c>
      <c r="D29" s="41">
        <v>0</v>
      </c>
      <c r="E29" s="39">
        <v>23127.07</v>
      </c>
      <c r="F29" s="39">
        <v>23127.07</v>
      </c>
      <c r="G29" s="41">
        <v>0</v>
      </c>
      <c r="H29" s="42">
        <v>0</v>
      </c>
    </row>
    <row r="30" spans="1:8" x14ac:dyDescent="0.35">
      <c r="A30" s="101" t="str">
        <f t="shared" si="0"/>
        <v>1</v>
      </c>
      <c r="B30" s="105">
        <v>11311094</v>
      </c>
      <c r="C30" s="15" t="s">
        <v>65</v>
      </c>
      <c r="D30" s="39">
        <v>33118.5</v>
      </c>
      <c r="E30" s="39">
        <v>64549.5</v>
      </c>
      <c r="F30" s="39">
        <v>56026</v>
      </c>
      <c r="G30" s="39">
        <v>8523.5</v>
      </c>
      <c r="H30" s="40">
        <v>41642</v>
      </c>
    </row>
    <row r="31" spans="1:8" x14ac:dyDescent="0.35">
      <c r="A31" s="101" t="str">
        <f t="shared" si="0"/>
        <v>G</v>
      </c>
      <c r="B31" s="16" t="s">
        <v>335</v>
      </c>
      <c r="C31" s="15" t="s">
        <v>122</v>
      </c>
      <c r="D31" s="41">
        <v>0</v>
      </c>
      <c r="E31" s="39">
        <v>25623</v>
      </c>
      <c r="F31" s="39">
        <v>25623</v>
      </c>
      <c r="G31" s="41">
        <v>0</v>
      </c>
      <c r="H31" s="42">
        <v>0</v>
      </c>
    </row>
    <row r="32" spans="1:8" x14ac:dyDescent="0.35">
      <c r="A32" s="100">
        <f t="shared" si="0"/>
        <v>0</v>
      </c>
      <c r="B32" s="17" t="s">
        <v>336</v>
      </c>
      <c r="C32" s="15" t="s">
        <v>124</v>
      </c>
      <c r="D32" s="41">
        <v>0</v>
      </c>
      <c r="E32" s="39">
        <v>25623</v>
      </c>
      <c r="F32" s="39">
        <v>25623</v>
      </c>
      <c r="G32" s="41">
        <v>0</v>
      </c>
      <c r="H32" s="42">
        <v>0</v>
      </c>
    </row>
    <row r="33" spans="1:8" x14ac:dyDescent="0.35">
      <c r="A33" s="101" t="str">
        <f t="shared" si="0"/>
        <v>1</v>
      </c>
      <c r="B33" s="37">
        <v>11391004</v>
      </c>
      <c r="C33" s="15" t="s">
        <v>83</v>
      </c>
      <c r="D33" s="41">
        <v>0</v>
      </c>
      <c r="E33" s="39">
        <v>25623</v>
      </c>
      <c r="F33" s="39">
        <v>25623</v>
      </c>
      <c r="G33" s="41">
        <v>0</v>
      </c>
      <c r="H33" s="42">
        <v>0</v>
      </c>
    </row>
    <row r="34" spans="1:8" x14ac:dyDescent="0.35">
      <c r="A34" s="100">
        <f t="shared" si="0"/>
        <v>0</v>
      </c>
      <c r="B34" s="14" t="s">
        <v>337</v>
      </c>
      <c r="C34" s="15" t="s">
        <v>126</v>
      </c>
      <c r="D34" s="39">
        <v>1721689.61</v>
      </c>
      <c r="E34" s="39">
        <v>25516.99</v>
      </c>
      <c r="F34" s="39">
        <v>22385.72</v>
      </c>
      <c r="G34" s="39">
        <v>3131.27</v>
      </c>
      <c r="H34" s="40">
        <v>1724820.88</v>
      </c>
    </row>
    <row r="35" spans="1:8" x14ac:dyDescent="0.35">
      <c r="A35" s="101" t="str">
        <f t="shared" si="0"/>
        <v>G</v>
      </c>
      <c r="B35" s="16" t="s">
        <v>338</v>
      </c>
      <c r="C35" s="15" t="s">
        <v>128</v>
      </c>
      <c r="D35" s="39">
        <v>158402.54</v>
      </c>
      <c r="E35" s="39">
        <v>6624.52</v>
      </c>
      <c r="F35" s="39">
        <v>16502.55</v>
      </c>
      <c r="G35" s="39">
        <v>-9878.0300000000007</v>
      </c>
      <c r="H35" s="40">
        <v>148524.51</v>
      </c>
    </row>
    <row r="36" spans="1:8" x14ac:dyDescent="0.35">
      <c r="A36" s="100">
        <f t="shared" si="0"/>
        <v>0</v>
      </c>
      <c r="B36" s="17" t="s">
        <v>339</v>
      </c>
      <c r="C36" s="15" t="s">
        <v>130</v>
      </c>
      <c r="D36" s="39">
        <v>158402.54</v>
      </c>
      <c r="E36" s="39">
        <v>6624.52</v>
      </c>
      <c r="F36" s="39">
        <v>16502.55</v>
      </c>
      <c r="G36" s="39">
        <v>-9878.0300000000007</v>
      </c>
      <c r="H36" s="40">
        <v>148524.51</v>
      </c>
    </row>
    <row r="37" spans="1:8" x14ac:dyDescent="0.35">
      <c r="A37" s="101" t="str">
        <f t="shared" si="0"/>
        <v>1</v>
      </c>
      <c r="B37" s="37">
        <v>11610099</v>
      </c>
      <c r="C37" s="15" t="s">
        <v>6</v>
      </c>
      <c r="D37" s="39">
        <v>158402.54</v>
      </c>
      <c r="E37" s="39">
        <v>6624.52</v>
      </c>
      <c r="F37" s="39">
        <v>16502.55</v>
      </c>
      <c r="G37" s="39">
        <v>-9878.0300000000007</v>
      </c>
      <c r="H37" s="40">
        <v>148524.51</v>
      </c>
    </row>
    <row r="38" spans="1:8" x14ac:dyDescent="0.35">
      <c r="A38" s="101" t="str">
        <f t="shared" si="0"/>
        <v>G</v>
      </c>
      <c r="B38" s="16" t="s">
        <v>340</v>
      </c>
      <c r="C38" s="15" t="s">
        <v>132</v>
      </c>
      <c r="D38" s="39">
        <v>1563287.07</v>
      </c>
      <c r="E38" s="39">
        <v>18892.47</v>
      </c>
      <c r="F38" s="39">
        <v>5883.17</v>
      </c>
      <c r="G38" s="39">
        <v>13009.3</v>
      </c>
      <c r="H38" s="40">
        <v>1576296.37</v>
      </c>
    </row>
    <row r="39" spans="1:8" x14ac:dyDescent="0.35">
      <c r="A39" s="100">
        <f t="shared" si="0"/>
        <v>0</v>
      </c>
      <c r="B39" s="17" t="s">
        <v>341</v>
      </c>
      <c r="C39" s="15" t="s">
        <v>134</v>
      </c>
      <c r="D39" s="39">
        <v>548878.77</v>
      </c>
      <c r="E39" s="39">
        <v>6592.83</v>
      </c>
      <c r="F39" s="41">
        <v>0</v>
      </c>
      <c r="G39" s="39">
        <v>6592.83</v>
      </c>
      <c r="H39" s="40">
        <v>555471.6</v>
      </c>
    </row>
    <row r="40" spans="1:8" x14ac:dyDescent="0.35">
      <c r="A40" s="101">
        <f t="shared" si="0"/>
        <v>0</v>
      </c>
      <c r="B40" s="37" t="s">
        <v>342</v>
      </c>
      <c r="C40" s="15" t="s">
        <v>136</v>
      </c>
      <c r="D40" s="39">
        <v>548878.77</v>
      </c>
      <c r="E40" s="39">
        <v>6592.83</v>
      </c>
      <c r="F40" s="41">
        <v>0</v>
      </c>
      <c r="G40" s="39">
        <v>6592.83</v>
      </c>
      <c r="H40" s="40">
        <v>555471.6</v>
      </c>
    </row>
    <row r="41" spans="1:8" x14ac:dyDescent="0.35">
      <c r="A41" s="101" t="str">
        <f t="shared" si="0"/>
        <v>1</v>
      </c>
      <c r="B41" s="105">
        <v>11641001</v>
      </c>
      <c r="C41" s="15" t="s">
        <v>54</v>
      </c>
      <c r="D41" s="39">
        <v>105179.91</v>
      </c>
      <c r="E41" s="39">
        <v>946.29</v>
      </c>
      <c r="F41" s="41">
        <v>0</v>
      </c>
      <c r="G41" s="39">
        <v>946.29</v>
      </c>
      <c r="H41" s="40">
        <v>106126.2</v>
      </c>
    </row>
    <row r="42" spans="1:8" x14ac:dyDescent="0.35">
      <c r="A42" s="100" t="str">
        <f t="shared" si="0"/>
        <v>1</v>
      </c>
      <c r="B42" s="105">
        <v>11641008</v>
      </c>
      <c r="C42" s="15" t="s">
        <v>7</v>
      </c>
      <c r="D42" s="39">
        <v>443698.86</v>
      </c>
      <c r="E42" s="39">
        <v>5646.54</v>
      </c>
      <c r="F42" s="41">
        <v>0</v>
      </c>
      <c r="G42" s="39">
        <v>5646.54</v>
      </c>
      <c r="H42" s="40">
        <v>449345.4</v>
      </c>
    </row>
    <row r="43" spans="1:8" x14ac:dyDescent="0.35">
      <c r="A43" s="101">
        <f t="shared" si="0"/>
        <v>0</v>
      </c>
      <c r="B43" s="17" t="s">
        <v>343</v>
      </c>
      <c r="C43" s="15" t="s">
        <v>138</v>
      </c>
      <c r="D43" s="39">
        <v>835094.52</v>
      </c>
      <c r="E43" s="39">
        <v>7584.67</v>
      </c>
      <c r="F43" s="41">
        <v>0</v>
      </c>
      <c r="G43" s="39">
        <v>7584.67</v>
      </c>
      <c r="H43" s="40">
        <v>842679.19</v>
      </c>
    </row>
    <row r="44" spans="1:8" x14ac:dyDescent="0.35">
      <c r="A44" s="100">
        <f t="shared" si="0"/>
        <v>0</v>
      </c>
      <c r="B44" s="37" t="s">
        <v>344</v>
      </c>
      <c r="C44" s="15" t="s">
        <v>140</v>
      </c>
      <c r="D44" s="39">
        <v>768701.95</v>
      </c>
      <c r="E44" s="39">
        <v>6665.46</v>
      </c>
      <c r="F44" s="41">
        <v>0</v>
      </c>
      <c r="G44" s="39">
        <v>6665.46</v>
      </c>
      <c r="H44" s="40">
        <v>775367.41</v>
      </c>
    </row>
    <row r="45" spans="1:8" x14ac:dyDescent="0.35">
      <c r="A45" s="101" t="str">
        <f t="shared" si="0"/>
        <v>1</v>
      </c>
      <c r="B45" s="105">
        <v>11642001</v>
      </c>
      <c r="C45" s="15" t="s">
        <v>46</v>
      </c>
      <c r="D45" s="39">
        <v>768701.95</v>
      </c>
      <c r="E45" s="39">
        <v>6665.46</v>
      </c>
      <c r="F45" s="41">
        <v>0</v>
      </c>
      <c r="G45" s="39">
        <v>6665.46</v>
      </c>
      <c r="H45" s="40">
        <v>775367.41</v>
      </c>
    </row>
    <row r="46" spans="1:8" x14ac:dyDescent="0.35">
      <c r="A46" s="100">
        <f t="shared" si="0"/>
        <v>0</v>
      </c>
      <c r="B46" s="37" t="s">
        <v>345</v>
      </c>
      <c r="C46" s="15" t="s">
        <v>309</v>
      </c>
      <c r="D46" s="39">
        <v>66392.570000000007</v>
      </c>
      <c r="E46" s="39">
        <v>919.21</v>
      </c>
      <c r="F46" s="41">
        <v>0</v>
      </c>
      <c r="G46" s="39">
        <v>919.21</v>
      </c>
      <c r="H46" s="40">
        <v>67311.78</v>
      </c>
    </row>
    <row r="47" spans="1:8" x14ac:dyDescent="0.35">
      <c r="A47" s="101" t="str">
        <f t="shared" si="0"/>
        <v>1</v>
      </c>
      <c r="B47" s="105">
        <v>11642005</v>
      </c>
      <c r="C47" s="15" t="s">
        <v>9</v>
      </c>
      <c r="D47" s="39">
        <v>66392.570000000007</v>
      </c>
      <c r="E47" s="39">
        <v>919.21</v>
      </c>
      <c r="F47" s="41">
        <v>0</v>
      </c>
      <c r="G47" s="39">
        <v>919.21</v>
      </c>
      <c r="H47" s="40">
        <v>67311.78</v>
      </c>
    </row>
    <row r="48" spans="1:8" x14ac:dyDescent="0.35">
      <c r="A48" s="101">
        <f t="shared" si="0"/>
        <v>0</v>
      </c>
      <c r="B48" s="17" t="s">
        <v>346</v>
      </c>
      <c r="C48" s="15" t="s">
        <v>310</v>
      </c>
      <c r="D48" s="39">
        <v>82818.53</v>
      </c>
      <c r="E48" s="39">
        <v>3354.98</v>
      </c>
      <c r="F48" s="39">
        <v>5883.17</v>
      </c>
      <c r="G48" s="39">
        <v>-2528.19</v>
      </c>
      <c r="H48" s="40">
        <v>80290.34</v>
      </c>
    </row>
    <row r="49" spans="1:8" x14ac:dyDescent="0.35">
      <c r="A49" s="100">
        <f t="shared" si="0"/>
        <v>0</v>
      </c>
      <c r="B49" s="37" t="s">
        <v>347</v>
      </c>
      <c r="C49" s="15" t="s">
        <v>311</v>
      </c>
      <c r="D49" s="39">
        <v>68287.53</v>
      </c>
      <c r="E49" s="39">
        <v>2757.5</v>
      </c>
      <c r="F49" s="39">
        <v>4854.5600000000004</v>
      </c>
      <c r="G49" s="39">
        <v>-2097.06</v>
      </c>
      <c r="H49" s="40">
        <v>66190.47</v>
      </c>
    </row>
    <row r="50" spans="1:8" x14ac:dyDescent="0.35">
      <c r="A50" s="101" t="str">
        <f t="shared" si="0"/>
        <v>1</v>
      </c>
      <c r="B50" s="105">
        <v>11644005</v>
      </c>
      <c r="C50" s="15" t="s">
        <v>11</v>
      </c>
      <c r="D50" s="39">
        <v>68287.53</v>
      </c>
      <c r="E50" s="39">
        <v>2757.5</v>
      </c>
      <c r="F50" s="39">
        <v>4854.5600000000004</v>
      </c>
      <c r="G50" s="39">
        <v>-2097.06</v>
      </c>
      <c r="H50" s="40">
        <v>66190.47</v>
      </c>
    </row>
    <row r="51" spans="1:8" x14ac:dyDescent="0.35">
      <c r="A51" s="101">
        <f t="shared" si="0"/>
        <v>0</v>
      </c>
      <c r="B51" s="37" t="s">
        <v>348</v>
      </c>
      <c r="C51" s="15" t="s">
        <v>312</v>
      </c>
      <c r="D51" s="39">
        <v>14531</v>
      </c>
      <c r="E51" s="39">
        <v>597.48</v>
      </c>
      <c r="F51" s="39">
        <v>1028.6099999999999</v>
      </c>
      <c r="G51" s="39">
        <v>-431.13</v>
      </c>
      <c r="H51" s="40">
        <v>14099.87</v>
      </c>
    </row>
    <row r="52" spans="1:8" x14ac:dyDescent="0.35">
      <c r="A52" s="101" t="str">
        <f t="shared" si="0"/>
        <v>1</v>
      </c>
      <c r="B52" s="105">
        <v>11644004</v>
      </c>
      <c r="C52" s="15" t="s">
        <v>10</v>
      </c>
      <c r="D52" s="39">
        <v>14531</v>
      </c>
      <c r="E52" s="39">
        <v>597.48</v>
      </c>
      <c r="F52" s="39">
        <v>1028.6099999999999</v>
      </c>
      <c r="G52" s="39">
        <v>-431.13</v>
      </c>
      <c r="H52" s="40">
        <v>14099.87</v>
      </c>
    </row>
    <row r="53" spans="1:8" x14ac:dyDescent="0.35">
      <c r="A53" s="101">
        <f t="shared" si="0"/>
        <v>0</v>
      </c>
      <c r="B53" s="17" t="s">
        <v>349</v>
      </c>
      <c r="C53" s="15" t="s">
        <v>313</v>
      </c>
      <c r="D53" s="39">
        <v>96495.25</v>
      </c>
      <c r="E53" s="39">
        <v>1359.99</v>
      </c>
      <c r="F53" s="41">
        <v>0</v>
      </c>
      <c r="G53" s="39">
        <v>1359.99</v>
      </c>
      <c r="H53" s="40">
        <v>97855.24</v>
      </c>
    </row>
    <row r="54" spans="1:8" x14ac:dyDescent="0.35">
      <c r="A54" s="100" t="str">
        <f t="shared" si="0"/>
        <v>1</v>
      </c>
      <c r="B54" s="37">
        <v>11641009</v>
      </c>
      <c r="C54" s="15" t="s">
        <v>8</v>
      </c>
      <c r="D54" s="39">
        <v>96495.25</v>
      </c>
      <c r="E54" s="39">
        <v>1359.99</v>
      </c>
      <c r="F54" s="41">
        <v>0</v>
      </c>
      <c r="G54" s="39">
        <v>1359.99</v>
      </c>
      <c r="H54" s="40">
        <v>97855.24</v>
      </c>
    </row>
    <row r="55" spans="1:8" x14ac:dyDescent="0.35">
      <c r="A55" s="101">
        <f t="shared" si="0"/>
        <v>0</v>
      </c>
      <c r="B55" s="12" t="s">
        <v>350</v>
      </c>
      <c r="C55" s="13" t="s">
        <v>142</v>
      </c>
      <c r="D55" s="39">
        <v>333333.34999999998</v>
      </c>
      <c r="E55" s="39">
        <v>528.67999999999995</v>
      </c>
      <c r="F55" s="39">
        <v>11639.79</v>
      </c>
      <c r="G55" s="39">
        <v>-11111.11</v>
      </c>
      <c r="H55" s="40">
        <v>322222.24</v>
      </c>
    </row>
    <row r="56" spans="1:8" x14ac:dyDescent="0.35">
      <c r="A56" s="100">
        <f t="shared" si="0"/>
        <v>0</v>
      </c>
      <c r="B56" s="14" t="s">
        <v>351</v>
      </c>
      <c r="C56" s="15" t="s">
        <v>144</v>
      </c>
      <c r="D56" s="39">
        <v>333333.34999999998</v>
      </c>
      <c r="E56" s="39">
        <v>528.67999999999995</v>
      </c>
      <c r="F56" s="39">
        <v>11639.79</v>
      </c>
      <c r="G56" s="39">
        <v>-11111.11</v>
      </c>
      <c r="H56" s="40">
        <v>322222.24</v>
      </c>
    </row>
    <row r="57" spans="1:8" x14ac:dyDescent="0.35">
      <c r="A57" s="101" t="str">
        <f t="shared" si="0"/>
        <v>G</v>
      </c>
      <c r="B57" s="16" t="s">
        <v>352</v>
      </c>
      <c r="C57" s="15" t="s">
        <v>126</v>
      </c>
      <c r="D57" s="39">
        <v>333333.34999999998</v>
      </c>
      <c r="E57" s="39">
        <v>528.67999999999995</v>
      </c>
      <c r="F57" s="39">
        <v>11639.79</v>
      </c>
      <c r="G57" s="39">
        <v>-11111.11</v>
      </c>
      <c r="H57" s="40">
        <v>322222.24</v>
      </c>
    </row>
    <row r="58" spans="1:8" x14ac:dyDescent="0.35">
      <c r="A58" s="101">
        <f t="shared" si="0"/>
        <v>0</v>
      </c>
      <c r="B58" s="17" t="s">
        <v>353</v>
      </c>
      <c r="C58" s="15" t="s">
        <v>128</v>
      </c>
      <c r="D58" s="39">
        <v>333333.34999999998</v>
      </c>
      <c r="E58" s="39">
        <v>528.67999999999995</v>
      </c>
      <c r="F58" s="39">
        <v>11639.79</v>
      </c>
      <c r="G58" s="39">
        <v>-11111.11</v>
      </c>
      <c r="H58" s="40">
        <v>322222.24</v>
      </c>
    </row>
    <row r="59" spans="1:8" x14ac:dyDescent="0.35">
      <c r="A59" s="101">
        <f t="shared" si="0"/>
        <v>0</v>
      </c>
      <c r="B59" s="37" t="s">
        <v>354</v>
      </c>
      <c r="C59" s="15" t="s">
        <v>128</v>
      </c>
      <c r="D59" s="39">
        <v>333333.34999999998</v>
      </c>
      <c r="E59" s="39">
        <v>528.67999999999995</v>
      </c>
      <c r="F59" s="39">
        <v>11639.79</v>
      </c>
      <c r="G59" s="39">
        <v>-11111.11</v>
      </c>
      <c r="H59" s="40">
        <v>322222.24</v>
      </c>
    </row>
    <row r="60" spans="1:8" x14ac:dyDescent="0.35">
      <c r="A60" s="100" t="str">
        <f t="shared" si="0"/>
        <v>1</v>
      </c>
      <c r="B60" s="105">
        <v>12610001</v>
      </c>
      <c r="C60" s="15" t="s">
        <v>12</v>
      </c>
      <c r="D60" s="39">
        <v>333333.34999999998</v>
      </c>
      <c r="E60" s="39">
        <v>528.67999999999995</v>
      </c>
      <c r="F60" s="39">
        <v>11639.79</v>
      </c>
      <c r="G60" s="39">
        <v>-11111.11</v>
      </c>
      <c r="H60" s="40">
        <v>322222.24</v>
      </c>
    </row>
    <row r="61" spans="1:8" x14ac:dyDescent="0.35">
      <c r="A61" s="101">
        <f t="shared" si="0"/>
        <v>0</v>
      </c>
      <c r="B61" s="14" t="s">
        <v>355</v>
      </c>
      <c r="C61" s="15" t="s">
        <v>149</v>
      </c>
      <c r="D61" s="41">
        <v>0</v>
      </c>
      <c r="E61" s="41">
        <v>0</v>
      </c>
      <c r="F61" s="41">
        <v>0</v>
      </c>
      <c r="G61" s="41">
        <v>0</v>
      </c>
      <c r="H61" s="42">
        <v>0</v>
      </c>
    </row>
    <row r="62" spans="1:8" x14ac:dyDescent="0.35">
      <c r="A62" s="100" t="str">
        <f t="shared" si="0"/>
        <v>G</v>
      </c>
      <c r="B62" s="16" t="s">
        <v>356</v>
      </c>
      <c r="C62" s="15" t="s">
        <v>151</v>
      </c>
      <c r="D62" s="41">
        <v>0</v>
      </c>
      <c r="E62" s="41">
        <v>0</v>
      </c>
      <c r="F62" s="41">
        <v>0</v>
      </c>
      <c r="G62" s="41">
        <v>0</v>
      </c>
      <c r="H62" s="42">
        <v>0</v>
      </c>
    </row>
    <row r="63" spans="1:8" x14ac:dyDescent="0.35">
      <c r="A63" s="100">
        <f t="shared" si="0"/>
        <v>0</v>
      </c>
      <c r="B63" s="17" t="s">
        <v>357</v>
      </c>
      <c r="C63" s="15" t="s">
        <v>153</v>
      </c>
      <c r="D63" s="39">
        <v>16679.39</v>
      </c>
      <c r="E63" s="41">
        <v>0</v>
      </c>
      <c r="F63" s="41">
        <v>0</v>
      </c>
      <c r="G63" s="41">
        <v>0</v>
      </c>
      <c r="H63" s="40">
        <v>16679.39</v>
      </c>
    </row>
    <row r="64" spans="1:8" x14ac:dyDescent="0.35">
      <c r="A64" s="101">
        <f t="shared" si="0"/>
        <v>0</v>
      </c>
      <c r="B64" s="37" t="s">
        <v>358</v>
      </c>
      <c r="C64" s="15" t="s">
        <v>155</v>
      </c>
      <c r="D64" s="39">
        <v>16679.39</v>
      </c>
      <c r="E64" s="41">
        <v>0</v>
      </c>
      <c r="F64" s="41">
        <v>0</v>
      </c>
      <c r="G64" s="41">
        <v>0</v>
      </c>
      <c r="H64" s="40">
        <v>16679.39</v>
      </c>
    </row>
    <row r="65" spans="1:8" x14ac:dyDescent="0.35">
      <c r="A65" s="101" t="str">
        <f t="shared" si="0"/>
        <v>1</v>
      </c>
      <c r="B65" s="105">
        <v>14221001</v>
      </c>
      <c r="C65" s="15" t="s">
        <v>47</v>
      </c>
      <c r="D65" s="39">
        <v>16679.39</v>
      </c>
      <c r="E65" s="41">
        <v>0</v>
      </c>
      <c r="F65" s="41">
        <v>0</v>
      </c>
      <c r="G65" s="41">
        <v>0</v>
      </c>
      <c r="H65" s="40">
        <v>16679.39</v>
      </c>
    </row>
    <row r="66" spans="1:8" x14ac:dyDescent="0.35">
      <c r="A66" s="101">
        <f t="shared" si="0"/>
        <v>0</v>
      </c>
      <c r="B66" s="17" t="s">
        <v>359</v>
      </c>
      <c r="C66" s="15" t="s">
        <v>48</v>
      </c>
      <c r="D66" s="39">
        <v>6147</v>
      </c>
      <c r="E66" s="41">
        <v>0</v>
      </c>
      <c r="F66" s="41">
        <v>0</v>
      </c>
      <c r="G66" s="41">
        <v>0</v>
      </c>
      <c r="H66" s="40">
        <v>6147</v>
      </c>
    </row>
    <row r="67" spans="1:8" x14ac:dyDescent="0.35">
      <c r="A67" s="100" t="str">
        <f t="shared" si="0"/>
        <v>1</v>
      </c>
      <c r="B67" s="37">
        <v>14222001</v>
      </c>
      <c r="C67" s="15" t="s">
        <v>48</v>
      </c>
      <c r="D67" s="39">
        <v>6147</v>
      </c>
      <c r="E67" s="41">
        <v>0</v>
      </c>
      <c r="F67" s="41">
        <v>0</v>
      </c>
      <c r="G67" s="41">
        <v>0</v>
      </c>
      <c r="H67" s="40">
        <v>6147</v>
      </c>
    </row>
    <row r="68" spans="1:8" x14ac:dyDescent="0.35">
      <c r="A68" s="101">
        <f t="shared" si="0"/>
        <v>0</v>
      </c>
      <c r="B68" s="17" t="s">
        <v>360</v>
      </c>
      <c r="C68" s="15" t="s">
        <v>158</v>
      </c>
      <c r="D68" s="39">
        <v>-22826.39</v>
      </c>
      <c r="E68" s="41">
        <v>0</v>
      </c>
      <c r="F68" s="41">
        <v>0</v>
      </c>
      <c r="G68" s="41">
        <v>0</v>
      </c>
      <c r="H68" s="40">
        <v>-22826.39</v>
      </c>
    </row>
    <row r="69" spans="1:8" x14ac:dyDescent="0.35">
      <c r="A69" s="101">
        <f t="shared" ref="A69:A132" si="1">IF(LEN(B69)=8,LEFT(B69,1),0)</f>
        <v>0</v>
      </c>
      <c r="B69" s="37" t="s">
        <v>361</v>
      </c>
      <c r="C69" s="15" t="s">
        <v>158</v>
      </c>
      <c r="D69" s="39">
        <v>-22826.39</v>
      </c>
      <c r="E69" s="41">
        <v>0</v>
      </c>
      <c r="F69" s="41">
        <v>0</v>
      </c>
      <c r="G69" s="41">
        <v>0</v>
      </c>
      <c r="H69" s="40">
        <v>-22826.39</v>
      </c>
    </row>
    <row r="70" spans="1:8" x14ac:dyDescent="0.35">
      <c r="A70" s="100" t="str">
        <f t="shared" si="1"/>
        <v>1</v>
      </c>
      <c r="B70" s="105">
        <v>14229001</v>
      </c>
      <c r="C70" s="15" t="s">
        <v>49</v>
      </c>
      <c r="D70" s="39">
        <v>-16679.39</v>
      </c>
      <c r="E70" s="41">
        <v>0</v>
      </c>
      <c r="F70" s="41">
        <v>0</v>
      </c>
      <c r="G70" s="41">
        <v>0</v>
      </c>
      <c r="H70" s="40">
        <v>-16679.39</v>
      </c>
    </row>
    <row r="71" spans="1:8" x14ac:dyDescent="0.35">
      <c r="A71" s="101" t="str">
        <f t="shared" si="1"/>
        <v>1</v>
      </c>
      <c r="B71" s="105">
        <v>14229003</v>
      </c>
      <c r="C71" s="15" t="s">
        <v>50</v>
      </c>
      <c r="D71" s="39">
        <v>-6147</v>
      </c>
      <c r="E71" s="41">
        <v>0</v>
      </c>
      <c r="F71" s="41">
        <v>0</v>
      </c>
      <c r="G71" s="41">
        <v>0</v>
      </c>
      <c r="H71" s="40">
        <v>-6147</v>
      </c>
    </row>
    <row r="72" spans="1:8" x14ac:dyDescent="0.35">
      <c r="A72" s="100">
        <f t="shared" si="1"/>
        <v>0</v>
      </c>
      <c r="B72" s="10" t="s">
        <v>362</v>
      </c>
      <c r="C72" s="11" t="s">
        <v>161</v>
      </c>
      <c r="D72" s="39">
        <v>-2753631.84</v>
      </c>
      <c r="E72" s="39">
        <v>52263.8</v>
      </c>
      <c r="F72" s="39">
        <v>83334.55</v>
      </c>
      <c r="G72" s="39">
        <v>-31070.75</v>
      </c>
      <c r="H72" s="40">
        <v>-2784702.59</v>
      </c>
    </row>
    <row r="73" spans="1:8" x14ac:dyDescent="0.35">
      <c r="A73" s="100">
        <f t="shared" si="1"/>
        <v>0</v>
      </c>
      <c r="B73" s="12" t="s">
        <v>363</v>
      </c>
      <c r="C73" s="13" t="s">
        <v>103</v>
      </c>
      <c r="D73" s="39">
        <v>-140415.54999999999</v>
      </c>
      <c r="E73" s="39">
        <v>52263.8</v>
      </c>
      <c r="F73" s="39">
        <v>83334.55</v>
      </c>
      <c r="G73" s="39">
        <v>-31070.75</v>
      </c>
      <c r="H73" s="40">
        <v>-171486.3</v>
      </c>
    </row>
    <row r="74" spans="1:8" x14ac:dyDescent="0.35">
      <c r="A74" s="101">
        <f t="shared" si="1"/>
        <v>0</v>
      </c>
      <c r="B74" s="14" t="s">
        <v>364</v>
      </c>
      <c r="C74" s="15" t="s">
        <v>164</v>
      </c>
      <c r="D74" s="39">
        <v>-140415.54999999999</v>
      </c>
      <c r="E74" s="39">
        <v>52263.8</v>
      </c>
      <c r="F74" s="39">
        <v>83334.55</v>
      </c>
      <c r="G74" s="39">
        <v>-31070.75</v>
      </c>
      <c r="H74" s="40">
        <v>-171486.3</v>
      </c>
    </row>
    <row r="75" spans="1:8" x14ac:dyDescent="0.35">
      <c r="A75" s="100" t="str">
        <f t="shared" si="1"/>
        <v>G</v>
      </c>
      <c r="B75" s="16" t="s">
        <v>365</v>
      </c>
      <c r="C75" s="15" t="s">
        <v>166</v>
      </c>
      <c r="D75" s="39">
        <v>-124822.56</v>
      </c>
      <c r="E75" s="39">
        <v>33412.019999999997</v>
      </c>
      <c r="F75" s="39">
        <v>66827.03</v>
      </c>
      <c r="G75" s="39">
        <v>-33415.01</v>
      </c>
      <c r="H75" s="40">
        <v>-158237.57</v>
      </c>
    </row>
    <row r="76" spans="1:8" x14ac:dyDescent="0.35">
      <c r="A76" s="101">
        <f t="shared" si="1"/>
        <v>0</v>
      </c>
      <c r="B76" s="17" t="s">
        <v>366</v>
      </c>
      <c r="C76" s="15" t="s">
        <v>168</v>
      </c>
      <c r="D76" s="39">
        <v>-117195.42</v>
      </c>
      <c r="E76" s="39">
        <v>26808.15</v>
      </c>
      <c r="F76" s="39">
        <v>53857.279999999999</v>
      </c>
      <c r="G76" s="39">
        <v>-27049.13</v>
      </c>
      <c r="H76" s="40">
        <v>-144244.54999999999</v>
      </c>
    </row>
    <row r="77" spans="1:8" x14ac:dyDescent="0.35">
      <c r="A77" s="100" t="str">
        <f t="shared" si="1"/>
        <v>2</v>
      </c>
      <c r="B77" s="37">
        <v>21111001</v>
      </c>
      <c r="C77" s="15" t="s">
        <v>13</v>
      </c>
      <c r="D77" s="39">
        <v>-117195.42</v>
      </c>
      <c r="E77" s="39">
        <v>25065.68</v>
      </c>
      <c r="F77" s="39">
        <v>23786.79</v>
      </c>
      <c r="G77" s="39">
        <v>1278.8900000000001</v>
      </c>
      <c r="H77" s="40">
        <v>-115916.53</v>
      </c>
    </row>
    <row r="78" spans="1:8" x14ac:dyDescent="0.35">
      <c r="A78" s="101" t="str">
        <f t="shared" si="1"/>
        <v>2</v>
      </c>
      <c r="B78" s="37">
        <v>21111002</v>
      </c>
      <c r="C78" s="15" t="s">
        <v>41</v>
      </c>
      <c r="D78" s="41">
        <v>0</v>
      </c>
      <c r="E78" s="39">
        <v>1742.47</v>
      </c>
      <c r="F78" s="39">
        <v>30070.49</v>
      </c>
      <c r="G78" s="39">
        <v>-28328.02</v>
      </c>
      <c r="H78" s="40">
        <v>-28328.02</v>
      </c>
    </row>
    <row r="79" spans="1:8" x14ac:dyDescent="0.35">
      <c r="A79" s="101">
        <f t="shared" si="1"/>
        <v>0</v>
      </c>
      <c r="B79" s="17" t="s">
        <v>367</v>
      </c>
      <c r="C79" s="15" t="s">
        <v>170</v>
      </c>
      <c r="D79" s="39">
        <v>-7627.14</v>
      </c>
      <c r="E79" s="39">
        <v>6603.87</v>
      </c>
      <c r="F79" s="39">
        <v>12969.75</v>
      </c>
      <c r="G79" s="39">
        <v>-6365.88</v>
      </c>
      <c r="H79" s="40">
        <v>-13993.02</v>
      </c>
    </row>
    <row r="80" spans="1:8" x14ac:dyDescent="0.35">
      <c r="A80" s="101">
        <f t="shared" si="1"/>
        <v>0</v>
      </c>
      <c r="B80" s="37" t="s">
        <v>368</v>
      </c>
      <c r="C80" s="15" t="s">
        <v>172</v>
      </c>
      <c r="D80" s="39">
        <v>-7627.14</v>
      </c>
      <c r="E80" s="39">
        <v>6603.87</v>
      </c>
      <c r="F80" s="39">
        <v>12969.75</v>
      </c>
      <c r="G80" s="39">
        <v>-6365.88</v>
      </c>
      <c r="H80" s="40">
        <v>-13993.02</v>
      </c>
    </row>
    <row r="81" spans="1:8" x14ac:dyDescent="0.35">
      <c r="A81" s="100" t="str">
        <f t="shared" si="1"/>
        <v>2</v>
      </c>
      <c r="B81" s="105">
        <v>21111099</v>
      </c>
      <c r="C81" s="15" t="s">
        <v>44</v>
      </c>
      <c r="D81" s="39">
        <v>-7627.14</v>
      </c>
      <c r="E81" s="39">
        <v>6603.87</v>
      </c>
      <c r="F81" s="39">
        <v>12969.75</v>
      </c>
      <c r="G81" s="39">
        <v>-6365.88</v>
      </c>
      <c r="H81" s="40">
        <v>-13993.02</v>
      </c>
    </row>
    <row r="82" spans="1:8" x14ac:dyDescent="0.35">
      <c r="A82" s="101" t="str">
        <f t="shared" si="1"/>
        <v>G</v>
      </c>
      <c r="B82" s="16" t="s">
        <v>369</v>
      </c>
      <c r="C82" s="15" t="s">
        <v>174</v>
      </c>
      <c r="D82" s="39">
        <v>-10055.11</v>
      </c>
      <c r="E82" s="39">
        <v>13313.9</v>
      </c>
      <c r="F82" s="39">
        <v>16507.52</v>
      </c>
      <c r="G82" s="39">
        <v>-3193.62</v>
      </c>
      <c r="H82" s="40">
        <v>-13248.73</v>
      </c>
    </row>
    <row r="83" spans="1:8" x14ac:dyDescent="0.35">
      <c r="A83" s="100">
        <f t="shared" si="1"/>
        <v>0</v>
      </c>
      <c r="B83" s="17" t="s">
        <v>370</v>
      </c>
      <c r="C83" s="15" t="s">
        <v>176</v>
      </c>
      <c r="D83" s="39">
        <v>-275.49</v>
      </c>
      <c r="E83" s="39">
        <v>275.49</v>
      </c>
      <c r="F83" s="41">
        <v>0</v>
      </c>
      <c r="G83" s="39">
        <v>275.49</v>
      </c>
      <c r="H83" s="42">
        <v>0</v>
      </c>
    </row>
    <row r="84" spans="1:8" x14ac:dyDescent="0.35">
      <c r="A84" s="100" t="str">
        <f t="shared" si="1"/>
        <v>2</v>
      </c>
      <c r="B84" s="37">
        <v>21131104</v>
      </c>
      <c r="C84" s="15" t="s">
        <v>66</v>
      </c>
      <c r="D84" s="39">
        <v>-275.49</v>
      </c>
      <c r="E84" s="39">
        <v>275.49</v>
      </c>
      <c r="F84" s="41">
        <v>0</v>
      </c>
      <c r="G84" s="39">
        <v>275.49</v>
      </c>
      <c r="H84" s="42">
        <v>0</v>
      </c>
    </row>
    <row r="85" spans="1:8" x14ac:dyDescent="0.35">
      <c r="A85" s="100">
        <f t="shared" si="1"/>
        <v>0</v>
      </c>
      <c r="B85" s="17" t="s">
        <v>371</v>
      </c>
      <c r="C85" s="15" t="s">
        <v>178</v>
      </c>
      <c r="D85" s="39">
        <v>-9779.6200000000008</v>
      </c>
      <c r="E85" s="39">
        <v>13038.41</v>
      </c>
      <c r="F85" s="39">
        <v>16507.52</v>
      </c>
      <c r="G85" s="39">
        <v>-3469.11</v>
      </c>
      <c r="H85" s="40">
        <v>-13248.73</v>
      </c>
    </row>
    <row r="86" spans="1:8" x14ac:dyDescent="0.35">
      <c r="A86" s="101" t="str">
        <f t="shared" si="1"/>
        <v>2</v>
      </c>
      <c r="B86" s="37">
        <v>21131601</v>
      </c>
      <c r="C86" s="15" t="s">
        <v>14</v>
      </c>
      <c r="D86" s="39">
        <v>-4854.5600000000004</v>
      </c>
      <c r="E86" s="39">
        <v>4854.5600000000004</v>
      </c>
      <c r="F86" s="39">
        <v>7610.76</v>
      </c>
      <c r="G86" s="39">
        <v>-2756.2</v>
      </c>
      <c r="H86" s="40">
        <v>-7610.76</v>
      </c>
    </row>
    <row r="87" spans="1:8" x14ac:dyDescent="0.35">
      <c r="A87" s="100" t="str">
        <f t="shared" si="1"/>
        <v>2</v>
      </c>
      <c r="B87" s="37">
        <v>21131602</v>
      </c>
      <c r="C87" s="15" t="s">
        <v>15</v>
      </c>
      <c r="D87" s="39">
        <v>-1028.6099999999999</v>
      </c>
      <c r="E87" s="39">
        <v>1028.6099999999999</v>
      </c>
      <c r="F87" s="39">
        <v>1619.57</v>
      </c>
      <c r="G87" s="39">
        <v>-590.96</v>
      </c>
      <c r="H87" s="40">
        <v>-1619.57</v>
      </c>
    </row>
    <row r="88" spans="1:8" x14ac:dyDescent="0.35">
      <c r="A88" s="101" t="str">
        <f t="shared" si="1"/>
        <v>2</v>
      </c>
      <c r="B88" s="37">
        <v>21131701</v>
      </c>
      <c r="C88" s="15" t="s">
        <v>67</v>
      </c>
      <c r="D88" s="39">
        <v>-1353.15</v>
      </c>
      <c r="E88" s="39">
        <v>1353.15</v>
      </c>
      <c r="F88" s="41">
        <v>0</v>
      </c>
      <c r="G88" s="39">
        <v>1353.15</v>
      </c>
      <c r="H88" s="42">
        <v>0</v>
      </c>
    </row>
    <row r="89" spans="1:8" x14ac:dyDescent="0.35">
      <c r="A89" s="101" t="str">
        <f t="shared" si="1"/>
        <v>2</v>
      </c>
      <c r="B89" s="37">
        <v>21133102</v>
      </c>
      <c r="C89" s="15" t="s">
        <v>16</v>
      </c>
      <c r="D89" s="39">
        <v>-2543.3000000000002</v>
      </c>
      <c r="E89" s="39">
        <v>5802.09</v>
      </c>
      <c r="F89" s="39">
        <v>7277.19</v>
      </c>
      <c r="G89" s="39">
        <v>-1475.1</v>
      </c>
      <c r="H89" s="40">
        <v>-4018.4</v>
      </c>
    </row>
    <row r="90" spans="1:8" x14ac:dyDescent="0.35">
      <c r="A90" s="100" t="str">
        <f t="shared" si="1"/>
        <v>G</v>
      </c>
      <c r="B90" s="16" t="s">
        <v>372</v>
      </c>
      <c r="C90" s="15" t="s">
        <v>180</v>
      </c>
      <c r="D90" s="39">
        <v>-5537.88</v>
      </c>
      <c r="E90" s="39">
        <v>5537.88</v>
      </c>
      <c r="F90" s="41">
        <v>0</v>
      </c>
      <c r="G90" s="39">
        <v>5537.88</v>
      </c>
      <c r="H90" s="42">
        <v>0</v>
      </c>
    </row>
    <row r="91" spans="1:8" x14ac:dyDescent="0.35">
      <c r="A91" s="100">
        <f t="shared" si="1"/>
        <v>0</v>
      </c>
      <c r="B91" s="17" t="s">
        <v>373</v>
      </c>
      <c r="C91" s="15" t="s">
        <v>182</v>
      </c>
      <c r="D91" s="39">
        <v>-3542.56</v>
      </c>
      <c r="E91" s="39">
        <v>3542.56</v>
      </c>
      <c r="F91" s="41">
        <v>0</v>
      </c>
      <c r="G91" s="39">
        <v>3542.56</v>
      </c>
      <c r="H91" s="42">
        <v>0</v>
      </c>
    </row>
    <row r="92" spans="1:8" x14ac:dyDescent="0.35">
      <c r="A92" s="101">
        <f t="shared" si="1"/>
        <v>0</v>
      </c>
      <c r="B92" s="37" t="s">
        <v>374</v>
      </c>
      <c r="C92" s="15" t="s">
        <v>182</v>
      </c>
      <c r="D92" s="39">
        <v>-15084.52</v>
      </c>
      <c r="E92" s="41">
        <v>0</v>
      </c>
      <c r="F92" s="41">
        <v>0</v>
      </c>
      <c r="G92" s="41">
        <v>0</v>
      </c>
      <c r="H92" s="40">
        <v>-15084.52</v>
      </c>
    </row>
    <row r="93" spans="1:8" x14ac:dyDescent="0.35">
      <c r="A93" s="100" t="str">
        <f t="shared" si="1"/>
        <v>2</v>
      </c>
      <c r="B93" s="105">
        <v>21131101</v>
      </c>
      <c r="C93" s="15" t="s">
        <v>37</v>
      </c>
      <c r="D93" s="39">
        <v>-15084.52</v>
      </c>
      <c r="E93" s="41">
        <v>0</v>
      </c>
      <c r="F93" s="41">
        <v>0</v>
      </c>
      <c r="G93" s="41">
        <v>0</v>
      </c>
      <c r="H93" s="40">
        <v>-15084.52</v>
      </c>
    </row>
    <row r="94" spans="1:8" x14ac:dyDescent="0.35">
      <c r="A94" s="101">
        <f t="shared" si="1"/>
        <v>0</v>
      </c>
      <c r="B94" s="37" t="s">
        <v>375</v>
      </c>
      <c r="C94" s="15" t="s">
        <v>185</v>
      </c>
      <c r="D94" s="39">
        <v>11541.96</v>
      </c>
      <c r="E94" s="39">
        <v>3542.56</v>
      </c>
      <c r="F94" s="41">
        <v>0</v>
      </c>
      <c r="G94" s="39">
        <v>3542.56</v>
      </c>
      <c r="H94" s="40">
        <v>15084.52</v>
      </c>
    </row>
    <row r="95" spans="1:8" x14ac:dyDescent="0.35">
      <c r="A95" s="100" t="str">
        <f t="shared" si="1"/>
        <v>2</v>
      </c>
      <c r="B95" s="105">
        <v>21131102</v>
      </c>
      <c r="C95" s="15" t="s">
        <v>58</v>
      </c>
      <c r="D95" s="39">
        <v>11541.96</v>
      </c>
      <c r="E95" s="39">
        <v>3542.56</v>
      </c>
      <c r="F95" s="41">
        <v>0</v>
      </c>
      <c r="G95" s="39">
        <v>3542.56</v>
      </c>
      <c r="H95" s="40">
        <v>15084.52</v>
      </c>
    </row>
    <row r="96" spans="1:8" x14ac:dyDescent="0.35">
      <c r="A96" s="100">
        <f t="shared" si="1"/>
        <v>0</v>
      </c>
      <c r="B96" s="17" t="s">
        <v>376</v>
      </c>
      <c r="C96" s="15" t="s">
        <v>140</v>
      </c>
      <c r="D96" s="39">
        <v>-1995.32</v>
      </c>
      <c r="E96" s="39">
        <v>1995.32</v>
      </c>
      <c r="F96" s="41">
        <v>0</v>
      </c>
      <c r="G96" s="39">
        <v>1995.32</v>
      </c>
      <c r="H96" s="42">
        <v>0</v>
      </c>
    </row>
    <row r="97" spans="1:8" x14ac:dyDescent="0.35">
      <c r="A97" s="101">
        <f>IF(LEN(B97)=8,LEFT(B97,1),0)</f>
        <v>0</v>
      </c>
      <c r="B97" s="37" t="s">
        <v>377</v>
      </c>
      <c r="C97" s="15" t="s">
        <v>140</v>
      </c>
      <c r="D97" s="39">
        <v>-8310.43</v>
      </c>
      <c r="E97" s="41">
        <v>0</v>
      </c>
      <c r="F97" s="41">
        <v>0</v>
      </c>
      <c r="G97" s="41">
        <v>0</v>
      </c>
      <c r="H97" s="40">
        <v>-8310.43</v>
      </c>
    </row>
    <row r="98" spans="1:8" x14ac:dyDescent="0.35">
      <c r="A98" s="100" t="str">
        <f t="shared" si="1"/>
        <v>2</v>
      </c>
      <c r="B98" s="105">
        <v>21131201</v>
      </c>
      <c r="C98" s="15" t="s">
        <v>38</v>
      </c>
      <c r="D98" s="39">
        <v>-8310.43</v>
      </c>
      <c r="E98" s="41">
        <v>0</v>
      </c>
      <c r="F98" s="41">
        <v>0</v>
      </c>
      <c r="G98" s="41">
        <v>0</v>
      </c>
      <c r="H98" s="40">
        <v>-8310.43</v>
      </c>
    </row>
    <row r="99" spans="1:8" x14ac:dyDescent="0.35">
      <c r="A99" s="101">
        <f t="shared" si="1"/>
        <v>0</v>
      </c>
      <c r="B99" s="37" t="s">
        <v>378</v>
      </c>
      <c r="C99" s="15" t="s">
        <v>189</v>
      </c>
      <c r="D99" s="39">
        <v>6315.11</v>
      </c>
      <c r="E99" s="39">
        <v>1995.32</v>
      </c>
      <c r="F99" s="41">
        <v>0</v>
      </c>
      <c r="G99" s="39">
        <v>1995.32</v>
      </c>
      <c r="H99" s="40">
        <v>8310.43</v>
      </c>
    </row>
    <row r="100" spans="1:8" x14ac:dyDescent="0.35">
      <c r="A100" s="100" t="str">
        <f t="shared" si="1"/>
        <v>2</v>
      </c>
      <c r="B100" s="105">
        <v>21131202</v>
      </c>
      <c r="C100" s="15" t="s">
        <v>59</v>
      </c>
      <c r="D100" s="39">
        <v>6315.11</v>
      </c>
      <c r="E100" s="39">
        <v>1995.32</v>
      </c>
      <c r="F100" s="41">
        <v>0</v>
      </c>
      <c r="G100" s="39">
        <v>1995.32</v>
      </c>
      <c r="H100" s="40">
        <v>8310.43</v>
      </c>
    </row>
    <row r="101" spans="1:8" x14ac:dyDescent="0.35">
      <c r="A101" s="101">
        <f t="shared" si="1"/>
        <v>0</v>
      </c>
      <c r="B101" s="12" t="s">
        <v>379</v>
      </c>
      <c r="C101" s="13" t="s">
        <v>191</v>
      </c>
      <c r="D101" s="39">
        <v>-2613216.29</v>
      </c>
      <c r="E101" s="41">
        <v>0</v>
      </c>
      <c r="F101" s="41">
        <v>0</v>
      </c>
      <c r="G101" s="41">
        <v>0</v>
      </c>
      <c r="H101" s="40">
        <v>-2613216.29</v>
      </c>
    </row>
    <row r="102" spans="1:8" x14ac:dyDescent="0.35">
      <c r="A102" s="100">
        <f t="shared" si="1"/>
        <v>0</v>
      </c>
      <c r="B102" s="14" t="s">
        <v>380</v>
      </c>
      <c r="C102" s="15" t="s">
        <v>193</v>
      </c>
      <c r="D102" s="39">
        <v>-2613216.29</v>
      </c>
      <c r="E102" s="41">
        <v>0</v>
      </c>
      <c r="F102" s="41">
        <v>0</v>
      </c>
      <c r="G102" s="41">
        <v>0</v>
      </c>
      <c r="H102" s="40">
        <v>-2613216.29</v>
      </c>
    </row>
    <row r="103" spans="1:8" x14ac:dyDescent="0.35">
      <c r="A103" s="101" t="str">
        <f t="shared" si="1"/>
        <v>G</v>
      </c>
      <c r="B103" s="16" t="s">
        <v>381</v>
      </c>
      <c r="C103" s="15" t="s">
        <v>195</v>
      </c>
      <c r="D103" s="39">
        <v>-1707264</v>
      </c>
      <c r="E103" s="41">
        <v>0</v>
      </c>
      <c r="F103" s="41">
        <v>0</v>
      </c>
      <c r="G103" s="41">
        <v>0</v>
      </c>
      <c r="H103" s="40">
        <v>-1707264</v>
      </c>
    </row>
    <row r="104" spans="1:8" x14ac:dyDescent="0.35">
      <c r="A104" s="100">
        <f t="shared" si="1"/>
        <v>0</v>
      </c>
      <c r="B104" s="17" t="s">
        <v>382</v>
      </c>
      <c r="C104" s="15" t="s">
        <v>197</v>
      </c>
      <c r="D104" s="39">
        <v>-1707264</v>
      </c>
      <c r="E104" s="41">
        <v>0</v>
      </c>
      <c r="F104" s="41">
        <v>0</v>
      </c>
      <c r="G104" s="41">
        <v>0</v>
      </c>
      <c r="H104" s="40">
        <v>-1707264</v>
      </c>
    </row>
    <row r="105" spans="1:8" x14ac:dyDescent="0.35">
      <c r="A105" s="101">
        <f t="shared" si="1"/>
        <v>0</v>
      </c>
      <c r="B105" s="37" t="s">
        <v>383</v>
      </c>
      <c r="C105" s="15" t="s">
        <v>51</v>
      </c>
      <c r="D105" s="39">
        <v>-1707264</v>
      </c>
      <c r="E105" s="41">
        <v>0</v>
      </c>
      <c r="F105" s="41">
        <v>0</v>
      </c>
      <c r="G105" s="41">
        <v>0</v>
      </c>
      <c r="H105" s="40">
        <v>-1707264</v>
      </c>
    </row>
    <row r="106" spans="1:8" x14ac:dyDescent="0.35">
      <c r="A106" s="100" t="str">
        <f t="shared" si="1"/>
        <v>2</v>
      </c>
      <c r="B106" s="105">
        <v>24111001</v>
      </c>
      <c r="C106" s="15" t="s">
        <v>51</v>
      </c>
      <c r="D106" s="39">
        <v>-1707264</v>
      </c>
      <c r="E106" s="41">
        <v>0</v>
      </c>
      <c r="F106" s="41">
        <v>0</v>
      </c>
      <c r="G106" s="41">
        <v>0</v>
      </c>
      <c r="H106" s="40">
        <v>-1707264</v>
      </c>
    </row>
    <row r="107" spans="1:8" x14ac:dyDescent="0.35">
      <c r="A107" s="101" t="str">
        <f t="shared" si="1"/>
        <v>G</v>
      </c>
      <c r="B107" s="16" t="s">
        <v>384</v>
      </c>
      <c r="C107" s="15" t="s">
        <v>200</v>
      </c>
      <c r="D107" s="39">
        <v>-905952.29</v>
      </c>
      <c r="E107" s="41">
        <v>0</v>
      </c>
      <c r="F107" s="41">
        <v>0</v>
      </c>
      <c r="G107" s="41">
        <v>0</v>
      </c>
      <c r="H107" s="40">
        <v>-905952.29</v>
      </c>
    </row>
    <row r="108" spans="1:8" x14ac:dyDescent="0.35">
      <c r="A108" s="101">
        <f t="shared" si="1"/>
        <v>0</v>
      </c>
      <c r="B108" s="17" t="s">
        <v>385</v>
      </c>
      <c r="C108" s="15" t="s">
        <v>202</v>
      </c>
      <c r="D108" s="39">
        <v>-905952.29</v>
      </c>
      <c r="E108" s="41">
        <v>0</v>
      </c>
      <c r="F108" s="41">
        <v>0</v>
      </c>
      <c r="G108" s="41">
        <v>0</v>
      </c>
      <c r="H108" s="40">
        <v>-905952.29</v>
      </c>
    </row>
    <row r="109" spans="1:8" x14ac:dyDescent="0.35">
      <c r="A109" s="101" t="str">
        <f t="shared" si="1"/>
        <v>2</v>
      </c>
      <c r="B109" s="37">
        <v>24180004</v>
      </c>
      <c r="C109" s="15" t="s">
        <v>17</v>
      </c>
      <c r="D109" s="39">
        <v>-905952.29</v>
      </c>
      <c r="E109" s="41">
        <v>0</v>
      </c>
      <c r="F109" s="41">
        <v>0</v>
      </c>
      <c r="G109" s="41">
        <v>0</v>
      </c>
      <c r="H109" s="40">
        <v>-905952.29</v>
      </c>
    </row>
    <row r="110" spans="1:8" x14ac:dyDescent="0.35">
      <c r="A110" s="101">
        <f t="shared" si="1"/>
        <v>0</v>
      </c>
      <c r="B110" s="10" t="s">
        <v>386</v>
      </c>
      <c r="C110" s="11" t="s">
        <v>204</v>
      </c>
      <c r="D110" s="39">
        <v>-68943.14</v>
      </c>
      <c r="E110" s="39">
        <v>85981.74</v>
      </c>
      <c r="F110" s="39">
        <v>142504.78</v>
      </c>
      <c r="G110" s="39">
        <v>-56523.040000000001</v>
      </c>
      <c r="H110" s="40">
        <v>-125466.18</v>
      </c>
    </row>
    <row r="111" spans="1:8" x14ac:dyDescent="0.35">
      <c r="A111" s="100">
        <f t="shared" si="1"/>
        <v>0</v>
      </c>
      <c r="B111" s="12" t="s">
        <v>387</v>
      </c>
      <c r="C111" s="13" t="s">
        <v>206</v>
      </c>
      <c r="D111" s="39">
        <v>-113383.35</v>
      </c>
      <c r="E111" s="39">
        <v>43109.09</v>
      </c>
      <c r="F111" s="39">
        <v>99355.39</v>
      </c>
      <c r="G111" s="39">
        <v>-56246.3</v>
      </c>
      <c r="H111" s="40">
        <v>-169629.65</v>
      </c>
    </row>
    <row r="112" spans="1:8" x14ac:dyDescent="0.35">
      <c r="A112" s="101">
        <f t="shared" si="1"/>
        <v>0</v>
      </c>
      <c r="B112" s="14" t="s">
        <v>388</v>
      </c>
      <c r="C112" s="15" t="s">
        <v>314</v>
      </c>
      <c r="D112" s="39">
        <v>20057.93</v>
      </c>
      <c r="E112" s="39">
        <v>14579.59</v>
      </c>
      <c r="F112" s="39">
        <v>6603.87</v>
      </c>
      <c r="G112" s="39">
        <v>7975.72</v>
      </c>
      <c r="H112" s="40">
        <v>28033.65</v>
      </c>
    </row>
    <row r="113" spans="1:8" x14ac:dyDescent="0.35">
      <c r="A113" s="101" t="str">
        <f t="shared" si="1"/>
        <v>G</v>
      </c>
      <c r="B113" s="16" t="s">
        <v>389</v>
      </c>
      <c r="C113" s="15" t="s">
        <v>315</v>
      </c>
      <c r="D113" s="39">
        <v>20057.93</v>
      </c>
      <c r="E113" s="39">
        <v>14579.59</v>
      </c>
      <c r="F113" s="39">
        <v>6603.87</v>
      </c>
      <c r="G113" s="39">
        <v>7975.72</v>
      </c>
      <c r="H113" s="40">
        <v>28033.65</v>
      </c>
    </row>
    <row r="114" spans="1:8" x14ac:dyDescent="0.35">
      <c r="A114" s="100">
        <f t="shared" si="1"/>
        <v>0</v>
      </c>
      <c r="B114" s="17" t="s">
        <v>390</v>
      </c>
      <c r="C114" s="15" t="s">
        <v>315</v>
      </c>
      <c r="D114" s="39">
        <v>20057.93</v>
      </c>
      <c r="E114" s="39">
        <v>14579.59</v>
      </c>
      <c r="F114" s="39">
        <v>6603.87</v>
      </c>
      <c r="G114" s="39">
        <v>7975.72</v>
      </c>
      <c r="H114" s="40">
        <v>28033.65</v>
      </c>
    </row>
    <row r="115" spans="1:8" x14ac:dyDescent="0.35">
      <c r="A115" s="101">
        <f t="shared" si="1"/>
        <v>0</v>
      </c>
      <c r="B115" s="37" t="s">
        <v>391</v>
      </c>
      <c r="C115" s="15" t="s">
        <v>304</v>
      </c>
      <c r="D115" s="39">
        <v>20057.93</v>
      </c>
      <c r="E115" s="39">
        <v>14579.59</v>
      </c>
      <c r="F115" s="39">
        <v>6603.87</v>
      </c>
      <c r="G115" s="39">
        <v>7975.72</v>
      </c>
      <c r="H115" s="40">
        <v>28033.65</v>
      </c>
    </row>
    <row r="116" spans="1:8" x14ac:dyDescent="0.35">
      <c r="A116" s="100" t="str">
        <f t="shared" si="1"/>
        <v>4</v>
      </c>
      <c r="B116" s="105">
        <v>44189012</v>
      </c>
      <c r="C116" s="15" t="s">
        <v>224</v>
      </c>
      <c r="D116" s="39">
        <v>15049.82</v>
      </c>
      <c r="E116" s="39">
        <v>1609.84</v>
      </c>
      <c r="F116" s="41">
        <v>0</v>
      </c>
      <c r="G116" s="39">
        <v>1609.84</v>
      </c>
      <c r="H116" s="40">
        <v>16659.66</v>
      </c>
    </row>
    <row r="117" spans="1:8" x14ac:dyDescent="0.35">
      <c r="A117" s="101" t="str">
        <f t="shared" si="1"/>
        <v>4</v>
      </c>
      <c r="B117" s="105">
        <v>44189013</v>
      </c>
      <c r="C117" s="15" t="s">
        <v>70</v>
      </c>
      <c r="D117" s="39">
        <v>5008.1099999999997</v>
      </c>
      <c r="E117" s="39">
        <v>12969.75</v>
      </c>
      <c r="F117" s="39">
        <v>6603.87</v>
      </c>
      <c r="G117" s="39">
        <v>6365.88</v>
      </c>
      <c r="H117" s="40">
        <v>11373.99</v>
      </c>
    </row>
    <row r="118" spans="1:8" x14ac:dyDescent="0.35">
      <c r="A118" s="101">
        <f t="shared" si="1"/>
        <v>0</v>
      </c>
      <c r="B118" s="14" t="s">
        <v>392</v>
      </c>
      <c r="C118" s="15" t="s">
        <v>208</v>
      </c>
      <c r="D118" s="39">
        <v>-133441.28</v>
      </c>
      <c r="E118" s="39">
        <v>28529.5</v>
      </c>
      <c r="F118" s="39">
        <v>92751.52</v>
      </c>
      <c r="G118" s="39">
        <v>-64222.02</v>
      </c>
      <c r="H118" s="40">
        <v>-197663.3</v>
      </c>
    </row>
    <row r="119" spans="1:8" x14ac:dyDescent="0.35">
      <c r="A119" s="101" t="str">
        <f t="shared" si="1"/>
        <v>G</v>
      </c>
      <c r="B119" s="16" t="s">
        <v>393</v>
      </c>
      <c r="C119" s="15" t="s">
        <v>210</v>
      </c>
      <c r="D119" s="39">
        <v>-185521.28</v>
      </c>
      <c r="E119" s="39">
        <v>504.5</v>
      </c>
      <c r="F119" s="39">
        <v>92751.52</v>
      </c>
      <c r="G119" s="39">
        <v>-92247.02</v>
      </c>
      <c r="H119" s="40">
        <v>-277768.3</v>
      </c>
    </row>
    <row r="120" spans="1:8" x14ac:dyDescent="0.35">
      <c r="A120" s="100">
        <f t="shared" si="1"/>
        <v>0</v>
      </c>
      <c r="B120" s="17" t="s">
        <v>394</v>
      </c>
      <c r="C120" s="15" t="s">
        <v>212</v>
      </c>
      <c r="D120" s="39">
        <v>-185521.28</v>
      </c>
      <c r="E120" s="39">
        <v>504.5</v>
      </c>
      <c r="F120" s="39">
        <v>92751.52</v>
      </c>
      <c r="G120" s="39">
        <v>-92247.02</v>
      </c>
      <c r="H120" s="40">
        <v>-277768.3</v>
      </c>
    </row>
    <row r="121" spans="1:8" x14ac:dyDescent="0.35">
      <c r="A121" s="101">
        <f t="shared" si="1"/>
        <v>0</v>
      </c>
      <c r="B121" s="37" t="s">
        <v>395</v>
      </c>
      <c r="C121" s="15" t="s">
        <v>214</v>
      </c>
      <c r="D121" s="39">
        <v>-185521.28</v>
      </c>
      <c r="E121" s="39">
        <v>504.5</v>
      </c>
      <c r="F121" s="39">
        <v>92751.52</v>
      </c>
      <c r="G121" s="39">
        <v>-92247.02</v>
      </c>
      <c r="H121" s="40">
        <v>-277768.3</v>
      </c>
    </row>
    <row r="122" spans="1:8" x14ac:dyDescent="0.35">
      <c r="A122" s="101">
        <f t="shared" si="1"/>
        <v>0</v>
      </c>
      <c r="B122" s="105" t="s">
        <v>396</v>
      </c>
      <c r="C122" s="15" t="s">
        <v>216</v>
      </c>
      <c r="D122" s="39">
        <v>-185521.28</v>
      </c>
      <c r="E122" s="39">
        <v>504.5</v>
      </c>
      <c r="F122" s="39">
        <v>92751.52</v>
      </c>
      <c r="G122" s="39">
        <v>-92247.02</v>
      </c>
      <c r="H122" s="40">
        <v>-277768.3</v>
      </c>
    </row>
    <row r="123" spans="1:8" x14ac:dyDescent="0.35">
      <c r="A123" s="101" t="str">
        <f t="shared" si="1"/>
        <v>3</v>
      </c>
      <c r="B123" s="106">
        <v>35199995</v>
      </c>
      <c r="C123" s="15" t="s">
        <v>68</v>
      </c>
      <c r="D123" s="39">
        <v>-166459</v>
      </c>
      <c r="E123" s="39">
        <v>504.5</v>
      </c>
      <c r="F123" s="39">
        <v>86127</v>
      </c>
      <c r="G123" s="39">
        <v>-85622.5</v>
      </c>
      <c r="H123" s="40">
        <v>-252081.5</v>
      </c>
    </row>
    <row r="124" spans="1:8" x14ac:dyDescent="0.35">
      <c r="A124" s="100" t="str">
        <f t="shared" si="1"/>
        <v>3</v>
      </c>
      <c r="B124" s="106">
        <v>35199998</v>
      </c>
      <c r="C124" s="15" t="s">
        <v>18</v>
      </c>
      <c r="D124" s="39">
        <v>-19062.28</v>
      </c>
      <c r="E124" s="41">
        <v>0</v>
      </c>
      <c r="F124" s="39">
        <v>6624.52</v>
      </c>
      <c r="G124" s="39">
        <v>-6624.52</v>
      </c>
      <c r="H124" s="40">
        <v>-25686.799999999999</v>
      </c>
    </row>
    <row r="125" spans="1:8" x14ac:dyDescent="0.35">
      <c r="A125" s="101" t="str">
        <f t="shared" si="1"/>
        <v>G</v>
      </c>
      <c r="B125" s="16" t="s">
        <v>397</v>
      </c>
      <c r="C125" s="15" t="s">
        <v>218</v>
      </c>
      <c r="D125" s="39">
        <v>52080</v>
      </c>
      <c r="E125" s="39">
        <v>28025</v>
      </c>
      <c r="F125" s="41">
        <v>0</v>
      </c>
      <c r="G125" s="39">
        <v>28025</v>
      </c>
      <c r="H125" s="40">
        <v>80105</v>
      </c>
    </row>
    <row r="126" spans="1:8" x14ac:dyDescent="0.35">
      <c r="A126" s="101">
        <f t="shared" si="1"/>
        <v>0</v>
      </c>
      <c r="B126" s="17" t="s">
        <v>398</v>
      </c>
      <c r="C126" s="15" t="s">
        <v>220</v>
      </c>
      <c r="D126" s="39">
        <v>52080</v>
      </c>
      <c r="E126" s="39">
        <v>28025</v>
      </c>
      <c r="F126" s="41">
        <v>0</v>
      </c>
      <c r="G126" s="39">
        <v>28025</v>
      </c>
      <c r="H126" s="40">
        <v>80105</v>
      </c>
    </row>
    <row r="127" spans="1:8" x14ac:dyDescent="0.35">
      <c r="A127" s="100">
        <f t="shared" si="1"/>
        <v>0</v>
      </c>
      <c r="B127" s="37" t="s">
        <v>399</v>
      </c>
      <c r="C127" s="15" t="s">
        <v>222</v>
      </c>
      <c r="D127" s="39">
        <v>52080</v>
      </c>
      <c r="E127" s="39">
        <v>28025</v>
      </c>
      <c r="F127" s="41">
        <v>0</v>
      </c>
      <c r="G127" s="39">
        <v>28025</v>
      </c>
      <c r="H127" s="40">
        <v>80105</v>
      </c>
    </row>
    <row r="128" spans="1:8" x14ac:dyDescent="0.35">
      <c r="A128" s="101">
        <f t="shared" si="1"/>
        <v>0</v>
      </c>
      <c r="B128" s="105" t="s">
        <v>400</v>
      </c>
      <c r="C128" s="15" t="s">
        <v>216</v>
      </c>
      <c r="D128" s="39">
        <v>52080</v>
      </c>
      <c r="E128" s="39">
        <v>28025</v>
      </c>
      <c r="F128" s="41">
        <v>0</v>
      </c>
      <c r="G128" s="39">
        <v>28025</v>
      </c>
      <c r="H128" s="40">
        <v>80105</v>
      </c>
    </row>
    <row r="129" spans="1:8" x14ac:dyDescent="0.35">
      <c r="A129" s="100" t="str">
        <f t="shared" si="1"/>
        <v>4</v>
      </c>
      <c r="B129" s="106">
        <v>44189011</v>
      </c>
      <c r="C129" s="15" t="s">
        <v>94</v>
      </c>
      <c r="D129" s="39">
        <v>52080</v>
      </c>
      <c r="E129" s="39">
        <v>28025</v>
      </c>
      <c r="F129" s="41">
        <v>0</v>
      </c>
      <c r="G129" s="39">
        <v>28025</v>
      </c>
      <c r="H129" s="40">
        <v>80105</v>
      </c>
    </row>
    <row r="130" spans="1:8" x14ac:dyDescent="0.35">
      <c r="A130" s="100">
        <f t="shared" si="1"/>
        <v>0</v>
      </c>
      <c r="B130" s="12" t="s">
        <v>401</v>
      </c>
      <c r="C130" s="13" t="s">
        <v>226</v>
      </c>
      <c r="D130" s="39">
        <v>49698.21</v>
      </c>
      <c r="E130" s="39">
        <v>42773.09</v>
      </c>
      <c r="F130" s="39">
        <v>28050.23</v>
      </c>
      <c r="G130" s="39">
        <v>14722.86</v>
      </c>
      <c r="H130" s="40">
        <v>64421.07</v>
      </c>
    </row>
    <row r="131" spans="1:8" x14ac:dyDescent="0.35">
      <c r="A131" s="101">
        <f t="shared" si="1"/>
        <v>0</v>
      </c>
      <c r="B131" s="14" t="s">
        <v>402</v>
      </c>
      <c r="C131" s="15" t="s">
        <v>228</v>
      </c>
      <c r="D131" s="39">
        <v>13800</v>
      </c>
      <c r="E131" s="39">
        <v>28025</v>
      </c>
      <c r="F131" s="39">
        <v>28025</v>
      </c>
      <c r="G131" s="41">
        <v>0</v>
      </c>
      <c r="H131" s="40">
        <v>13800</v>
      </c>
    </row>
    <row r="132" spans="1:8" x14ac:dyDescent="0.35">
      <c r="A132" s="101" t="str">
        <f t="shared" si="1"/>
        <v>G</v>
      </c>
      <c r="B132" s="16" t="s">
        <v>403</v>
      </c>
      <c r="C132" s="15" t="s">
        <v>228</v>
      </c>
      <c r="D132" s="39">
        <v>13800</v>
      </c>
      <c r="E132" s="39">
        <v>28025</v>
      </c>
      <c r="F132" s="39">
        <v>28025</v>
      </c>
      <c r="G132" s="41">
        <v>0</v>
      </c>
      <c r="H132" s="40">
        <v>13800</v>
      </c>
    </row>
    <row r="133" spans="1:8" x14ac:dyDescent="0.35">
      <c r="A133" s="100">
        <f t="shared" ref="A133:A196" si="2">IF(LEN(B133)=8,LEFT(B133,1),0)</f>
        <v>0</v>
      </c>
      <c r="B133" s="17" t="s">
        <v>404</v>
      </c>
      <c r="C133" s="15" t="s">
        <v>231</v>
      </c>
      <c r="D133" s="39">
        <v>13800</v>
      </c>
      <c r="E133" s="39">
        <v>28025</v>
      </c>
      <c r="F133" s="39">
        <v>28025</v>
      </c>
      <c r="G133" s="41">
        <v>0</v>
      </c>
      <c r="H133" s="40">
        <v>13800</v>
      </c>
    </row>
    <row r="134" spans="1:8" x14ac:dyDescent="0.35">
      <c r="A134" s="101">
        <f t="shared" si="2"/>
        <v>0</v>
      </c>
      <c r="B134" s="37" t="s">
        <v>405</v>
      </c>
      <c r="C134" s="15" t="s">
        <v>220</v>
      </c>
      <c r="D134" s="39">
        <v>13800</v>
      </c>
      <c r="E134" s="39">
        <v>28025</v>
      </c>
      <c r="F134" s="39">
        <v>28025</v>
      </c>
      <c r="G134" s="41">
        <v>0</v>
      </c>
      <c r="H134" s="40">
        <v>13800</v>
      </c>
    </row>
    <row r="135" spans="1:8" x14ac:dyDescent="0.35">
      <c r="A135" s="101" t="str">
        <f t="shared" si="2"/>
        <v>4</v>
      </c>
      <c r="B135" s="105">
        <v>46211014</v>
      </c>
      <c r="C135" s="15" t="s">
        <v>233</v>
      </c>
      <c r="D135" s="41">
        <v>0</v>
      </c>
      <c r="E135" s="39">
        <v>28025</v>
      </c>
      <c r="F135" s="39">
        <v>28025</v>
      </c>
      <c r="G135" s="41">
        <v>0</v>
      </c>
      <c r="H135" s="42">
        <v>0</v>
      </c>
    </row>
    <row r="136" spans="1:8" x14ac:dyDescent="0.35">
      <c r="A136" s="100" t="str">
        <f t="shared" si="2"/>
        <v>4</v>
      </c>
      <c r="B136" s="105">
        <v>46211017</v>
      </c>
      <c r="C136" s="15" t="s">
        <v>56</v>
      </c>
      <c r="D136" s="39">
        <v>13800</v>
      </c>
      <c r="E136" s="41">
        <v>0</v>
      </c>
      <c r="F136" s="41">
        <v>0</v>
      </c>
      <c r="G136" s="41">
        <v>0</v>
      </c>
      <c r="H136" s="40">
        <v>13800</v>
      </c>
    </row>
    <row r="137" spans="1:8" x14ac:dyDescent="0.35">
      <c r="A137" s="100">
        <f t="shared" si="2"/>
        <v>0</v>
      </c>
      <c r="B137" s="14" t="s">
        <v>406</v>
      </c>
      <c r="C137" s="15" t="s">
        <v>236</v>
      </c>
      <c r="D137" s="39">
        <v>1203.1500000000001</v>
      </c>
      <c r="E137" s="39">
        <v>1129</v>
      </c>
      <c r="F137" s="41">
        <v>0</v>
      </c>
      <c r="G137" s="39">
        <v>1129</v>
      </c>
      <c r="H137" s="40">
        <v>2332.15</v>
      </c>
    </row>
    <row r="138" spans="1:8" x14ac:dyDescent="0.35">
      <c r="A138" s="101" t="str">
        <f t="shared" si="2"/>
        <v>G</v>
      </c>
      <c r="B138" s="16" t="s">
        <v>407</v>
      </c>
      <c r="C138" s="15" t="s">
        <v>236</v>
      </c>
      <c r="D138" s="39">
        <v>1203.1500000000001</v>
      </c>
      <c r="E138" s="39">
        <v>1129</v>
      </c>
      <c r="F138" s="41">
        <v>0</v>
      </c>
      <c r="G138" s="39">
        <v>1129</v>
      </c>
      <c r="H138" s="40">
        <v>2332.15</v>
      </c>
    </row>
    <row r="139" spans="1:8" x14ac:dyDescent="0.35">
      <c r="A139" s="100">
        <f t="shared" si="2"/>
        <v>0</v>
      </c>
      <c r="B139" s="17" t="s">
        <v>408</v>
      </c>
      <c r="C139" s="15" t="s">
        <v>239</v>
      </c>
      <c r="D139" s="39">
        <v>1203.1500000000001</v>
      </c>
      <c r="E139" s="39">
        <v>693.35</v>
      </c>
      <c r="F139" s="41">
        <v>0</v>
      </c>
      <c r="G139" s="39">
        <v>693.35</v>
      </c>
      <c r="H139" s="40">
        <v>1896.5</v>
      </c>
    </row>
    <row r="140" spans="1:8" x14ac:dyDescent="0.35">
      <c r="A140" s="101">
        <f t="shared" si="2"/>
        <v>0</v>
      </c>
      <c r="B140" s="37" t="s">
        <v>409</v>
      </c>
      <c r="C140" s="15" t="s">
        <v>241</v>
      </c>
      <c r="D140" s="39">
        <v>1203.1500000000001</v>
      </c>
      <c r="E140" s="39">
        <v>693.35</v>
      </c>
      <c r="F140" s="41">
        <v>0</v>
      </c>
      <c r="G140" s="39">
        <v>693.35</v>
      </c>
      <c r="H140" s="40">
        <v>1896.5</v>
      </c>
    </row>
    <row r="141" spans="1:8" x14ac:dyDescent="0.35">
      <c r="A141" s="100" t="str">
        <f t="shared" si="2"/>
        <v>4</v>
      </c>
      <c r="B141" s="105">
        <v>46312006</v>
      </c>
      <c r="C141" s="15" t="s">
        <v>22</v>
      </c>
      <c r="D141" s="39">
        <v>1203.1500000000001</v>
      </c>
      <c r="E141" s="39">
        <v>693.35</v>
      </c>
      <c r="F141" s="41">
        <v>0</v>
      </c>
      <c r="G141" s="39">
        <v>693.35</v>
      </c>
      <c r="H141" s="40">
        <v>1896.5</v>
      </c>
    </row>
    <row r="142" spans="1:8" x14ac:dyDescent="0.35">
      <c r="A142" s="100">
        <f t="shared" si="2"/>
        <v>0</v>
      </c>
      <c r="B142" s="17" t="s">
        <v>454</v>
      </c>
      <c r="C142" s="15" t="s">
        <v>450</v>
      </c>
      <c r="D142" s="41">
        <v>0</v>
      </c>
      <c r="E142" s="39">
        <v>435.65</v>
      </c>
      <c r="F142" s="41">
        <v>0</v>
      </c>
      <c r="G142" s="39">
        <v>435.65</v>
      </c>
      <c r="H142" s="40">
        <v>435.65</v>
      </c>
    </row>
    <row r="143" spans="1:8" x14ac:dyDescent="0.35">
      <c r="A143" s="101">
        <f t="shared" si="2"/>
        <v>0</v>
      </c>
      <c r="B143" s="37" t="s">
        <v>455</v>
      </c>
      <c r="C143" s="15" t="s">
        <v>451</v>
      </c>
      <c r="D143" s="41">
        <v>0</v>
      </c>
      <c r="E143" s="39">
        <v>435.65</v>
      </c>
      <c r="F143" s="41">
        <v>0</v>
      </c>
      <c r="G143" s="39">
        <v>435.65</v>
      </c>
      <c r="H143" s="40">
        <v>435.65</v>
      </c>
    </row>
    <row r="144" spans="1:8" x14ac:dyDescent="0.35">
      <c r="A144" s="101" t="str">
        <f t="shared" si="2"/>
        <v>4</v>
      </c>
      <c r="B144" s="105">
        <v>46316004</v>
      </c>
      <c r="C144" s="15" t="s">
        <v>452</v>
      </c>
      <c r="D144" s="41">
        <v>0</v>
      </c>
      <c r="E144" s="39">
        <v>435.65</v>
      </c>
      <c r="F144" s="41">
        <v>0</v>
      </c>
      <c r="G144" s="39">
        <v>435.65</v>
      </c>
      <c r="H144" s="40">
        <v>435.65</v>
      </c>
    </row>
    <row r="145" spans="1:8" x14ac:dyDescent="0.35">
      <c r="A145" s="100">
        <f t="shared" si="2"/>
        <v>0</v>
      </c>
      <c r="B145" s="14" t="s">
        <v>410</v>
      </c>
      <c r="C145" s="15" t="s">
        <v>243</v>
      </c>
      <c r="D145" s="39">
        <v>30124.97</v>
      </c>
      <c r="E145" s="39">
        <v>13619.09</v>
      </c>
      <c r="F145" s="39">
        <v>25.23</v>
      </c>
      <c r="G145" s="39">
        <v>13593.86</v>
      </c>
      <c r="H145" s="40">
        <v>43718.83</v>
      </c>
    </row>
    <row r="146" spans="1:8" x14ac:dyDescent="0.35">
      <c r="A146" s="100" t="str">
        <f t="shared" si="2"/>
        <v>G</v>
      </c>
      <c r="B146" s="16" t="s">
        <v>411</v>
      </c>
      <c r="C146" s="15" t="s">
        <v>243</v>
      </c>
      <c r="D146" s="39">
        <v>30124.97</v>
      </c>
      <c r="E146" s="39">
        <v>13619.09</v>
      </c>
      <c r="F146" s="39">
        <v>25.23</v>
      </c>
      <c r="G146" s="39">
        <v>13593.86</v>
      </c>
      <c r="H146" s="40">
        <v>43718.83</v>
      </c>
    </row>
    <row r="147" spans="1:8" x14ac:dyDescent="0.35">
      <c r="A147" s="101">
        <f t="shared" si="2"/>
        <v>0</v>
      </c>
      <c r="B147" s="17" t="s">
        <v>412</v>
      </c>
      <c r="C147" s="15" t="s">
        <v>316</v>
      </c>
      <c r="D147" s="39">
        <v>8930.7199999999993</v>
      </c>
      <c r="E147" s="39">
        <v>4388.76</v>
      </c>
      <c r="F147" s="39">
        <v>25.23</v>
      </c>
      <c r="G147" s="39">
        <v>4363.53</v>
      </c>
      <c r="H147" s="40">
        <v>13294.25</v>
      </c>
    </row>
    <row r="148" spans="1:8" x14ac:dyDescent="0.35">
      <c r="A148" s="101">
        <f t="shared" si="2"/>
        <v>0</v>
      </c>
      <c r="B148" s="37" t="s">
        <v>413</v>
      </c>
      <c r="C148" s="15" t="s">
        <v>317</v>
      </c>
      <c r="D148" s="39">
        <v>8930.7199999999993</v>
      </c>
      <c r="E148" s="39">
        <v>4388.76</v>
      </c>
      <c r="F148" s="39">
        <v>25.23</v>
      </c>
      <c r="G148" s="39">
        <v>4363.53</v>
      </c>
      <c r="H148" s="40">
        <v>13294.25</v>
      </c>
    </row>
    <row r="149" spans="1:8" x14ac:dyDescent="0.35">
      <c r="A149" s="101" t="str">
        <f t="shared" si="2"/>
        <v>4</v>
      </c>
      <c r="B149" s="105">
        <v>46530007</v>
      </c>
      <c r="C149" s="15" t="s">
        <v>25</v>
      </c>
      <c r="D149" s="39">
        <v>8930.7199999999993</v>
      </c>
      <c r="E149" s="39">
        <v>4388.76</v>
      </c>
      <c r="F149" s="39">
        <v>25.23</v>
      </c>
      <c r="G149" s="39">
        <v>4363.53</v>
      </c>
      <c r="H149" s="40">
        <v>13294.25</v>
      </c>
    </row>
    <row r="150" spans="1:8" x14ac:dyDescent="0.35">
      <c r="A150" s="100">
        <f t="shared" si="2"/>
        <v>0</v>
      </c>
      <c r="B150" s="17" t="s">
        <v>414</v>
      </c>
      <c r="C150" s="15" t="s">
        <v>246</v>
      </c>
      <c r="D150" s="39">
        <v>19801.53</v>
      </c>
      <c r="E150" s="39">
        <v>9230.33</v>
      </c>
      <c r="F150" s="41">
        <v>0</v>
      </c>
      <c r="G150" s="39">
        <v>9230.33</v>
      </c>
      <c r="H150" s="40">
        <v>29031.86</v>
      </c>
    </row>
    <row r="151" spans="1:8" x14ac:dyDescent="0.35">
      <c r="A151" s="101">
        <f t="shared" si="2"/>
        <v>0</v>
      </c>
      <c r="B151" s="37" t="s">
        <v>415</v>
      </c>
      <c r="C151" s="15" t="s">
        <v>248</v>
      </c>
      <c r="D151" s="39">
        <v>19801.53</v>
      </c>
      <c r="E151" s="39">
        <v>9230.33</v>
      </c>
      <c r="F151" s="41">
        <v>0</v>
      </c>
      <c r="G151" s="39">
        <v>9230.33</v>
      </c>
      <c r="H151" s="40">
        <v>29031.86</v>
      </c>
    </row>
    <row r="152" spans="1:8" x14ac:dyDescent="0.35">
      <c r="A152" s="101">
        <f t="shared" si="2"/>
        <v>0</v>
      </c>
      <c r="B152" s="105" t="s">
        <v>416</v>
      </c>
      <c r="C152" s="15" t="s">
        <v>23</v>
      </c>
      <c r="D152" s="39">
        <v>16371.28</v>
      </c>
      <c r="E152" s="39">
        <v>7610.76</v>
      </c>
      <c r="F152" s="41">
        <v>0</v>
      </c>
      <c r="G152" s="39">
        <v>7610.76</v>
      </c>
      <c r="H152" s="40">
        <v>23982.04</v>
      </c>
    </row>
    <row r="153" spans="1:8" x14ac:dyDescent="0.35">
      <c r="A153" s="101" t="str">
        <f t="shared" si="2"/>
        <v>4</v>
      </c>
      <c r="B153" s="106">
        <v>46511001</v>
      </c>
      <c r="C153" s="15" t="s">
        <v>23</v>
      </c>
      <c r="D153" s="39">
        <v>16371.28</v>
      </c>
      <c r="E153" s="39">
        <v>7610.76</v>
      </c>
      <c r="F153" s="41">
        <v>0</v>
      </c>
      <c r="G153" s="39">
        <v>7610.76</v>
      </c>
      <c r="H153" s="40">
        <v>23982.04</v>
      </c>
    </row>
    <row r="154" spans="1:8" x14ac:dyDescent="0.35">
      <c r="A154" s="100">
        <f t="shared" si="2"/>
        <v>0</v>
      </c>
      <c r="B154" s="105" t="s">
        <v>417</v>
      </c>
      <c r="C154" s="15" t="s">
        <v>251</v>
      </c>
      <c r="D154" s="39">
        <v>3430.25</v>
      </c>
      <c r="E154" s="39">
        <v>1619.57</v>
      </c>
      <c r="F154" s="41">
        <v>0</v>
      </c>
      <c r="G154" s="39">
        <v>1619.57</v>
      </c>
      <c r="H154" s="40">
        <v>5049.82</v>
      </c>
    </row>
    <row r="155" spans="1:8" x14ac:dyDescent="0.35">
      <c r="A155" s="101" t="str">
        <f t="shared" si="2"/>
        <v>4</v>
      </c>
      <c r="B155" s="106">
        <v>46511002</v>
      </c>
      <c r="C155" s="15" t="s">
        <v>24</v>
      </c>
      <c r="D155" s="39">
        <v>3430.25</v>
      </c>
      <c r="E155" s="39">
        <v>1619.57</v>
      </c>
      <c r="F155" s="41">
        <v>0</v>
      </c>
      <c r="G155" s="39">
        <v>1619.57</v>
      </c>
      <c r="H155" s="40">
        <v>5049.82</v>
      </c>
    </row>
    <row r="156" spans="1:8" x14ac:dyDescent="0.35">
      <c r="A156" s="101">
        <f t="shared" si="2"/>
        <v>0</v>
      </c>
      <c r="B156" s="17" t="s">
        <v>418</v>
      </c>
      <c r="C156" s="15" t="s">
        <v>253</v>
      </c>
      <c r="D156" s="39">
        <v>1392.72</v>
      </c>
      <c r="E156" s="41">
        <v>0</v>
      </c>
      <c r="F156" s="41">
        <v>0</v>
      </c>
      <c r="G156" s="41">
        <v>0</v>
      </c>
      <c r="H156" s="40">
        <v>1392.72</v>
      </c>
    </row>
    <row r="157" spans="1:8" x14ac:dyDescent="0.35">
      <c r="A157" s="100">
        <f t="shared" si="2"/>
        <v>0</v>
      </c>
      <c r="B157" s="37" t="s">
        <v>419</v>
      </c>
      <c r="C157" s="15" t="s">
        <v>255</v>
      </c>
      <c r="D157" s="39">
        <v>1392.72</v>
      </c>
      <c r="E157" s="41">
        <v>0</v>
      </c>
      <c r="F157" s="41">
        <v>0</v>
      </c>
      <c r="G157" s="41">
        <v>0</v>
      </c>
      <c r="H157" s="40">
        <v>1392.72</v>
      </c>
    </row>
    <row r="158" spans="1:8" x14ac:dyDescent="0.35">
      <c r="A158" s="101" t="str">
        <f t="shared" si="2"/>
        <v>4</v>
      </c>
      <c r="B158" s="105">
        <v>46540007</v>
      </c>
      <c r="C158" s="15" t="s">
        <v>45</v>
      </c>
      <c r="D158" s="39">
        <v>1392.72</v>
      </c>
      <c r="E158" s="41">
        <v>0</v>
      </c>
      <c r="F158" s="41">
        <v>0</v>
      </c>
      <c r="G158" s="41">
        <v>0</v>
      </c>
      <c r="H158" s="40">
        <v>1392.72</v>
      </c>
    </row>
    <row r="159" spans="1:8" x14ac:dyDescent="0.35">
      <c r="A159" s="100">
        <f t="shared" si="2"/>
        <v>0</v>
      </c>
      <c r="B159" s="14" t="s">
        <v>420</v>
      </c>
      <c r="C159" s="15" t="s">
        <v>257</v>
      </c>
      <c r="D159" s="39">
        <v>4570.09</v>
      </c>
      <c r="E159" s="41">
        <v>0</v>
      </c>
      <c r="F159" s="41">
        <v>0</v>
      </c>
      <c r="G159" s="41">
        <v>0</v>
      </c>
      <c r="H159" s="40">
        <v>4570.09</v>
      </c>
    </row>
    <row r="160" spans="1:8" x14ac:dyDescent="0.35">
      <c r="A160" s="100" t="str">
        <f t="shared" si="2"/>
        <v>G</v>
      </c>
      <c r="B160" s="16" t="s">
        <v>421</v>
      </c>
      <c r="C160" s="15" t="s">
        <v>226</v>
      </c>
      <c r="D160" s="39">
        <v>4570.09</v>
      </c>
      <c r="E160" s="41">
        <v>0</v>
      </c>
      <c r="F160" s="41">
        <v>0</v>
      </c>
      <c r="G160" s="41">
        <v>0</v>
      </c>
      <c r="H160" s="40">
        <v>4570.09</v>
      </c>
    </row>
    <row r="161" spans="1:8" x14ac:dyDescent="0.35">
      <c r="A161" s="101">
        <f t="shared" si="2"/>
        <v>0</v>
      </c>
      <c r="B161" s="17" t="s">
        <v>422</v>
      </c>
      <c r="C161" s="15" t="s">
        <v>260</v>
      </c>
      <c r="D161" s="39">
        <v>4570.09</v>
      </c>
      <c r="E161" s="41">
        <v>0</v>
      </c>
      <c r="F161" s="41">
        <v>0</v>
      </c>
      <c r="G161" s="41">
        <v>0</v>
      </c>
      <c r="H161" s="40">
        <v>4570.09</v>
      </c>
    </row>
    <row r="162" spans="1:8" x14ac:dyDescent="0.35">
      <c r="A162" s="101">
        <f t="shared" si="2"/>
        <v>0</v>
      </c>
      <c r="B162" s="37" t="s">
        <v>423</v>
      </c>
      <c r="C162" s="15" t="s">
        <v>318</v>
      </c>
      <c r="D162" s="39">
        <v>273.55</v>
      </c>
      <c r="E162" s="41">
        <v>0</v>
      </c>
      <c r="F162" s="41">
        <v>0</v>
      </c>
      <c r="G162" s="41">
        <v>0</v>
      </c>
      <c r="H162" s="40">
        <v>273.55</v>
      </c>
    </row>
    <row r="163" spans="1:8" x14ac:dyDescent="0.35">
      <c r="A163" s="101" t="str">
        <f t="shared" si="2"/>
        <v>4</v>
      </c>
      <c r="B163" s="105">
        <v>46312004</v>
      </c>
      <c r="C163" s="15" t="s">
        <v>319</v>
      </c>
      <c r="D163" s="39">
        <v>273.55</v>
      </c>
      <c r="E163" s="41">
        <v>0</v>
      </c>
      <c r="F163" s="41">
        <v>0</v>
      </c>
      <c r="G163" s="41">
        <v>0</v>
      </c>
      <c r="H163" s="40">
        <v>273.55</v>
      </c>
    </row>
    <row r="164" spans="1:8" x14ac:dyDescent="0.35">
      <c r="A164" s="101">
        <f t="shared" si="2"/>
        <v>0</v>
      </c>
      <c r="B164" s="37" t="s">
        <v>424</v>
      </c>
      <c r="C164" s="15" t="s">
        <v>262</v>
      </c>
      <c r="D164" s="39">
        <v>41.3</v>
      </c>
      <c r="E164" s="41">
        <v>0</v>
      </c>
      <c r="F164" s="41">
        <v>0</v>
      </c>
      <c r="G164" s="41">
        <v>0</v>
      </c>
      <c r="H164" s="40">
        <v>41.3</v>
      </c>
    </row>
    <row r="165" spans="1:8" x14ac:dyDescent="0.35">
      <c r="A165" s="100" t="str">
        <f t="shared" si="2"/>
        <v>4</v>
      </c>
      <c r="B165" s="105">
        <v>46920003</v>
      </c>
      <c r="C165" s="15" t="s">
        <v>26</v>
      </c>
      <c r="D165" s="39">
        <v>41.3</v>
      </c>
      <c r="E165" s="41">
        <v>0</v>
      </c>
      <c r="F165" s="41">
        <v>0</v>
      </c>
      <c r="G165" s="41">
        <v>0</v>
      </c>
      <c r="H165" s="40">
        <v>41.3</v>
      </c>
    </row>
    <row r="166" spans="1:8" x14ac:dyDescent="0.35">
      <c r="A166" s="101">
        <f t="shared" si="2"/>
        <v>0</v>
      </c>
      <c r="B166" s="37" t="s">
        <v>425</v>
      </c>
      <c r="C166" s="15" t="s">
        <v>222</v>
      </c>
      <c r="D166" s="39">
        <v>4255.24</v>
      </c>
      <c r="E166" s="41">
        <v>0</v>
      </c>
      <c r="F166" s="41">
        <v>0</v>
      </c>
      <c r="G166" s="41">
        <v>0</v>
      </c>
      <c r="H166" s="40">
        <v>4255.24</v>
      </c>
    </row>
    <row r="167" spans="1:8" x14ac:dyDescent="0.35">
      <c r="A167" s="101" t="str">
        <f t="shared" si="2"/>
        <v>4</v>
      </c>
      <c r="B167" s="105">
        <v>46990099</v>
      </c>
      <c r="C167" s="15" t="s">
        <v>222</v>
      </c>
      <c r="D167" s="39">
        <v>4255.24</v>
      </c>
      <c r="E167" s="41">
        <v>0</v>
      </c>
      <c r="F167" s="41">
        <v>0</v>
      </c>
      <c r="G167" s="41">
        <v>0</v>
      </c>
      <c r="H167" s="40">
        <v>4255.24</v>
      </c>
    </row>
    <row r="168" spans="1:8" x14ac:dyDescent="0.35">
      <c r="A168" s="100">
        <f t="shared" si="2"/>
        <v>0</v>
      </c>
      <c r="B168" s="12" t="s">
        <v>426</v>
      </c>
      <c r="C168" s="13" t="s">
        <v>264</v>
      </c>
      <c r="D168" s="39">
        <v>-28652.95</v>
      </c>
      <c r="E168" s="39">
        <v>99.56</v>
      </c>
      <c r="F168" s="39">
        <v>15099.16</v>
      </c>
      <c r="G168" s="39">
        <v>-14999.6</v>
      </c>
      <c r="H168" s="40">
        <v>-43652.55</v>
      </c>
    </row>
    <row r="169" spans="1:8" x14ac:dyDescent="0.35">
      <c r="A169" s="101">
        <f t="shared" si="2"/>
        <v>0</v>
      </c>
      <c r="B169" s="14" t="s">
        <v>427</v>
      </c>
      <c r="C169" s="15" t="s">
        <v>36</v>
      </c>
      <c r="D169" s="39">
        <v>-29481.83</v>
      </c>
      <c r="E169" s="39">
        <v>99.56</v>
      </c>
      <c r="F169" s="39">
        <v>15099.16</v>
      </c>
      <c r="G169" s="39">
        <v>-14999.6</v>
      </c>
      <c r="H169" s="40">
        <v>-44481.43</v>
      </c>
    </row>
    <row r="170" spans="1:8" x14ac:dyDescent="0.35">
      <c r="A170" s="100" t="str">
        <f t="shared" si="2"/>
        <v>G</v>
      </c>
      <c r="B170" s="16" t="s">
        <v>428</v>
      </c>
      <c r="C170" s="15" t="s">
        <v>267</v>
      </c>
      <c r="D170" s="39">
        <v>-29481.83</v>
      </c>
      <c r="E170" s="39">
        <v>99.56</v>
      </c>
      <c r="F170" s="39">
        <v>15099.16</v>
      </c>
      <c r="G170" s="39">
        <v>-14999.6</v>
      </c>
      <c r="H170" s="40">
        <v>-44481.43</v>
      </c>
    </row>
    <row r="171" spans="1:8" x14ac:dyDescent="0.35">
      <c r="A171" s="101">
        <f t="shared" si="2"/>
        <v>0</v>
      </c>
      <c r="B171" s="17" t="s">
        <v>429</v>
      </c>
      <c r="C171" s="15" t="s">
        <v>269</v>
      </c>
      <c r="D171" s="39">
        <v>-28469.01</v>
      </c>
      <c r="E171" s="41">
        <v>0</v>
      </c>
      <c r="F171" s="39">
        <v>7611.75</v>
      </c>
      <c r="G171" s="39">
        <v>-7611.75</v>
      </c>
      <c r="H171" s="40">
        <v>-36080.76</v>
      </c>
    </row>
    <row r="172" spans="1:8" x14ac:dyDescent="0.35">
      <c r="A172" s="100">
        <f t="shared" si="2"/>
        <v>0</v>
      </c>
      <c r="B172" s="37" t="s">
        <v>430</v>
      </c>
      <c r="C172" s="15" t="s">
        <v>271</v>
      </c>
      <c r="D172" s="39">
        <v>-28469.01</v>
      </c>
      <c r="E172" s="41">
        <v>0</v>
      </c>
      <c r="F172" s="39">
        <v>7611.75</v>
      </c>
      <c r="G172" s="39">
        <v>-7611.75</v>
      </c>
      <c r="H172" s="40">
        <v>-36080.76</v>
      </c>
    </row>
    <row r="173" spans="1:8" x14ac:dyDescent="0.35">
      <c r="A173" s="101" t="str">
        <f t="shared" si="2"/>
        <v>3</v>
      </c>
      <c r="B173" s="105">
        <v>36910001</v>
      </c>
      <c r="C173" s="15" t="s">
        <v>20</v>
      </c>
      <c r="D173" s="39">
        <v>-28469.01</v>
      </c>
      <c r="E173" s="41">
        <v>0</v>
      </c>
      <c r="F173" s="39">
        <v>7611.75</v>
      </c>
      <c r="G173" s="39">
        <v>-7611.75</v>
      </c>
      <c r="H173" s="40">
        <v>-36080.76</v>
      </c>
    </row>
    <row r="174" spans="1:8" x14ac:dyDescent="0.35">
      <c r="A174" s="101">
        <f t="shared" si="2"/>
        <v>0</v>
      </c>
      <c r="B174" s="17" t="s">
        <v>431</v>
      </c>
      <c r="C174" s="15" t="s">
        <v>273</v>
      </c>
      <c r="D174" s="39">
        <v>-26207.94</v>
      </c>
      <c r="E174" s="41">
        <v>0</v>
      </c>
      <c r="F174" s="39">
        <v>6759.61</v>
      </c>
      <c r="G174" s="39">
        <v>-6759.61</v>
      </c>
      <c r="H174" s="40">
        <v>-32967.550000000003</v>
      </c>
    </row>
    <row r="175" spans="1:8" x14ac:dyDescent="0.35">
      <c r="A175" s="100">
        <f t="shared" si="2"/>
        <v>0</v>
      </c>
      <c r="B175" s="37" t="s">
        <v>432</v>
      </c>
      <c r="C175" s="15" t="s">
        <v>275</v>
      </c>
      <c r="D175" s="39">
        <v>-26207.94</v>
      </c>
      <c r="E175" s="41">
        <v>0</v>
      </c>
      <c r="F175" s="39">
        <v>6759.61</v>
      </c>
      <c r="G175" s="39">
        <v>-6759.61</v>
      </c>
      <c r="H175" s="40">
        <v>-32967.550000000003</v>
      </c>
    </row>
    <row r="176" spans="1:8" x14ac:dyDescent="0.35">
      <c r="A176" s="100">
        <f t="shared" si="2"/>
        <v>0</v>
      </c>
      <c r="B176" s="105" t="s">
        <v>433</v>
      </c>
      <c r="C176" s="15" t="s">
        <v>277</v>
      </c>
      <c r="D176" s="39">
        <v>-26207.94</v>
      </c>
      <c r="E176" s="41">
        <v>0</v>
      </c>
      <c r="F176" s="39">
        <v>6759.61</v>
      </c>
      <c r="G176" s="39">
        <v>-6759.61</v>
      </c>
      <c r="H176" s="40">
        <v>-32967.550000000003</v>
      </c>
    </row>
    <row r="177" spans="1:8" x14ac:dyDescent="0.35">
      <c r="A177" s="101">
        <f t="shared" si="2"/>
        <v>0</v>
      </c>
      <c r="B177" s="106" t="s">
        <v>434</v>
      </c>
      <c r="C177" s="15" t="s">
        <v>279</v>
      </c>
      <c r="D177" s="39">
        <v>-26207.94</v>
      </c>
      <c r="E177" s="41">
        <v>0</v>
      </c>
      <c r="F177" s="39">
        <v>6759.61</v>
      </c>
      <c r="G177" s="39">
        <v>-6759.61</v>
      </c>
      <c r="H177" s="40">
        <v>-32967.550000000003</v>
      </c>
    </row>
    <row r="178" spans="1:8" x14ac:dyDescent="0.35">
      <c r="A178" s="101" t="str">
        <f t="shared" si="2"/>
        <v>3</v>
      </c>
      <c r="B178" s="107">
        <v>36114001</v>
      </c>
      <c r="C178" s="15" t="s">
        <v>19</v>
      </c>
      <c r="D178" s="39">
        <v>-26207.94</v>
      </c>
      <c r="E178" s="41">
        <v>0</v>
      </c>
      <c r="F178" s="39">
        <v>6759.61</v>
      </c>
      <c r="G178" s="39">
        <v>-6759.61</v>
      </c>
      <c r="H178" s="40">
        <v>-32967.550000000003</v>
      </c>
    </row>
    <row r="179" spans="1:8" x14ac:dyDescent="0.35">
      <c r="A179" s="100">
        <f t="shared" si="2"/>
        <v>0</v>
      </c>
      <c r="B179" s="17" t="s">
        <v>435</v>
      </c>
      <c r="C179" s="15" t="s">
        <v>36</v>
      </c>
      <c r="D179" s="39">
        <v>25195.119999999999</v>
      </c>
      <c r="E179" s="39">
        <v>99.56</v>
      </c>
      <c r="F179" s="39">
        <v>727.8</v>
      </c>
      <c r="G179" s="39">
        <v>-628.24</v>
      </c>
      <c r="H179" s="40">
        <v>24566.880000000001</v>
      </c>
    </row>
    <row r="180" spans="1:8" x14ac:dyDescent="0.35">
      <c r="A180" s="101">
        <f t="shared" si="2"/>
        <v>0</v>
      </c>
      <c r="B180" s="37" t="s">
        <v>436</v>
      </c>
      <c r="C180" s="15" t="s">
        <v>214</v>
      </c>
      <c r="D180" s="39">
        <v>25195.119999999999</v>
      </c>
      <c r="E180" s="39">
        <v>99.56</v>
      </c>
      <c r="F180" s="39">
        <v>727.8</v>
      </c>
      <c r="G180" s="39">
        <v>-628.24</v>
      </c>
      <c r="H180" s="40">
        <v>24566.880000000001</v>
      </c>
    </row>
    <row r="181" spans="1:8" x14ac:dyDescent="0.35">
      <c r="A181" s="101" t="str">
        <f t="shared" si="2"/>
        <v>3</v>
      </c>
      <c r="B181" s="105">
        <v>36990099</v>
      </c>
      <c r="C181" s="15" t="s">
        <v>21</v>
      </c>
      <c r="D181" s="39">
        <v>25195.119999999999</v>
      </c>
      <c r="E181" s="39">
        <v>99.56</v>
      </c>
      <c r="F181" s="39">
        <v>727.8</v>
      </c>
      <c r="G181" s="39">
        <v>-628.24</v>
      </c>
      <c r="H181" s="40">
        <v>24566.880000000001</v>
      </c>
    </row>
    <row r="182" spans="1:8" x14ac:dyDescent="0.35">
      <c r="A182" s="100">
        <f t="shared" si="2"/>
        <v>0</v>
      </c>
      <c r="B182" s="14" t="s">
        <v>437</v>
      </c>
      <c r="C182" s="15" t="s">
        <v>283</v>
      </c>
      <c r="D182" s="39">
        <v>828.88</v>
      </c>
      <c r="E182" s="41">
        <v>0</v>
      </c>
      <c r="F182" s="41">
        <v>0</v>
      </c>
      <c r="G182" s="41">
        <v>0</v>
      </c>
      <c r="H182" s="40">
        <v>828.88</v>
      </c>
    </row>
    <row r="183" spans="1:8" x14ac:dyDescent="0.35">
      <c r="A183" s="101" t="str">
        <f t="shared" si="2"/>
        <v>G</v>
      </c>
      <c r="B183" s="16" t="s">
        <v>438</v>
      </c>
      <c r="C183" s="15" t="s">
        <v>285</v>
      </c>
      <c r="D183" s="39">
        <v>828.88</v>
      </c>
      <c r="E183" s="41">
        <v>0</v>
      </c>
      <c r="F183" s="41">
        <v>0</v>
      </c>
      <c r="G183" s="41">
        <v>0</v>
      </c>
      <c r="H183" s="40">
        <v>828.88</v>
      </c>
    </row>
    <row r="184" spans="1:8" x14ac:dyDescent="0.35">
      <c r="A184" s="101">
        <f t="shared" si="2"/>
        <v>0</v>
      </c>
      <c r="B184" s="17" t="s">
        <v>439</v>
      </c>
      <c r="C184" s="15" t="s">
        <v>283</v>
      </c>
      <c r="D184" s="39">
        <v>828.88</v>
      </c>
      <c r="E184" s="41">
        <v>0</v>
      </c>
      <c r="F184" s="41">
        <v>0</v>
      </c>
      <c r="G184" s="41">
        <v>0</v>
      </c>
      <c r="H184" s="40">
        <v>828.88</v>
      </c>
    </row>
    <row r="185" spans="1:8" x14ac:dyDescent="0.35">
      <c r="A185" s="100">
        <f t="shared" si="2"/>
        <v>0</v>
      </c>
      <c r="B185" s="37" t="s">
        <v>440</v>
      </c>
      <c r="C185" s="15" t="s">
        <v>222</v>
      </c>
      <c r="D185" s="39">
        <v>828.88</v>
      </c>
      <c r="E185" s="41">
        <v>0</v>
      </c>
      <c r="F185" s="41">
        <v>0</v>
      </c>
      <c r="G185" s="41">
        <v>0</v>
      </c>
      <c r="H185" s="40">
        <v>828.88</v>
      </c>
    </row>
    <row r="186" spans="1:8" x14ac:dyDescent="0.35">
      <c r="A186" s="101" t="str">
        <f t="shared" si="2"/>
        <v>4</v>
      </c>
      <c r="B186" s="105">
        <v>45990005</v>
      </c>
      <c r="C186" s="15" t="s">
        <v>84</v>
      </c>
      <c r="D186" s="39">
        <v>828.88</v>
      </c>
      <c r="E186" s="41">
        <v>0</v>
      </c>
      <c r="F186" s="41">
        <v>0</v>
      </c>
      <c r="G186" s="41">
        <v>0</v>
      </c>
      <c r="H186" s="40">
        <v>828.88</v>
      </c>
    </row>
    <row r="187" spans="1:8" x14ac:dyDescent="0.35">
      <c r="A187" s="101">
        <f t="shared" si="2"/>
        <v>0</v>
      </c>
      <c r="B187" s="12" t="s">
        <v>441</v>
      </c>
      <c r="C187" s="13" t="s">
        <v>289</v>
      </c>
      <c r="D187" s="39">
        <v>23394.95</v>
      </c>
      <c r="E187" s="41">
        <v>0</v>
      </c>
      <c r="F187" s="41">
        <v>0</v>
      </c>
      <c r="G187" s="41">
        <v>0</v>
      </c>
      <c r="H187" s="40">
        <v>23394.95</v>
      </c>
    </row>
    <row r="188" spans="1:8" x14ac:dyDescent="0.35">
      <c r="A188" s="100">
        <f t="shared" si="2"/>
        <v>0</v>
      </c>
      <c r="B188" s="14" t="s">
        <v>442</v>
      </c>
      <c r="C188" s="15" t="s">
        <v>180</v>
      </c>
      <c r="D188" s="39">
        <v>23394.95</v>
      </c>
      <c r="E188" s="41">
        <v>0</v>
      </c>
      <c r="F188" s="41">
        <v>0</v>
      </c>
      <c r="G188" s="41">
        <v>0</v>
      </c>
      <c r="H188" s="40">
        <v>23394.95</v>
      </c>
    </row>
    <row r="189" spans="1:8" x14ac:dyDescent="0.35">
      <c r="A189" s="100" t="str">
        <f t="shared" si="2"/>
        <v>G</v>
      </c>
      <c r="B189" s="16" t="s">
        <v>443</v>
      </c>
      <c r="C189" s="15" t="s">
        <v>180</v>
      </c>
      <c r="D189" s="39">
        <v>23394.95</v>
      </c>
      <c r="E189" s="41">
        <v>0</v>
      </c>
      <c r="F189" s="41">
        <v>0</v>
      </c>
      <c r="G189" s="41">
        <v>0</v>
      </c>
      <c r="H189" s="40">
        <v>23394.95</v>
      </c>
    </row>
    <row r="190" spans="1:8" x14ac:dyDescent="0.35">
      <c r="A190" s="101">
        <f t="shared" si="2"/>
        <v>0</v>
      </c>
      <c r="B190" s="17" t="s">
        <v>444</v>
      </c>
      <c r="C190" s="15" t="s">
        <v>180</v>
      </c>
      <c r="D190" s="39">
        <v>23394.95</v>
      </c>
      <c r="E190" s="41">
        <v>0</v>
      </c>
      <c r="F190" s="41">
        <v>0</v>
      </c>
      <c r="G190" s="41">
        <v>0</v>
      </c>
      <c r="H190" s="40">
        <v>23394.95</v>
      </c>
    </row>
    <row r="191" spans="1:8" x14ac:dyDescent="0.35">
      <c r="A191" s="101">
        <f t="shared" si="2"/>
        <v>0</v>
      </c>
      <c r="B191" s="37" t="s">
        <v>445</v>
      </c>
      <c r="C191" s="15" t="s">
        <v>182</v>
      </c>
      <c r="D191" s="39">
        <v>15084.52</v>
      </c>
      <c r="E191" s="41">
        <v>0</v>
      </c>
      <c r="F191" s="41">
        <v>0</v>
      </c>
      <c r="G191" s="41">
        <v>0</v>
      </c>
      <c r="H191" s="40">
        <v>15084.52</v>
      </c>
    </row>
    <row r="192" spans="1:8" x14ac:dyDescent="0.35">
      <c r="A192" s="100" t="str">
        <f t="shared" si="2"/>
        <v>5</v>
      </c>
      <c r="B192" s="105">
        <v>51110001</v>
      </c>
      <c r="C192" s="15" t="s">
        <v>52</v>
      </c>
      <c r="D192" s="39">
        <v>15084.52</v>
      </c>
      <c r="E192" s="41">
        <v>0</v>
      </c>
      <c r="F192" s="41">
        <v>0</v>
      </c>
      <c r="G192" s="41">
        <v>0</v>
      </c>
      <c r="H192" s="40">
        <v>15084.52</v>
      </c>
    </row>
    <row r="193" spans="1:8" x14ac:dyDescent="0.35">
      <c r="A193" s="101">
        <f t="shared" si="2"/>
        <v>0</v>
      </c>
      <c r="B193" s="37" t="s">
        <v>446</v>
      </c>
      <c r="C193" s="15" t="s">
        <v>140</v>
      </c>
      <c r="D193" s="39">
        <v>8310.43</v>
      </c>
      <c r="E193" s="41">
        <v>0</v>
      </c>
      <c r="F193" s="41">
        <v>0</v>
      </c>
      <c r="G193" s="41">
        <v>0</v>
      </c>
      <c r="H193" s="40">
        <v>8310.43</v>
      </c>
    </row>
    <row r="194" spans="1:8" x14ac:dyDescent="0.35">
      <c r="A194" s="101" t="str">
        <f t="shared" si="2"/>
        <v>5</v>
      </c>
      <c r="B194" s="105">
        <v>51110002</v>
      </c>
      <c r="C194" s="15" t="s">
        <v>53</v>
      </c>
      <c r="D194" s="39">
        <v>8310.43</v>
      </c>
      <c r="E194" s="41">
        <v>0</v>
      </c>
      <c r="F194" s="41">
        <v>0</v>
      </c>
      <c r="G194" s="41">
        <v>0</v>
      </c>
      <c r="H194" s="40">
        <v>8310.43</v>
      </c>
    </row>
    <row r="195" spans="1:8" x14ac:dyDescent="0.35">
      <c r="A195" s="100">
        <f t="shared" si="2"/>
        <v>0</v>
      </c>
      <c r="B195" s="18" t="s">
        <v>295</v>
      </c>
      <c r="C195" s="19" t="s">
        <v>295</v>
      </c>
      <c r="D195" s="41">
        <v>0</v>
      </c>
      <c r="E195" s="39">
        <v>202400.18</v>
      </c>
      <c r="F195" s="39">
        <v>202400.16</v>
      </c>
      <c r="G195" s="39">
        <v>0.02</v>
      </c>
      <c r="H195" s="40">
        <v>0.02</v>
      </c>
    </row>
    <row r="196" spans="1:8" x14ac:dyDescent="0.35">
      <c r="A196" s="101">
        <f t="shared" si="2"/>
        <v>0</v>
      </c>
    </row>
    <row r="197" spans="1:8" x14ac:dyDescent="0.35">
      <c r="A197" s="100">
        <f t="shared" ref="A197:A260" si="3">IF(LEN(B197)=8,LEFT(B197,1),0)</f>
        <v>0</v>
      </c>
    </row>
    <row r="198" spans="1:8" x14ac:dyDescent="0.35">
      <c r="A198" s="101">
        <f t="shared" si="3"/>
        <v>0</v>
      </c>
    </row>
    <row r="199" spans="1:8" x14ac:dyDescent="0.35">
      <c r="A199" s="101">
        <f t="shared" si="3"/>
        <v>0</v>
      </c>
    </row>
    <row r="200" spans="1:8" x14ac:dyDescent="0.35">
      <c r="A200" s="101">
        <f t="shared" si="3"/>
        <v>0</v>
      </c>
    </row>
    <row r="201" spans="1:8" x14ac:dyDescent="0.35">
      <c r="A201" s="100">
        <f t="shared" si="3"/>
        <v>0</v>
      </c>
    </row>
    <row r="202" spans="1:8" x14ac:dyDescent="0.35">
      <c r="A202" s="101">
        <f t="shared" si="3"/>
        <v>0</v>
      </c>
    </row>
    <row r="203" spans="1:8" x14ac:dyDescent="0.35">
      <c r="A203" s="101">
        <f t="shared" si="3"/>
        <v>0</v>
      </c>
    </row>
    <row r="204" spans="1:8" x14ac:dyDescent="0.35">
      <c r="A204" s="100">
        <f t="shared" si="3"/>
        <v>0</v>
      </c>
    </row>
    <row r="205" spans="1:8" x14ac:dyDescent="0.35">
      <c r="A205" s="101">
        <f t="shared" si="3"/>
        <v>0</v>
      </c>
    </row>
    <row r="206" spans="1:8" x14ac:dyDescent="0.35">
      <c r="A206" s="100">
        <f t="shared" si="3"/>
        <v>0</v>
      </c>
    </row>
    <row r="207" spans="1:8" x14ac:dyDescent="0.35">
      <c r="A207" s="101">
        <f t="shared" si="3"/>
        <v>0</v>
      </c>
    </row>
    <row r="208" spans="1:8" x14ac:dyDescent="0.35">
      <c r="A208" s="100">
        <f t="shared" si="3"/>
        <v>0</v>
      </c>
    </row>
    <row r="209" spans="1:1" x14ac:dyDescent="0.35">
      <c r="A209" s="101">
        <f t="shared" si="3"/>
        <v>0</v>
      </c>
    </row>
    <row r="210" spans="1:1" x14ac:dyDescent="0.35">
      <c r="A210" s="101">
        <f t="shared" si="3"/>
        <v>0</v>
      </c>
    </row>
    <row r="211" spans="1:1" x14ac:dyDescent="0.35">
      <c r="A211" s="100">
        <f t="shared" si="3"/>
        <v>0</v>
      </c>
    </row>
    <row r="212" spans="1:1" x14ac:dyDescent="0.35">
      <c r="A212" s="101">
        <f t="shared" si="3"/>
        <v>0</v>
      </c>
    </row>
    <row r="213" spans="1:1" x14ac:dyDescent="0.35">
      <c r="A213" s="100">
        <f t="shared" si="3"/>
        <v>0</v>
      </c>
    </row>
    <row r="214" spans="1:1" x14ac:dyDescent="0.35">
      <c r="A214" s="101">
        <f t="shared" si="3"/>
        <v>0</v>
      </c>
    </row>
    <row r="215" spans="1:1" x14ac:dyDescent="0.35">
      <c r="A215" s="101">
        <f t="shared" si="3"/>
        <v>0</v>
      </c>
    </row>
    <row r="216" spans="1:1" x14ac:dyDescent="0.35">
      <c r="A216" s="101">
        <f t="shared" si="3"/>
        <v>0</v>
      </c>
    </row>
    <row r="217" spans="1:1" x14ac:dyDescent="0.35">
      <c r="A217" s="100">
        <f t="shared" si="3"/>
        <v>0</v>
      </c>
    </row>
    <row r="218" spans="1:1" x14ac:dyDescent="0.35">
      <c r="A218" s="101">
        <f t="shared" si="3"/>
        <v>0</v>
      </c>
    </row>
    <row r="219" spans="1:1" x14ac:dyDescent="0.35">
      <c r="A219" s="100">
        <f t="shared" si="3"/>
        <v>0</v>
      </c>
    </row>
    <row r="220" spans="1:1" x14ac:dyDescent="0.35">
      <c r="A220" s="101">
        <f t="shared" si="3"/>
        <v>0</v>
      </c>
    </row>
    <row r="221" spans="1:1" x14ac:dyDescent="0.35">
      <c r="A221" s="101">
        <f t="shared" si="3"/>
        <v>0</v>
      </c>
    </row>
    <row r="222" spans="1:1" x14ac:dyDescent="0.35">
      <c r="A222" s="100">
        <f t="shared" si="3"/>
        <v>0</v>
      </c>
    </row>
    <row r="223" spans="1:1" x14ac:dyDescent="0.35">
      <c r="A223" s="101">
        <f t="shared" si="3"/>
        <v>0</v>
      </c>
    </row>
    <row r="224" spans="1:1" x14ac:dyDescent="0.35">
      <c r="A224" s="100">
        <f t="shared" si="3"/>
        <v>0</v>
      </c>
    </row>
    <row r="225" spans="1:1" x14ac:dyDescent="0.35">
      <c r="A225" s="100">
        <f t="shared" si="3"/>
        <v>0</v>
      </c>
    </row>
    <row r="226" spans="1:1" x14ac:dyDescent="0.35">
      <c r="A226" s="100">
        <f t="shared" si="3"/>
        <v>0</v>
      </c>
    </row>
    <row r="227" spans="1:1" x14ac:dyDescent="0.35">
      <c r="A227" s="101">
        <f t="shared" si="3"/>
        <v>0</v>
      </c>
    </row>
    <row r="228" spans="1:1" x14ac:dyDescent="0.35">
      <c r="A228" s="100">
        <f t="shared" si="3"/>
        <v>0</v>
      </c>
    </row>
    <row r="229" spans="1:1" x14ac:dyDescent="0.35">
      <c r="A229" s="101">
        <f t="shared" si="3"/>
        <v>0</v>
      </c>
    </row>
    <row r="230" spans="1:1" x14ac:dyDescent="0.35">
      <c r="A230" s="100">
        <f t="shared" si="3"/>
        <v>0</v>
      </c>
    </row>
    <row r="231" spans="1:1" x14ac:dyDescent="0.35">
      <c r="A231" s="101">
        <f t="shared" si="3"/>
        <v>0</v>
      </c>
    </row>
    <row r="232" spans="1:1" x14ac:dyDescent="0.35">
      <c r="A232" s="100">
        <f t="shared" si="3"/>
        <v>0</v>
      </c>
    </row>
    <row r="233" spans="1:1" x14ac:dyDescent="0.35">
      <c r="A233" s="101">
        <f t="shared" si="3"/>
        <v>0</v>
      </c>
    </row>
    <row r="234" spans="1:1" x14ac:dyDescent="0.35">
      <c r="A234" s="101">
        <f t="shared" si="3"/>
        <v>0</v>
      </c>
    </row>
    <row r="235" spans="1:1" x14ac:dyDescent="0.35">
      <c r="A235" s="100">
        <f t="shared" si="3"/>
        <v>0</v>
      </c>
    </row>
    <row r="236" spans="1:1" x14ac:dyDescent="0.35">
      <c r="A236" s="101">
        <f t="shared" si="3"/>
        <v>0</v>
      </c>
    </row>
    <row r="237" spans="1:1" x14ac:dyDescent="0.35">
      <c r="A237" s="100">
        <f t="shared" si="3"/>
        <v>0</v>
      </c>
    </row>
    <row r="238" spans="1:1" x14ac:dyDescent="0.35">
      <c r="A238" s="101">
        <f t="shared" si="3"/>
        <v>0</v>
      </c>
    </row>
    <row r="239" spans="1:1" x14ac:dyDescent="0.35">
      <c r="A239" s="101">
        <f t="shared" si="3"/>
        <v>0</v>
      </c>
    </row>
    <row r="240" spans="1:1" x14ac:dyDescent="0.35">
      <c r="A240" s="100">
        <f t="shared" si="3"/>
        <v>0</v>
      </c>
    </row>
    <row r="241" spans="1:1" x14ac:dyDescent="0.35">
      <c r="A241" s="101">
        <f t="shared" si="3"/>
        <v>0</v>
      </c>
    </row>
    <row r="242" spans="1:1" x14ac:dyDescent="0.35">
      <c r="A242" s="101">
        <f t="shared" si="3"/>
        <v>0</v>
      </c>
    </row>
    <row r="243" spans="1:1" x14ac:dyDescent="0.35">
      <c r="A243" s="100">
        <f t="shared" si="3"/>
        <v>0</v>
      </c>
    </row>
    <row r="244" spans="1:1" x14ac:dyDescent="0.35">
      <c r="A244" s="100">
        <f t="shared" si="3"/>
        <v>0</v>
      </c>
    </row>
    <row r="245" spans="1:1" x14ac:dyDescent="0.35">
      <c r="A245" s="100">
        <f t="shared" si="3"/>
        <v>0</v>
      </c>
    </row>
    <row r="246" spans="1:1" x14ac:dyDescent="0.35">
      <c r="A246" s="101">
        <f t="shared" si="3"/>
        <v>0</v>
      </c>
    </row>
    <row r="247" spans="1:1" x14ac:dyDescent="0.35">
      <c r="A247" s="101">
        <f t="shared" si="3"/>
        <v>0</v>
      </c>
    </row>
    <row r="248" spans="1:1" x14ac:dyDescent="0.35">
      <c r="A248" s="101">
        <f t="shared" si="3"/>
        <v>0</v>
      </c>
    </row>
    <row r="249" spans="1:1" x14ac:dyDescent="0.35">
      <c r="A249" s="101">
        <f t="shared" si="3"/>
        <v>0</v>
      </c>
    </row>
    <row r="250" spans="1:1" x14ac:dyDescent="0.35">
      <c r="A250" s="100">
        <f t="shared" si="3"/>
        <v>0</v>
      </c>
    </row>
    <row r="251" spans="1:1" x14ac:dyDescent="0.35">
      <c r="A251" s="101">
        <f t="shared" si="3"/>
        <v>0</v>
      </c>
    </row>
    <row r="252" spans="1:1" x14ac:dyDescent="0.35">
      <c r="A252" s="100">
        <f t="shared" si="3"/>
        <v>0</v>
      </c>
    </row>
    <row r="253" spans="1:1" x14ac:dyDescent="0.35">
      <c r="A253" s="101">
        <f t="shared" si="3"/>
        <v>0</v>
      </c>
    </row>
    <row r="254" spans="1:1" x14ac:dyDescent="0.35">
      <c r="A254" s="100">
        <f t="shared" si="3"/>
        <v>0</v>
      </c>
    </row>
    <row r="255" spans="1:1" x14ac:dyDescent="0.35">
      <c r="A255" s="100">
        <f t="shared" si="3"/>
        <v>0</v>
      </c>
    </row>
    <row r="256" spans="1:1" x14ac:dyDescent="0.35">
      <c r="A256" s="101">
        <f t="shared" si="3"/>
        <v>0</v>
      </c>
    </row>
    <row r="257" spans="1:1" x14ac:dyDescent="0.35">
      <c r="A257" s="101">
        <f t="shared" si="3"/>
        <v>0</v>
      </c>
    </row>
    <row r="258" spans="1:1" x14ac:dyDescent="0.35">
      <c r="A258" s="100">
        <f t="shared" si="3"/>
        <v>0</v>
      </c>
    </row>
    <row r="259" spans="1:1" x14ac:dyDescent="0.35">
      <c r="A259" s="101">
        <f t="shared" si="3"/>
        <v>0</v>
      </c>
    </row>
    <row r="260" spans="1:1" x14ac:dyDescent="0.35">
      <c r="A260" s="101">
        <f t="shared" si="3"/>
        <v>0</v>
      </c>
    </row>
    <row r="261" spans="1:1" x14ac:dyDescent="0.35">
      <c r="A261" s="100">
        <f t="shared" ref="A261:A324" si="4">IF(LEN(B261)=8,LEFT(B261,1),0)</f>
        <v>0</v>
      </c>
    </row>
    <row r="262" spans="1:1" x14ac:dyDescent="0.35">
      <c r="A262" s="101">
        <f t="shared" si="4"/>
        <v>0</v>
      </c>
    </row>
    <row r="263" spans="1:1" x14ac:dyDescent="0.35">
      <c r="A263" s="101">
        <f t="shared" si="4"/>
        <v>0</v>
      </c>
    </row>
    <row r="264" spans="1:1" x14ac:dyDescent="0.35">
      <c r="A264" s="100">
        <f t="shared" si="4"/>
        <v>0</v>
      </c>
    </row>
    <row r="265" spans="1:1" x14ac:dyDescent="0.35">
      <c r="A265" s="101">
        <f t="shared" si="4"/>
        <v>0</v>
      </c>
    </row>
    <row r="266" spans="1:1" x14ac:dyDescent="0.35">
      <c r="A266" s="100">
        <f t="shared" si="4"/>
        <v>0</v>
      </c>
    </row>
    <row r="267" spans="1:1" x14ac:dyDescent="0.35">
      <c r="A267" s="101">
        <f t="shared" si="4"/>
        <v>0</v>
      </c>
    </row>
    <row r="268" spans="1:1" x14ac:dyDescent="0.35">
      <c r="A268" s="100">
        <f t="shared" si="4"/>
        <v>0</v>
      </c>
    </row>
    <row r="269" spans="1:1" x14ac:dyDescent="0.35">
      <c r="A269" s="100">
        <f t="shared" si="4"/>
        <v>0</v>
      </c>
    </row>
    <row r="270" spans="1:1" x14ac:dyDescent="0.35">
      <c r="A270" s="100">
        <f t="shared" si="4"/>
        <v>0</v>
      </c>
    </row>
    <row r="271" spans="1:1" x14ac:dyDescent="0.35">
      <c r="A271" s="100">
        <f t="shared" si="4"/>
        <v>0</v>
      </c>
    </row>
    <row r="272" spans="1:1" x14ac:dyDescent="0.35">
      <c r="A272" s="100">
        <f t="shared" si="4"/>
        <v>0</v>
      </c>
    </row>
    <row r="273" spans="1:1" x14ac:dyDescent="0.35">
      <c r="A273" s="100">
        <f t="shared" si="4"/>
        <v>0</v>
      </c>
    </row>
    <row r="274" spans="1:1" x14ac:dyDescent="0.35">
      <c r="A274" s="100">
        <f t="shared" si="4"/>
        <v>0</v>
      </c>
    </row>
    <row r="275" spans="1:1" x14ac:dyDescent="0.35">
      <c r="A275" s="100">
        <f t="shared" si="4"/>
        <v>0</v>
      </c>
    </row>
    <row r="276" spans="1:1" x14ac:dyDescent="0.35">
      <c r="A276" s="100">
        <f t="shared" si="4"/>
        <v>0</v>
      </c>
    </row>
    <row r="277" spans="1:1" x14ac:dyDescent="0.35">
      <c r="A277" s="100">
        <f t="shared" si="4"/>
        <v>0</v>
      </c>
    </row>
    <row r="278" spans="1:1" x14ac:dyDescent="0.35">
      <c r="A278" s="100">
        <f t="shared" si="4"/>
        <v>0</v>
      </c>
    </row>
    <row r="279" spans="1:1" x14ac:dyDescent="0.35">
      <c r="A279" s="100">
        <f t="shared" si="4"/>
        <v>0</v>
      </c>
    </row>
    <row r="280" spans="1:1" x14ac:dyDescent="0.35">
      <c r="A280" s="100">
        <f t="shared" si="4"/>
        <v>0</v>
      </c>
    </row>
    <row r="281" spans="1:1" x14ac:dyDescent="0.35">
      <c r="A281" s="100">
        <f t="shared" si="4"/>
        <v>0</v>
      </c>
    </row>
    <row r="282" spans="1:1" x14ac:dyDescent="0.35">
      <c r="A282" s="100">
        <f t="shared" si="4"/>
        <v>0</v>
      </c>
    </row>
    <row r="283" spans="1:1" x14ac:dyDescent="0.35">
      <c r="A283" s="100">
        <f t="shared" si="4"/>
        <v>0</v>
      </c>
    </row>
    <row r="284" spans="1:1" x14ac:dyDescent="0.35">
      <c r="A284" s="100">
        <f t="shared" si="4"/>
        <v>0</v>
      </c>
    </row>
    <row r="285" spans="1:1" x14ac:dyDescent="0.35">
      <c r="A285" s="100">
        <f t="shared" si="4"/>
        <v>0</v>
      </c>
    </row>
    <row r="286" spans="1:1" x14ac:dyDescent="0.35">
      <c r="A286" s="100">
        <f t="shared" si="4"/>
        <v>0</v>
      </c>
    </row>
    <row r="287" spans="1:1" x14ac:dyDescent="0.35">
      <c r="A287" s="100">
        <f t="shared" si="4"/>
        <v>0</v>
      </c>
    </row>
    <row r="288" spans="1:1" x14ac:dyDescent="0.35">
      <c r="A288" s="100">
        <f t="shared" si="4"/>
        <v>0</v>
      </c>
    </row>
    <row r="289" spans="1:1" x14ac:dyDescent="0.35">
      <c r="A289" s="100">
        <f t="shared" si="4"/>
        <v>0</v>
      </c>
    </row>
    <row r="290" spans="1:1" x14ac:dyDescent="0.35">
      <c r="A290" s="100">
        <f t="shared" si="4"/>
        <v>0</v>
      </c>
    </row>
    <row r="291" spans="1:1" x14ac:dyDescent="0.35">
      <c r="A291" s="100">
        <f t="shared" si="4"/>
        <v>0</v>
      </c>
    </row>
    <row r="292" spans="1:1" x14ac:dyDescent="0.35">
      <c r="A292" s="100">
        <f t="shared" si="4"/>
        <v>0</v>
      </c>
    </row>
    <row r="293" spans="1:1" x14ac:dyDescent="0.35">
      <c r="A293" s="100">
        <f t="shared" si="4"/>
        <v>0</v>
      </c>
    </row>
    <row r="294" spans="1:1" x14ac:dyDescent="0.35">
      <c r="A294" s="100">
        <f t="shared" si="4"/>
        <v>0</v>
      </c>
    </row>
    <row r="295" spans="1:1" x14ac:dyDescent="0.35">
      <c r="A295" s="100">
        <f t="shared" si="4"/>
        <v>0</v>
      </c>
    </row>
    <row r="296" spans="1:1" x14ac:dyDescent="0.35">
      <c r="A296" s="100">
        <f t="shared" si="4"/>
        <v>0</v>
      </c>
    </row>
    <row r="297" spans="1:1" x14ac:dyDescent="0.35">
      <c r="A297" s="100">
        <f t="shared" si="4"/>
        <v>0</v>
      </c>
    </row>
    <row r="298" spans="1:1" x14ac:dyDescent="0.35">
      <c r="A298" s="100">
        <f t="shared" si="4"/>
        <v>0</v>
      </c>
    </row>
    <row r="299" spans="1:1" x14ac:dyDescent="0.35">
      <c r="A299" s="100">
        <f t="shared" si="4"/>
        <v>0</v>
      </c>
    </row>
    <row r="300" spans="1:1" x14ac:dyDescent="0.35">
      <c r="A300" s="100">
        <f t="shared" si="4"/>
        <v>0</v>
      </c>
    </row>
    <row r="301" spans="1:1" x14ac:dyDescent="0.35">
      <c r="A301" s="100">
        <f t="shared" si="4"/>
        <v>0</v>
      </c>
    </row>
    <row r="302" spans="1:1" x14ac:dyDescent="0.35">
      <c r="A302" s="100">
        <f t="shared" si="4"/>
        <v>0</v>
      </c>
    </row>
    <row r="303" spans="1:1" x14ac:dyDescent="0.35">
      <c r="A303" s="100">
        <f t="shared" si="4"/>
        <v>0</v>
      </c>
    </row>
    <row r="304" spans="1:1" x14ac:dyDescent="0.35">
      <c r="A304" s="100">
        <f t="shared" si="4"/>
        <v>0</v>
      </c>
    </row>
    <row r="305" spans="1:1" x14ac:dyDescent="0.35">
      <c r="A305" s="100">
        <f t="shared" si="4"/>
        <v>0</v>
      </c>
    </row>
    <row r="306" spans="1:1" x14ac:dyDescent="0.35">
      <c r="A306" s="100">
        <f t="shared" si="4"/>
        <v>0</v>
      </c>
    </row>
    <row r="307" spans="1:1" x14ac:dyDescent="0.35">
      <c r="A307" s="100">
        <f t="shared" si="4"/>
        <v>0</v>
      </c>
    </row>
    <row r="308" spans="1:1" x14ac:dyDescent="0.35">
      <c r="A308" s="100">
        <f t="shared" si="4"/>
        <v>0</v>
      </c>
    </row>
    <row r="309" spans="1:1" x14ac:dyDescent="0.35">
      <c r="A309" s="100">
        <f t="shared" si="4"/>
        <v>0</v>
      </c>
    </row>
    <row r="310" spans="1:1" x14ac:dyDescent="0.35">
      <c r="A310" s="100">
        <f t="shared" si="4"/>
        <v>0</v>
      </c>
    </row>
    <row r="311" spans="1:1" x14ac:dyDescent="0.35">
      <c r="A311" s="100">
        <f t="shared" si="4"/>
        <v>0</v>
      </c>
    </row>
    <row r="312" spans="1:1" x14ac:dyDescent="0.35">
      <c r="A312" s="100">
        <f t="shared" si="4"/>
        <v>0</v>
      </c>
    </row>
    <row r="313" spans="1:1" x14ac:dyDescent="0.35">
      <c r="A313" s="100">
        <f t="shared" si="4"/>
        <v>0</v>
      </c>
    </row>
    <row r="314" spans="1:1" x14ac:dyDescent="0.35">
      <c r="A314" s="100">
        <f t="shared" si="4"/>
        <v>0</v>
      </c>
    </row>
    <row r="315" spans="1:1" x14ac:dyDescent="0.35">
      <c r="A315" s="100">
        <f t="shared" si="4"/>
        <v>0</v>
      </c>
    </row>
    <row r="316" spans="1:1" x14ac:dyDescent="0.35">
      <c r="A316" s="100">
        <f t="shared" si="4"/>
        <v>0</v>
      </c>
    </row>
    <row r="317" spans="1:1" x14ac:dyDescent="0.35">
      <c r="A317" s="100">
        <f t="shared" si="4"/>
        <v>0</v>
      </c>
    </row>
    <row r="318" spans="1:1" x14ac:dyDescent="0.35">
      <c r="A318" s="100">
        <f t="shared" si="4"/>
        <v>0</v>
      </c>
    </row>
    <row r="319" spans="1:1" x14ac:dyDescent="0.35">
      <c r="A319" s="100">
        <f t="shared" si="4"/>
        <v>0</v>
      </c>
    </row>
    <row r="320" spans="1:1" x14ac:dyDescent="0.35">
      <c r="A320" s="100">
        <f t="shared" si="4"/>
        <v>0</v>
      </c>
    </row>
    <row r="321" spans="1:1" x14ac:dyDescent="0.35">
      <c r="A321" s="100">
        <f t="shared" si="4"/>
        <v>0</v>
      </c>
    </row>
    <row r="322" spans="1:1" x14ac:dyDescent="0.35">
      <c r="A322" s="100">
        <f t="shared" si="4"/>
        <v>0</v>
      </c>
    </row>
    <row r="323" spans="1:1" x14ac:dyDescent="0.35">
      <c r="A323" s="100">
        <f t="shared" si="4"/>
        <v>0</v>
      </c>
    </row>
    <row r="324" spans="1:1" x14ac:dyDescent="0.35">
      <c r="A324" s="100">
        <f t="shared" si="4"/>
        <v>0</v>
      </c>
    </row>
    <row r="325" spans="1:1" x14ac:dyDescent="0.35">
      <c r="A325" s="100">
        <f t="shared" ref="A325:A388" si="5">IF(LEN(B325)=8,LEFT(B325,1),0)</f>
        <v>0</v>
      </c>
    </row>
    <row r="326" spans="1:1" x14ac:dyDescent="0.35">
      <c r="A326" s="100">
        <f t="shared" si="5"/>
        <v>0</v>
      </c>
    </row>
    <row r="327" spans="1:1" x14ac:dyDescent="0.35">
      <c r="A327" s="100">
        <f t="shared" si="5"/>
        <v>0</v>
      </c>
    </row>
    <row r="328" spans="1:1" x14ac:dyDescent="0.35">
      <c r="A328" s="100">
        <f t="shared" si="5"/>
        <v>0</v>
      </c>
    </row>
    <row r="329" spans="1:1" x14ac:dyDescent="0.35">
      <c r="A329" s="100">
        <f t="shared" si="5"/>
        <v>0</v>
      </c>
    </row>
    <row r="330" spans="1:1" x14ac:dyDescent="0.35">
      <c r="A330" s="100">
        <f t="shared" si="5"/>
        <v>0</v>
      </c>
    </row>
    <row r="331" spans="1:1" x14ac:dyDescent="0.35">
      <c r="A331" s="100">
        <f t="shared" si="5"/>
        <v>0</v>
      </c>
    </row>
    <row r="332" spans="1:1" x14ac:dyDescent="0.35">
      <c r="A332" s="100">
        <f t="shared" si="5"/>
        <v>0</v>
      </c>
    </row>
    <row r="333" spans="1:1" x14ac:dyDescent="0.35">
      <c r="A333" s="100">
        <f t="shared" si="5"/>
        <v>0</v>
      </c>
    </row>
    <row r="334" spans="1:1" x14ac:dyDescent="0.35">
      <c r="A334" s="100">
        <f t="shared" si="5"/>
        <v>0</v>
      </c>
    </row>
    <row r="335" spans="1:1" x14ac:dyDescent="0.35">
      <c r="A335" s="100">
        <f t="shared" si="5"/>
        <v>0</v>
      </c>
    </row>
    <row r="336" spans="1:1" x14ac:dyDescent="0.35">
      <c r="A336" s="100">
        <f t="shared" si="5"/>
        <v>0</v>
      </c>
    </row>
    <row r="337" spans="1:1" x14ac:dyDescent="0.35">
      <c r="A337" s="100">
        <f t="shared" si="5"/>
        <v>0</v>
      </c>
    </row>
    <row r="338" spans="1:1" x14ac:dyDescent="0.35">
      <c r="A338" s="100">
        <f t="shared" si="5"/>
        <v>0</v>
      </c>
    </row>
    <row r="339" spans="1:1" x14ac:dyDescent="0.35">
      <c r="A339" s="100">
        <f t="shared" si="5"/>
        <v>0</v>
      </c>
    </row>
    <row r="340" spans="1:1" x14ac:dyDescent="0.35">
      <c r="A340" s="100">
        <f t="shared" si="5"/>
        <v>0</v>
      </c>
    </row>
    <row r="341" spans="1:1" x14ac:dyDescent="0.35">
      <c r="A341" s="100">
        <f t="shared" si="5"/>
        <v>0</v>
      </c>
    </row>
    <row r="342" spans="1:1" x14ac:dyDescent="0.35">
      <c r="A342" s="100">
        <f t="shared" si="5"/>
        <v>0</v>
      </c>
    </row>
    <row r="343" spans="1:1" x14ac:dyDescent="0.35">
      <c r="A343" s="100">
        <f t="shared" si="5"/>
        <v>0</v>
      </c>
    </row>
    <row r="344" spans="1:1" x14ac:dyDescent="0.35">
      <c r="A344" s="100">
        <f t="shared" si="5"/>
        <v>0</v>
      </c>
    </row>
    <row r="345" spans="1:1" x14ac:dyDescent="0.35">
      <c r="A345" s="100">
        <f t="shared" si="5"/>
        <v>0</v>
      </c>
    </row>
    <row r="346" spans="1:1" x14ac:dyDescent="0.35">
      <c r="A346" s="100">
        <f t="shared" si="5"/>
        <v>0</v>
      </c>
    </row>
    <row r="347" spans="1:1" x14ac:dyDescent="0.35">
      <c r="A347" s="100">
        <f t="shared" si="5"/>
        <v>0</v>
      </c>
    </row>
    <row r="348" spans="1:1" x14ac:dyDescent="0.35">
      <c r="A348" s="100">
        <f t="shared" si="5"/>
        <v>0</v>
      </c>
    </row>
    <row r="349" spans="1:1" x14ac:dyDescent="0.35">
      <c r="A349" s="100">
        <f t="shared" si="5"/>
        <v>0</v>
      </c>
    </row>
    <row r="350" spans="1:1" x14ac:dyDescent="0.35">
      <c r="A350" s="100">
        <f t="shared" si="5"/>
        <v>0</v>
      </c>
    </row>
    <row r="351" spans="1:1" x14ac:dyDescent="0.35">
      <c r="A351" s="100">
        <f t="shared" si="5"/>
        <v>0</v>
      </c>
    </row>
    <row r="352" spans="1:1" x14ac:dyDescent="0.35">
      <c r="A352" s="100">
        <f t="shared" si="5"/>
        <v>0</v>
      </c>
    </row>
    <row r="353" spans="1:1" x14ac:dyDescent="0.35">
      <c r="A353" s="100">
        <f t="shared" si="5"/>
        <v>0</v>
      </c>
    </row>
    <row r="354" spans="1:1" x14ac:dyDescent="0.35">
      <c r="A354" s="100">
        <f t="shared" si="5"/>
        <v>0</v>
      </c>
    </row>
    <row r="355" spans="1:1" x14ac:dyDescent="0.35">
      <c r="A355" s="100">
        <f t="shared" si="5"/>
        <v>0</v>
      </c>
    </row>
    <row r="356" spans="1:1" x14ac:dyDescent="0.35">
      <c r="A356" s="100">
        <f t="shared" si="5"/>
        <v>0</v>
      </c>
    </row>
    <row r="357" spans="1:1" x14ac:dyDescent="0.35">
      <c r="A357" s="100">
        <f t="shared" si="5"/>
        <v>0</v>
      </c>
    </row>
    <row r="358" spans="1:1" x14ac:dyDescent="0.35">
      <c r="A358" s="100">
        <f t="shared" si="5"/>
        <v>0</v>
      </c>
    </row>
    <row r="359" spans="1:1" x14ac:dyDescent="0.35">
      <c r="A359" s="100">
        <f t="shared" si="5"/>
        <v>0</v>
      </c>
    </row>
    <row r="360" spans="1:1" x14ac:dyDescent="0.35">
      <c r="A360" s="100">
        <f t="shared" si="5"/>
        <v>0</v>
      </c>
    </row>
    <row r="361" spans="1:1" x14ac:dyDescent="0.35">
      <c r="A361" s="100">
        <f t="shared" si="5"/>
        <v>0</v>
      </c>
    </row>
    <row r="362" spans="1:1" x14ac:dyDescent="0.35">
      <c r="A362" s="100">
        <f t="shared" si="5"/>
        <v>0</v>
      </c>
    </row>
    <row r="363" spans="1:1" x14ac:dyDescent="0.35">
      <c r="A363" s="100">
        <f t="shared" si="5"/>
        <v>0</v>
      </c>
    </row>
    <row r="364" spans="1:1" x14ac:dyDescent="0.35">
      <c r="A364" s="100">
        <f t="shared" si="5"/>
        <v>0</v>
      </c>
    </row>
    <row r="365" spans="1:1" x14ac:dyDescent="0.35">
      <c r="A365" s="100">
        <f t="shared" si="5"/>
        <v>0</v>
      </c>
    </row>
    <row r="366" spans="1:1" x14ac:dyDescent="0.35">
      <c r="A366" s="100">
        <f t="shared" si="5"/>
        <v>0</v>
      </c>
    </row>
    <row r="367" spans="1:1" x14ac:dyDescent="0.35">
      <c r="A367" s="100">
        <f t="shared" si="5"/>
        <v>0</v>
      </c>
    </row>
    <row r="368" spans="1:1" x14ac:dyDescent="0.35">
      <c r="A368" s="100">
        <f t="shared" si="5"/>
        <v>0</v>
      </c>
    </row>
    <row r="369" spans="1:1" x14ac:dyDescent="0.35">
      <c r="A369" s="100">
        <f t="shared" si="5"/>
        <v>0</v>
      </c>
    </row>
    <row r="370" spans="1:1" x14ac:dyDescent="0.35">
      <c r="A370" s="100">
        <f t="shared" si="5"/>
        <v>0</v>
      </c>
    </row>
    <row r="371" spans="1:1" x14ac:dyDescent="0.35">
      <c r="A371" s="100">
        <f t="shared" si="5"/>
        <v>0</v>
      </c>
    </row>
    <row r="372" spans="1:1" x14ac:dyDescent="0.35">
      <c r="A372" s="100">
        <f t="shared" si="5"/>
        <v>0</v>
      </c>
    </row>
    <row r="373" spans="1:1" x14ac:dyDescent="0.35">
      <c r="A373" s="100">
        <f t="shared" si="5"/>
        <v>0</v>
      </c>
    </row>
    <row r="374" spans="1:1" x14ac:dyDescent="0.35">
      <c r="A374" s="100">
        <f t="shared" si="5"/>
        <v>0</v>
      </c>
    </row>
    <row r="375" spans="1:1" x14ac:dyDescent="0.35">
      <c r="A375" s="100">
        <f t="shared" si="5"/>
        <v>0</v>
      </c>
    </row>
    <row r="376" spans="1:1" x14ac:dyDescent="0.35">
      <c r="A376" s="100">
        <f t="shared" si="5"/>
        <v>0</v>
      </c>
    </row>
    <row r="377" spans="1:1" x14ac:dyDescent="0.35">
      <c r="A377" s="100">
        <f t="shared" si="5"/>
        <v>0</v>
      </c>
    </row>
    <row r="378" spans="1:1" x14ac:dyDescent="0.35">
      <c r="A378" s="100">
        <f t="shared" si="5"/>
        <v>0</v>
      </c>
    </row>
    <row r="379" spans="1:1" x14ac:dyDescent="0.35">
      <c r="A379" s="100">
        <f t="shared" si="5"/>
        <v>0</v>
      </c>
    </row>
    <row r="380" spans="1:1" x14ac:dyDescent="0.35">
      <c r="A380" s="100">
        <f t="shared" si="5"/>
        <v>0</v>
      </c>
    </row>
    <row r="381" spans="1:1" x14ac:dyDescent="0.35">
      <c r="A381" s="100">
        <f t="shared" si="5"/>
        <v>0</v>
      </c>
    </row>
    <row r="382" spans="1:1" x14ac:dyDescent="0.35">
      <c r="A382" s="100">
        <f t="shared" si="5"/>
        <v>0</v>
      </c>
    </row>
    <row r="383" spans="1:1" x14ac:dyDescent="0.35">
      <c r="A383" s="100">
        <f t="shared" si="5"/>
        <v>0</v>
      </c>
    </row>
    <row r="384" spans="1:1" x14ac:dyDescent="0.35">
      <c r="A384" s="100">
        <f t="shared" si="5"/>
        <v>0</v>
      </c>
    </row>
    <row r="385" spans="1:1" x14ac:dyDescent="0.35">
      <c r="A385" s="100">
        <f t="shared" si="5"/>
        <v>0</v>
      </c>
    </row>
    <row r="386" spans="1:1" x14ac:dyDescent="0.35">
      <c r="A386" s="100">
        <f t="shared" si="5"/>
        <v>0</v>
      </c>
    </row>
    <row r="387" spans="1:1" x14ac:dyDescent="0.35">
      <c r="A387" s="100">
        <f t="shared" si="5"/>
        <v>0</v>
      </c>
    </row>
    <row r="388" spans="1:1" x14ac:dyDescent="0.35">
      <c r="A388" s="100">
        <f t="shared" si="5"/>
        <v>0</v>
      </c>
    </row>
    <row r="389" spans="1:1" x14ac:dyDescent="0.35">
      <c r="A389" s="100">
        <f t="shared" ref="A389:A452" si="6">IF(LEN(B389)=8,LEFT(B389,1),0)</f>
        <v>0</v>
      </c>
    </row>
    <row r="390" spans="1:1" x14ac:dyDescent="0.35">
      <c r="A390" s="100">
        <f t="shared" si="6"/>
        <v>0</v>
      </c>
    </row>
    <row r="391" spans="1:1" x14ac:dyDescent="0.35">
      <c r="A391" s="100">
        <f t="shared" si="6"/>
        <v>0</v>
      </c>
    </row>
    <row r="392" spans="1:1" x14ac:dyDescent="0.35">
      <c r="A392" s="100">
        <f t="shared" si="6"/>
        <v>0</v>
      </c>
    </row>
    <row r="393" spans="1:1" x14ac:dyDescent="0.35">
      <c r="A393" s="100">
        <f t="shared" si="6"/>
        <v>0</v>
      </c>
    </row>
    <row r="394" spans="1:1" x14ac:dyDescent="0.35">
      <c r="A394" s="100">
        <f t="shared" si="6"/>
        <v>0</v>
      </c>
    </row>
    <row r="395" spans="1:1" x14ac:dyDescent="0.35">
      <c r="A395" s="100">
        <f t="shared" si="6"/>
        <v>0</v>
      </c>
    </row>
    <row r="396" spans="1:1" x14ac:dyDescent="0.35">
      <c r="A396" s="100">
        <f t="shared" si="6"/>
        <v>0</v>
      </c>
    </row>
    <row r="397" spans="1:1" x14ac:dyDescent="0.35">
      <c r="A397" s="100">
        <f t="shared" si="6"/>
        <v>0</v>
      </c>
    </row>
    <row r="398" spans="1:1" x14ac:dyDescent="0.35">
      <c r="A398" s="100">
        <f t="shared" si="6"/>
        <v>0</v>
      </c>
    </row>
    <row r="399" spans="1:1" x14ac:dyDescent="0.35">
      <c r="A399" s="100">
        <f t="shared" si="6"/>
        <v>0</v>
      </c>
    </row>
    <row r="400" spans="1:1" x14ac:dyDescent="0.35">
      <c r="A400" s="100">
        <f t="shared" si="6"/>
        <v>0</v>
      </c>
    </row>
    <row r="401" spans="1:1" x14ac:dyDescent="0.35">
      <c r="A401" s="100">
        <f t="shared" si="6"/>
        <v>0</v>
      </c>
    </row>
    <row r="402" spans="1:1" x14ac:dyDescent="0.35">
      <c r="A402" s="100">
        <f t="shared" si="6"/>
        <v>0</v>
      </c>
    </row>
    <row r="403" spans="1:1" x14ac:dyDescent="0.35">
      <c r="A403" s="100">
        <f t="shared" si="6"/>
        <v>0</v>
      </c>
    </row>
    <row r="404" spans="1:1" x14ac:dyDescent="0.35">
      <c r="A404" s="100">
        <f t="shared" si="6"/>
        <v>0</v>
      </c>
    </row>
    <row r="405" spans="1:1" x14ac:dyDescent="0.35">
      <c r="A405" s="100">
        <f t="shared" si="6"/>
        <v>0</v>
      </c>
    </row>
    <row r="406" spans="1:1" x14ac:dyDescent="0.35">
      <c r="A406" s="100">
        <f t="shared" si="6"/>
        <v>0</v>
      </c>
    </row>
    <row r="407" spans="1:1" x14ac:dyDescent="0.35">
      <c r="A407" s="100">
        <f t="shared" si="6"/>
        <v>0</v>
      </c>
    </row>
    <row r="408" spans="1:1" x14ac:dyDescent="0.35">
      <c r="A408" s="100">
        <f t="shared" si="6"/>
        <v>0</v>
      </c>
    </row>
    <row r="409" spans="1:1" x14ac:dyDescent="0.35">
      <c r="A409" s="100">
        <f t="shared" si="6"/>
        <v>0</v>
      </c>
    </row>
    <row r="410" spans="1:1" x14ac:dyDescent="0.35">
      <c r="A410" s="100">
        <f t="shared" si="6"/>
        <v>0</v>
      </c>
    </row>
    <row r="411" spans="1:1" x14ac:dyDescent="0.35">
      <c r="A411" s="100">
        <f t="shared" si="6"/>
        <v>0</v>
      </c>
    </row>
    <row r="412" spans="1:1" x14ac:dyDescent="0.35">
      <c r="A412" s="100">
        <f t="shared" si="6"/>
        <v>0</v>
      </c>
    </row>
    <row r="413" spans="1:1" x14ac:dyDescent="0.35">
      <c r="A413" s="100">
        <f t="shared" si="6"/>
        <v>0</v>
      </c>
    </row>
    <row r="414" spans="1:1" x14ac:dyDescent="0.35">
      <c r="A414" s="100">
        <f t="shared" si="6"/>
        <v>0</v>
      </c>
    </row>
    <row r="415" spans="1:1" x14ac:dyDescent="0.35">
      <c r="A415" s="100">
        <f t="shared" si="6"/>
        <v>0</v>
      </c>
    </row>
    <row r="416" spans="1:1" x14ac:dyDescent="0.35">
      <c r="A416" s="100">
        <f t="shared" si="6"/>
        <v>0</v>
      </c>
    </row>
    <row r="417" spans="1:1" x14ac:dyDescent="0.35">
      <c r="A417" s="100">
        <f t="shared" si="6"/>
        <v>0</v>
      </c>
    </row>
    <row r="418" spans="1:1" x14ac:dyDescent="0.35">
      <c r="A418" s="100">
        <f t="shared" si="6"/>
        <v>0</v>
      </c>
    </row>
    <row r="419" spans="1:1" x14ac:dyDescent="0.35">
      <c r="A419" s="100">
        <f t="shared" si="6"/>
        <v>0</v>
      </c>
    </row>
    <row r="420" spans="1:1" x14ac:dyDescent="0.35">
      <c r="A420" s="100">
        <f t="shared" si="6"/>
        <v>0</v>
      </c>
    </row>
    <row r="421" spans="1:1" x14ac:dyDescent="0.35">
      <c r="A421" s="100">
        <f t="shared" si="6"/>
        <v>0</v>
      </c>
    </row>
    <row r="422" spans="1:1" x14ac:dyDescent="0.35">
      <c r="A422" s="100">
        <f t="shared" si="6"/>
        <v>0</v>
      </c>
    </row>
    <row r="423" spans="1:1" x14ac:dyDescent="0.35">
      <c r="A423" s="100">
        <f t="shared" si="6"/>
        <v>0</v>
      </c>
    </row>
    <row r="424" spans="1:1" x14ac:dyDescent="0.35">
      <c r="A424" s="100">
        <f t="shared" si="6"/>
        <v>0</v>
      </c>
    </row>
    <row r="425" spans="1:1" x14ac:dyDescent="0.35">
      <c r="A425" s="100">
        <f t="shared" si="6"/>
        <v>0</v>
      </c>
    </row>
    <row r="426" spans="1:1" x14ac:dyDescent="0.35">
      <c r="A426" s="100">
        <f t="shared" si="6"/>
        <v>0</v>
      </c>
    </row>
    <row r="427" spans="1:1" x14ac:dyDescent="0.35">
      <c r="A427" s="100">
        <f t="shared" si="6"/>
        <v>0</v>
      </c>
    </row>
    <row r="428" spans="1:1" x14ac:dyDescent="0.35">
      <c r="A428" s="100">
        <f t="shared" si="6"/>
        <v>0</v>
      </c>
    </row>
    <row r="429" spans="1:1" x14ac:dyDescent="0.35">
      <c r="A429" s="100">
        <f t="shared" si="6"/>
        <v>0</v>
      </c>
    </row>
    <row r="430" spans="1:1" x14ac:dyDescent="0.35">
      <c r="A430" s="100">
        <f t="shared" si="6"/>
        <v>0</v>
      </c>
    </row>
    <row r="431" spans="1:1" x14ac:dyDescent="0.35">
      <c r="A431" s="100">
        <f t="shared" si="6"/>
        <v>0</v>
      </c>
    </row>
    <row r="432" spans="1:1" x14ac:dyDescent="0.35">
      <c r="A432" s="100">
        <f t="shared" si="6"/>
        <v>0</v>
      </c>
    </row>
    <row r="433" spans="1:1" x14ac:dyDescent="0.35">
      <c r="A433" s="100">
        <f t="shared" si="6"/>
        <v>0</v>
      </c>
    </row>
    <row r="434" spans="1:1" x14ac:dyDescent="0.35">
      <c r="A434" s="100">
        <f t="shared" si="6"/>
        <v>0</v>
      </c>
    </row>
    <row r="435" spans="1:1" x14ac:dyDescent="0.35">
      <c r="A435" s="100">
        <f t="shared" si="6"/>
        <v>0</v>
      </c>
    </row>
    <row r="436" spans="1:1" x14ac:dyDescent="0.35">
      <c r="A436" s="100">
        <f t="shared" si="6"/>
        <v>0</v>
      </c>
    </row>
    <row r="437" spans="1:1" x14ac:dyDescent="0.35">
      <c r="A437" s="100">
        <f t="shared" si="6"/>
        <v>0</v>
      </c>
    </row>
    <row r="438" spans="1:1" x14ac:dyDescent="0.35">
      <c r="A438" s="100">
        <f t="shared" si="6"/>
        <v>0</v>
      </c>
    </row>
    <row r="439" spans="1:1" x14ac:dyDescent="0.35">
      <c r="A439" s="100">
        <f t="shared" si="6"/>
        <v>0</v>
      </c>
    </row>
    <row r="440" spans="1:1" x14ac:dyDescent="0.35">
      <c r="A440" s="100">
        <f t="shared" si="6"/>
        <v>0</v>
      </c>
    </row>
    <row r="441" spans="1:1" x14ac:dyDescent="0.35">
      <c r="A441" s="100">
        <f t="shared" si="6"/>
        <v>0</v>
      </c>
    </row>
    <row r="442" spans="1:1" x14ac:dyDescent="0.35">
      <c r="A442" s="100">
        <f t="shared" si="6"/>
        <v>0</v>
      </c>
    </row>
    <row r="443" spans="1:1" x14ac:dyDescent="0.35">
      <c r="A443" s="100">
        <f t="shared" si="6"/>
        <v>0</v>
      </c>
    </row>
    <row r="444" spans="1:1" x14ac:dyDescent="0.35">
      <c r="A444" s="100">
        <f t="shared" si="6"/>
        <v>0</v>
      </c>
    </row>
    <row r="445" spans="1:1" x14ac:dyDescent="0.35">
      <c r="A445" s="100">
        <f t="shared" si="6"/>
        <v>0</v>
      </c>
    </row>
    <row r="446" spans="1:1" x14ac:dyDescent="0.35">
      <c r="A446" s="100">
        <f t="shared" si="6"/>
        <v>0</v>
      </c>
    </row>
    <row r="447" spans="1:1" x14ac:dyDescent="0.35">
      <c r="A447" s="100">
        <f t="shared" si="6"/>
        <v>0</v>
      </c>
    </row>
    <row r="448" spans="1:1" x14ac:dyDescent="0.35">
      <c r="A448" s="100">
        <f t="shared" si="6"/>
        <v>0</v>
      </c>
    </row>
    <row r="449" spans="1:1" x14ac:dyDescent="0.35">
      <c r="A449" s="100">
        <f t="shared" si="6"/>
        <v>0</v>
      </c>
    </row>
    <row r="450" spans="1:1" x14ac:dyDescent="0.35">
      <c r="A450" s="100">
        <f t="shared" si="6"/>
        <v>0</v>
      </c>
    </row>
    <row r="451" spans="1:1" x14ac:dyDescent="0.35">
      <c r="A451" s="100">
        <f t="shared" si="6"/>
        <v>0</v>
      </c>
    </row>
    <row r="452" spans="1:1" x14ac:dyDescent="0.35">
      <c r="A452" s="100">
        <f t="shared" si="6"/>
        <v>0</v>
      </c>
    </row>
    <row r="453" spans="1:1" x14ac:dyDescent="0.35">
      <c r="A453" s="100">
        <f t="shared" ref="A453:A516" si="7">IF(LEN(B453)=8,LEFT(B453,1),0)</f>
        <v>0</v>
      </c>
    </row>
    <row r="454" spans="1:1" x14ac:dyDescent="0.35">
      <c r="A454" s="100">
        <f t="shared" si="7"/>
        <v>0</v>
      </c>
    </row>
    <row r="455" spans="1:1" x14ac:dyDescent="0.35">
      <c r="A455" s="100">
        <f t="shared" si="7"/>
        <v>0</v>
      </c>
    </row>
    <row r="456" spans="1:1" x14ac:dyDescent="0.35">
      <c r="A456" s="100">
        <f t="shared" si="7"/>
        <v>0</v>
      </c>
    </row>
    <row r="457" spans="1:1" x14ac:dyDescent="0.35">
      <c r="A457" s="100">
        <f t="shared" si="7"/>
        <v>0</v>
      </c>
    </row>
    <row r="458" spans="1:1" x14ac:dyDescent="0.35">
      <c r="A458" s="100">
        <f t="shared" si="7"/>
        <v>0</v>
      </c>
    </row>
    <row r="459" spans="1:1" x14ac:dyDescent="0.35">
      <c r="A459" s="100">
        <f t="shared" si="7"/>
        <v>0</v>
      </c>
    </row>
    <row r="460" spans="1:1" x14ac:dyDescent="0.35">
      <c r="A460" s="100">
        <f t="shared" si="7"/>
        <v>0</v>
      </c>
    </row>
    <row r="461" spans="1:1" x14ac:dyDescent="0.35">
      <c r="A461" s="100">
        <f t="shared" si="7"/>
        <v>0</v>
      </c>
    </row>
    <row r="462" spans="1:1" x14ac:dyDescent="0.35">
      <c r="A462" s="100">
        <f t="shared" si="7"/>
        <v>0</v>
      </c>
    </row>
    <row r="463" spans="1:1" x14ac:dyDescent="0.35">
      <c r="A463" s="100">
        <f t="shared" si="7"/>
        <v>0</v>
      </c>
    </row>
    <row r="464" spans="1:1" x14ac:dyDescent="0.35">
      <c r="A464" s="100">
        <f t="shared" si="7"/>
        <v>0</v>
      </c>
    </row>
    <row r="465" spans="1:1" x14ac:dyDescent="0.35">
      <c r="A465" s="100">
        <f t="shared" si="7"/>
        <v>0</v>
      </c>
    </row>
    <row r="466" spans="1:1" x14ac:dyDescent="0.35">
      <c r="A466" s="100">
        <f t="shared" si="7"/>
        <v>0</v>
      </c>
    </row>
    <row r="467" spans="1:1" x14ac:dyDescent="0.35">
      <c r="A467" s="100">
        <f t="shared" si="7"/>
        <v>0</v>
      </c>
    </row>
    <row r="468" spans="1:1" x14ac:dyDescent="0.35">
      <c r="A468" s="100">
        <f t="shared" si="7"/>
        <v>0</v>
      </c>
    </row>
    <row r="469" spans="1:1" x14ac:dyDescent="0.35">
      <c r="A469" s="100">
        <f t="shared" si="7"/>
        <v>0</v>
      </c>
    </row>
    <row r="470" spans="1:1" x14ac:dyDescent="0.35">
      <c r="A470" s="100">
        <f t="shared" si="7"/>
        <v>0</v>
      </c>
    </row>
    <row r="471" spans="1:1" x14ac:dyDescent="0.35">
      <c r="A471" s="100">
        <f t="shared" si="7"/>
        <v>0</v>
      </c>
    </row>
    <row r="472" spans="1:1" x14ac:dyDescent="0.35">
      <c r="A472" s="100">
        <f t="shared" si="7"/>
        <v>0</v>
      </c>
    </row>
    <row r="473" spans="1:1" x14ac:dyDescent="0.35">
      <c r="A473" s="100">
        <f t="shared" si="7"/>
        <v>0</v>
      </c>
    </row>
    <row r="474" spans="1:1" x14ac:dyDescent="0.35">
      <c r="A474" s="100">
        <f t="shared" si="7"/>
        <v>0</v>
      </c>
    </row>
    <row r="475" spans="1:1" x14ac:dyDescent="0.35">
      <c r="A475" s="100">
        <f t="shared" si="7"/>
        <v>0</v>
      </c>
    </row>
    <row r="476" spans="1:1" x14ac:dyDescent="0.35">
      <c r="A476" s="100">
        <f t="shared" si="7"/>
        <v>0</v>
      </c>
    </row>
    <row r="477" spans="1:1" x14ac:dyDescent="0.35">
      <c r="A477" s="100">
        <f t="shared" si="7"/>
        <v>0</v>
      </c>
    </row>
    <row r="478" spans="1:1" x14ac:dyDescent="0.35">
      <c r="A478" s="100">
        <f t="shared" si="7"/>
        <v>0</v>
      </c>
    </row>
    <row r="479" spans="1:1" x14ac:dyDescent="0.35">
      <c r="A479" s="100">
        <f t="shared" si="7"/>
        <v>0</v>
      </c>
    </row>
    <row r="480" spans="1:1" x14ac:dyDescent="0.35">
      <c r="A480" s="100">
        <f t="shared" si="7"/>
        <v>0</v>
      </c>
    </row>
    <row r="481" spans="1:1" x14ac:dyDescent="0.35">
      <c r="A481" s="100">
        <f t="shared" si="7"/>
        <v>0</v>
      </c>
    </row>
    <row r="482" spans="1:1" x14ac:dyDescent="0.35">
      <c r="A482" s="100">
        <f t="shared" si="7"/>
        <v>0</v>
      </c>
    </row>
    <row r="483" spans="1:1" x14ac:dyDescent="0.35">
      <c r="A483" s="100">
        <f t="shared" si="7"/>
        <v>0</v>
      </c>
    </row>
    <row r="484" spans="1:1" x14ac:dyDescent="0.35">
      <c r="A484" s="100">
        <f t="shared" si="7"/>
        <v>0</v>
      </c>
    </row>
    <row r="485" spans="1:1" x14ac:dyDescent="0.35">
      <c r="A485" s="100">
        <f t="shared" si="7"/>
        <v>0</v>
      </c>
    </row>
    <row r="486" spans="1:1" x14ac:dyDescent="0.35">
      <c r="A486" s="100">
        <f t="shared" si="7"/>
        <v>0</v>
      </c>
    </row>
    <row r="487" spans="1:1" x14ac:dyDescent="0.35">
      <c r="A487" s="100">
        <f t="shared" si="7"/>
        <v>0</v>
      </c>
    </row>
    <row r="488" spans="1:1" x14ac:dyDescent="0.35">
      <c r="A488" s="100">
        <f t="shared" si="7"/>
        <v>0</v>
      </c>
    </row>
    <row r="489" spans="1:1" x14ac:dyDescent="0.35">
      <c r="A489" s="100">
        <f t="shared" si="7"/>
        <v>0</v>
      </c>
    </row>
    <row r="490" spans="1:1" x14ac:dyDescent="0.35">
      <c r="A490" s="100">
        <f t="shared" si="7"/>
        <v>0</v>
      </c>
    </row>
    <row r="491" spans="1:1" x14ac:dyDescent="0.35">
      <c r="A491" s="100">
        <f t="shared" si="7"/>
        <v>0</v>
      </c>
    </row>
    <row r="492" spans="1:1" x14ac:dyDescent="0.35">
      <c r="A492" s="100">
        <f t="shared" si="7"/>
        <v>0</v>
      </c>
    </row>
    <row r="493" spans="1:1" x14ac:dyDescent="0.35">
      <c r="A493" s="100">
        <f t="shared" si="7"/>
        <v>0</v>
      </c>
    </row>
    <row r="494" spans="1:1" x14ac:dyDescent="0.35">
      <c r="A494" s="100">
        <f t="shared" si="7"/>
        <v>0</v>
      </c>
    </row>
    <row r="495" spans="1:1" x14ac:dyDescent="0.35">
      <c r="A495" s="100">
        <f t="shared" si="7"/>
        <v>0</v>
      </c>
    </row>
    <row r="496" spans="1:1" x14ac:dyDescent="0.35">
      <c r="A496" s="100">
        <f t="shared" si="7"/>
        <v>0</v>
      </c>
    </row>
    <row r="497" spans="1:1" x14ac:dyDescent="0.35">
      <c r="A497" s="100">
        <f t="shared" si="7"/>
        <v>0</v>
      </c>
    </row>
    <row r="498" spans="1:1" x14ac:dyDescent="0.35">
      <c r="A498" s="100">
        <f t="shared" si="7"/>
        <v>0</v>
      </c>
    </row>
    <row r="499" spans="1:1" x14ac:dyDescent="0.35">
      <c r="A499" s="100">
        <f t="shared" si="7"/>
        <v>0</v>
      </c>
    </row>
    <row r="500" spans="1:1" x14ac:dyDescent="0.35">
      <c r="A500" s="100">
        <f t="shared" si="7"/>
        <v>0</v>
      </c>
    </row>
    <row r="501" spans="1:1" x14ac:dyDescent="0.35">
      <c r="A501" s="100">
        <f t="shared" si="7"/>
        <v>0</v>
      </c>
    </row>
    <row r="502" spans="1:1" x14ac:dyDescent="0.35">
      <c r="A502" s="100">
        <f t="shared" si="7"/>
        <v>0</v>
      </c>
    </row>
    <row r="503" spans="1:1" x14ac:dyDescent="0.35">
      <c r="A503" s="100">
        <f t="shared" si="7"/>
        <v>0</v>
      </c>
    </row>
    <row r="504" spans="1:1" x14ac:dyDescent="0.35">
      <c r="A504" s="100">
        <f t="shared" si="7"/>
        <v>0</v>
      </c>
    </row>
    <row r="505" spans="1:1" x14ac:dyDescent="0.35">
      <c r="A505" s="100">
        <f t="shared" si="7"/>
        <v>0</v>
      </c>
    </row>
    <row r="506" spans="1:1" x14ac:dyDescent="0.35">
      <c r="A506" s="100">
        <f t="shared" si="7"/>
        <v>0</v>
      </c>
    </row>
    <row r="507" spans="1:1" x14ac:dyDescent="0.35">
      <c r="A507" s="100">
        <f t="shared" si="7"/>
        <v>0</v>
      </c>
    </row>
    <row r="508" spans="1:1" x14ac:dyDescent="0.35">
      <c r="A508" s="100">
        <f t="shared" si="7"/>
        <v>0</v>
      </c>
    </row>
    <row r="509" spans="1:1" x14ac:dyDescent="0.35">
      <c r="A509" s="100">
        <f t="shared" si="7"/>
        <v>0</v>
      </c>
    </row>
    <row r="510" spans="1:1" x14ac:dyDescent="0.35">
      <c r="A510" s="100">
        <f t="shared" si="7"/>
        <v>0</v>
      </c>
    </row>
    <row r="511" spans="1:1" x14ac:dyDescent="0.35">
      <c r="A511" s="100">
        <f t="shared" si="7"/>
        <v>0</v>
      </c>
    </row>
    <row r="512" spans="1:1" x14ac:dyDescent="0.35">
      <c r="A512" s="100">
        <f t="shared" si="7"/>
        <v>0</v>
      </c>
    </row>
    <row r="513" spans="1:1" x14ac:dyDescent="0.35">
      <c r="A513" s="100">
        <f t="shared" si="7"/>
        <v>0</v>
      </c>
    </row>
    <row r="514" spans="1:1" x14ac:dyDescent="0.35">
      <c r="A514" s="100">
        <f t="shared" si="7"/>
        <v>0</v>
      </c>
    </row>
    <row r="515" spans="1:1" x14ac:dyDescent="0.35">
      <c r="A515" s="100">
        <f t="shared" si="7"/>
        <v>0</v>
      </c>
    </row>
    <row r="516" spans="1:1" x14ac:dyDescent="0.35">
      <c r="A516" s="100">
        <f t="shared" si="7"/>
        <v>0</v>
      </c>
    </row>
    <row r="517" spans="1:1" x14ac:dyDescent="0.35">
      <c r="A517" s="100">
        <f t="shared" ref="A517:A580" si="8">IF(LEN(B517)=8,LEFT(B517,1),0)</f>
        <v>0</v>
      </c>
    </row>
    <row r="518" spans="1:1" x14ac:dyDescent="0.35">
      <c r="A518" s="100">
        <f t="shared" si="8"/>
        <v>0</v>
      </c>
    </row>
    <row r="519" spans="1:1" x14ac:dyDescent="0.35">
      <c r="A519" s="100">
        <f t="shared" si="8"/>
        <v>0</v>
      </c>
    </row>
    <row r="520" spans="1:1" x14ac:dyDescent="0.35">
      <c r="A520" s="100">
        <f t="shared" si="8"/>
        <v>0</v>
      </c>
    </row>
    <row r="521" spans="1:1" x14ac:dyDescent="0.35">
      <c r="A521" s="100">
        <f t="shared" si="8"/>
        <v>0</v>
      </c>
    </row>
    <row r="522" spans="1:1" x14ac:dyDescent="0.35">
      <c r="A522" s="100">
        <f t="shared" si="8"/>
        <v>0</v>
      </c>
    </row>
    <row r="523" spans="1:1" x14ac:dyDescent="0.35">
      <c r="A523" s="100">
        <f t="shared" si="8"/>
        <v>0</v>
      </c>
    </row>
    <row r="524" spans="1:1" x14ac:dyDescent="0.35">
      <c r="A524" s="100">
        <f t="shared" si="8"/>
        <v>0</v>
      </c>
    </row>
    <row r="525" spans="1:1" x14ac:dyDescent="0.35">
      <c r="A525" s="100">
        <f t="shared" si="8"/>
        <v>0</v>
      </c>
    </row>
    <row r="526" spans="1:1" x14ac:dyDescent="0.35">
      <c r="A526" s="100">
        <f t="shared" si="8"/>
        <v>0</v>
      </c>
    </row>
    <row r="527" spans="1:1" x14ac:dyDescent="0.35">
      <c r="A527" s="100">
        <f t="shared" si="8"/>
        <v>0</v>
      </c>
    </row>
    <row r="528" spans="1:1" x14ac:dyDescent="0.35">
      <c r="A528" s="100">
        <f t="shared" si="8"/>
        <v>0</v>
      </c>
    </row>
    <row r="529" spans="1:1" x14ac:dyDescent="0.35">
      <c r="A529" s="100">
        <f t="shared" si="8"/>
        <v>0</v>
      </c>
    </row>
    <row r="530" spans="1:1" x14ac:dyDescent="0.35">
      <c r="A530" s="100">
        <f t="shared" si="8"/>
        <v>0</v>
      </c>
    </row>
    <row r="531" spans="1:1" x14ac:dyDescent="0.35">
      <c r="A531" s="100">
        <f t="shared" si="8"/>
        <v>0</v>
      </c>
    </row>
    <row r="532" spans="1:1" x14ac:dyDescent="0.35">
      <c r="A532" s="100">
        <f t="shared" si="8"/>
        <v>0</v>
      </c>
    </row>
    <row r="533" spans="1:1" x14ac:dyDescent="0.35">
      <c r="A533" s="100">
        <f t="shared" si="8"/>
        <v>0</v>
      </c>
    </row>
    <row r="534" spans="1:1" x14ac:dyDescent="0.35">
      <c r="A534" s="100">
        <f t="shared" si="8"/>
        <v>0</v>
      </c>
    </row>
    <row r="535" spans="1:1" x14ac:dyDescent="0.35">
      <c r="A535" s="100">
        <f t="shared" si="8"/>
        <v>0</v>
      </c>
    </row>
    <row r="536" spans="1:1" x14ac:dyDescent="0.35">
      <c r="A536" s="100">
        <f t="shared" si="8"/>
        <v>0</v>
      </c>
    </row>
    <row r="537" spans="1:1" x14ac:dyDescent="0.35">
      <c r="A537" s="100">
        <f t="shared" si="8"/>
        <v>0</v>
      </c>
    </row>
    <row r="538" spans="1:1" x14ac:dyDescent="0.35">
      <c r="A538" s="100">
        <f t="shared" si="8"/>
        <v>0</v>
      </c>
    </row>
    <row r="539" spans="1:1" x14ac:dyDescent="0.35">
      <c r="A539" s="100">
        <f t="shared" si="8"/>
        <v>0</v>
      </c>
    </row>
    <row r="540" spans="1:1" x14ac:dyDescent="0.35">
      <c r="A540" s="100">
        <f t="shared" si="8"/>
        <v>0</v>
      </c>
    </row>
    <row r="541" spans="1:1" x14ac:dyDescent="0.35">
      <c r="A541" s="100">
        <f t="shared" si="8"/>
        <v>0</v>
      </c>
    </row>
    <row r="542" spans="1:1" x14ac:dyDescent="0.35">
      <c r="A542" s="100">
        <f t="shared" si="8"/>
        <v>0</v>
      </c>
    </row>
    <row r="543" spans="1:1" x14ac:dyDescent="0.35">
      <c r="A543" s="100">
        <f t="shared" si="8"/>
        <v>0</v>
      </c>
    </row>
    <row r="544" spans="1:1" x14ac:dyDescent="0.35">
      <c r="A544" s="100">
        <f t="shared" si="8"/>
        <v>0</v>
      </c>
    </row>
    <row r="545" spans="1:1" x14ac:dyDescent="0.35">
      <c r="A545" s="100">
        <f t="shared" si="8"/>
        <v>0</v>
      </c>
    </row>
    <row r="546" spans="1:1" x14ac:dyDescent="0.35">
      <c r="A546" s="100">
        <f t="shared" si="8"/>
        <v>0</v>
      </c>
    </row>
    <row r="547" spans="1:1" x14ac:dyDescent="0.35">
      <c r="A547" s="100">
        <f t="shared" si="8"/>
        <v>0</v>
      </c>
    </row>
    <row r="548" spans="1:1" x14ac:dyDescent="0.35">
      <c r="A548" s="100">
        <f t="shared" si="8"/>
        <v>0</v>
      </c>
    </row>
    <row r="549" spans="1:1" x14ac:dyDescent="0.35">
      <c r="A549" s="100">
        <f t="shared" si="8"/>
        <v>0</v>
      </c>
    </row>
    <row r="550" spans="1:1" x14ac:dyDescent="0.35">
      <c r="A550" s="100">
        <f t="shared" si="8"/>
        <v>0</v>
      </c>
    </row>
    <row r="551" spans="1:1" x14ac:dyDescent="0.35">
      <c r="A551" s="100">
        <f t="shared" si="8"/>
        <v>0</v>
      </c>
    </row>
    <row r="552" spans="1:1" x14ac:dyDescent="0.35">
      <c r="A552" s="100">
        <f t="shared" si="8"/>
        <v>0</v>
      </c>
    </row>
    <row r="553" spans="1:1" x14ac:dyDescent="0.35">
      <c r="A553" s="100">
        <f t="shared" si="8"/>
        <v>0</v>
      </c>
    </row>
    <row r="554" spans="1:1" x14ac:dyDescent="0.35">
      <c r="A554" s="100">
        <f t="shared" si="8"/>
        <v>0</v>
      </c>
    </row>
    <row r="555" spans="1:1" x14ac:dyDescent="0.35">
      <c r="A555" s="100">
        <f t="shared" si="8"/>
        <v>0</v>
      </c>
    </row>
    <row r="556" spans="1:1" x14ac:dyDescent="0.35">
      <c r="A556" s="100">
        <f t="shared" si="8"/>
        <v>0</v>
      </c>
    </row>
    <row r="557" spans="1:1" x14ac:dyDescent="0.35">
      <c r="A557" s="100">
        <f t="shared" si="8"/>
        <v>0</v>
      </c>
    </row>
    <row r="558" spans="1:1" x14ac:dyDescent="0.35">
      <c r="A558" s="100">
        <f t="shared" si="8"/>
        <v>0</v>
      </c>
    </row>
    <row r="559" spans="1:1" x14ac:dyDescent="0.35">
      <c r="A559" s="100">
        <f t="shared" si="8"/>
        <v>0</v>
      </c>
    </row>
    <row r="560" spans="1:1" x14ac:dyDescent="0.35">
      <c r="A560" s="100">
        <f t="shared" si="8"/>
        <v>0</v>
      </c>
    </row>
    <row r="561" spans="1:1" x14ac:dyDescent="0.35">
      <c r="A561" s="100">
        <f t="shared" si="8"/>
        <v>0</v>
      </c>
    </row>
    <row r="562" spans="1:1" x14ac:dyDescent="0.35">
      <c r="A562" s="100">
        <f t="shared" si="8"/>
        <v>0</v>
      </c>
    </row>
    <row r="563" spans="1:1" x14ac:dyDescent="0.35">
      <c r="A563" s="100">
        <f t="shared" si="8"/>
        <v>0</v>
      </c>
    </row>
    <row r="564" spans="1:1" x14ac:dyDescent="0.35">
      <c r="A564" s="100">
        <f t="shared" si="8"/>
        <v>0</v>
      </c>
    </row>
    <row r="565" spans="1:1" x14ac:dyDescent="0.35">
      <c r="A565" s="100">
        <f t="shared" si="8"/>
        <v>0</v>
      </c>
    </row>
    <row r="566" spans="1:1" x14ac:dyDescent="0.35">
      <c r="A566" s="100">
        <f t="shared" si="8"/>
        <v>0</v>
      </c>
    </row>
    <row r="567" spans="1:1" x14ac:dyDescent="0.35">
      <c r="A567" s="100">
        <f t="shared" si="8"/>
        <v>0</v>
      </c>
    </row>
    <row r="568" spans="1:1" x14ac:dyDescent="0.35">
      <c r="A568" s="100">
        <f t="shared" si="8"/>
        <v>0</v>
      </c>
    </row>
    <row r="569" spans="1:1" x14ac:dyDescent="0.35">
      <c r="A569" s="100">
        <f t="shared" si="8"/>
        <v>0</v>
      </c>
    </row>
    <row r="570" spans="1:1" x14ac:dyDescent="0.35">
      <c r="A570" s="100">
        <f t="shared" si="8"/>
        <v>0</v>
      </c>
    </row>
    <row r="571" spans="1:1" x14ac:dyDescent="0.35">
      <c r="A571" s="100">
        <f t="shared" si="8"/>
        <v>0</v>
      </c>
    </row>
    <row r="572" spans="1:1" x14ac:dyDescent="0.35">
      <c r="A572" s="100">
        <f t="shared" si="8"/>
        <v>0</v>
      </c>
    </row>
    <row r="573" spans="1:1" x14ac:dyDescent="0.35">
      <c r="A573" s="100">
        <f t="shared" si="8"/>
        <v>0</v>
      </c>
    </row>
    <row r="574" spans="1:1" x14ac:dyDescent="0.35">
      <c r="A574" s="100">
        <f t="shared" si="8"/>
        <v>0</v>
      </c>
    </row>
    <row r="575" spans="1:1" x14ac:dyDescent="0.35">
      <c r="A575" s="100">
        <f t="shared" si="8"/>
        <v>0</v>
      </c>
    </row>
    <row r="576" spans="1:1" x14ac:dyDescent="0.35">
      <c r="A576" s="100">
        <f t="shared" si="8"/>
        <v>0</v>
      </c>
    </row>
    <row r="577" spans="1:1" x14ac:dyDescent="0.35">
      <c r="A577" s="100">
        <f t="shared" si="8"/>
        <v>0</v>
      </c>
    </row>
    <row r="578" spans="1:1" x14ac:dyDescent="0.35">
      <c r="A578" s="100">
        <f t="shared" si="8"/>
        <v>0</v>
      </c>
    </row>
    <row r="579" spans="1:1" x14ac:dyDescent="0.35">
      <c r="A579" s="100">
        <f t="shared" si="8"/>
        <v>0</v>
      </c>
    </row>
    <row r="580" spans="1:1" x14ac:dyDescent="0.35">
      <c r="A580" s="100">
        <f t="shared" si="8"/>
        <v>0</v>
      </c>
    </row>
    <row r="581" spans="1:1" x14ac:dyDescent="0.35">
      <c r="A581" s="100">
        <f t="shared" ref="A581:A625" si="9">IF(LEN(B581)=8,LEFT(B581,1),0)</f>
        <v>0</v>
      </c>
    </row>
    <row r="582" spans="1:1" x14ac:dyDescent="0.35">
      <c r="A582" s="100">
        <f t="shared" si="9"/>
        <v>0</v>
      </c>
    </row>
    <row r="583" spans="1:1" x14ac:dyDescent="0.35">
      <c r="A583" s="100">
        <f t="shared" si="9"/>
        <v>0</v>
      </c>
    </row>
    <row r="584" spans="1:1" x14ac:dyDescent="0.35">
      <c r="A584" s="100">
        <f t="shared" si="9"/>
        <v>0</v>
      </c>
    </row>
    <row r="585" spans="1:1" x14ac:dyDescent="0.35">
      <c r="A585" s="100">
        <f t="shared" si="9"/>
        <v>0</v>
      </c>
    </row>
    <row r="586" spans="1:1" x14ac:dyDescent="0.35">
      <c r="A586" s="100">
        <f t="shared" si="9"/>
        <v>0</v>
      </c>
    </row>
    <row r="587" spans="1:1" x14ac:dyDescent="0.35">
      <c r="A587" s="100">
        <f t="shared" si="9"/>
        <v>0</v>
      </c>
    </row>
    <row r="588" spans="1:1" x14ac:dyDescent="0.35">
      <c r="A588" s="100">
        <f t="shared" si="9"/>
        <v>0</v>
      </c>
    </row>
    <row r="589" spans="1:1" x14ac:dyDescent="0.35">
      <c r="A589" s="100">
        <f t="shared" si="9"/>
        <v>0</v>
      </c>
    </row>
    <row r="590" spans="1:1" x14ac:dyDescent="0.35">
      <c r="A590" s="100">
        <f t="shared" si="9"/>
        <v>0</v>
      </c>
    </row>
    <row r="591" spans="1:1" x14ac:dyDescent="0.35">
      <c r="A591" s="100">
        <f t="shared" si="9"/>
        <v>0</v>
      </c>
    </row>
    <row r="592" spans="1:1" x14ac:dyDescent="0.35">
      <c r="A592" s="100">
        <f t="shared" si="9"/>
        <v>0</v>
      </c>
    </row>
    <row r="593" spans="1:1" x14ac:dyDescent="0.35">
      <c r="A593" s="100">
        <f t="shared" si="9"/>
        <v>0</v>
      </c>
    </row>
    <row r="594" spans="1:1" x14ac:dyDescent="0.35">
      <c r="A594" s="100">
        <f t="shared" si="9"/>
        <v>0</v>
      </c>
    </row>
    <row r="595" spans="1:1" x14ac:dyDescent="0.35">
      <c r="A595" s="100">
        <f t="shared" si="9"/>
        <v>0</v>
      </c>
    </row>
    <row r="596" spans="1:1" x14ac:dyDescent="0.35">
      <c r="A596" s="100">
        <f t="shared" si="9"/>
        <v>0</v>
      </c>
    </row>
    <row r="597" spans="1:1" x14ac:dyDescent="0.35">
      <c r="A597" s="100">
        <f t="shared" si="9"/>
        <v>0</v>
      </c>
    </row>
    <row r="598" spans="1:1" x14ac:dyDescent="0.35">
      <c r="A598" s="100">
        <f t="shared" si="9"/>
        <v>0</v>
      </c>
    </row>
    <row r="599" spans="1:1" x14ac:dyDescent="0.35">
      <c r="A599" s="100">
        <f t="shared" si="9"/>
        <v>0</v>
      </c>
    </row>
    <row r="600" spans="1:1" x14ac:dyDescent="0.35">
      <c r="A600" s="100">
        <f t="shared" si="9"/>
        <v>0</v>
      </c>
    </row>
    <row r="601" spans="1:1" x14ac:dyDescent="0.35">
      <c r="A601" s="100">
        <f t="shared" si="9"/>
        <v>0</v>
      </c>
    </row>
    <row r="602" spans="1:1" x14ac:dyDescent="0.35">
      <c r="A602" s="100">
        <f t="shared" si="9"/>
        <v>0</v>
      </c>
    </row>
    <row r="603" spans="1:1" x14ac:dyDescent="0.35">
      <c r="A603" s="100">
        <f t="shared" si="9"/>
        <v>0</v>
      </c>
    </row>
    <row r="604" spans="1:1" x14ac:dyDescent="0.35">
      <c r="A604" s="100">
        <f t="shared" si="9"/>
        <v>0</v>
      </c>
    </row>
    <row r="605" spans="1:1" x14ac:dyDescent="0.35">
      <c r="A605" s="100">
        <f t="shared" si="9"/>
        <v>0</v>
      </c>
    </row>
    <row r="606" spans="1:1" x14ac:dyDescent="0.35">
      <c r="A606" s="100">
        <f t="shared" si="9"/>
        <v>0</v>
      </c>
    </row>
    <row r="607" spans="1:1" x14ac:dyDescent="0.35">
      <c r="A607" s="100">
        <f t="shared" si="9"/>
        <v>0</v>
      </c>
    </row>
    <row r="608" spans="1:1" x14ac:dyDescent="0.35">
      <c r="A608" s="100">
        <f t="shared" si="9"/>
        <v>0</v>
      </c>
    </row>
    <row r="609" spans="1:1" x14ac:dyDescent="0.35">
      <c r="A609" s="100">
        <f t="shared" si="9"/>
        <v>0</v>
      </c>
    </row>
    <row r="610" spans="1:1" x14ac:dyDescent="0.35">
      <c r="A610" s="100">
        <f t="shared" si="9"/>
        <v>0</v>
      </c>
    </row>
    <row r="611" spans="1:1" x14ac:dyDescent="0.35">
      <c r="A611" s="100">
        <f t="shared" si="9"/>
        <v>0</v>
      </c>
    </row>
    <row r="612" spans="1:1" x14ac:dyDescent="0.35">
      <c r="A612" s="100">
        <f t="shared" si="9"/>
        <v>0</v>
      </c>
    </row>
    <row r="613" spans="1:1" x14ac:dyDescent="0.35">
      <c r="A613" s="100">
        <f t="shared" si="9"/>
        <v>0</v>
      </c>
    </row>
    <row r="614" spans="1:1" x14ac:dyDescent="0.35">
      <c r="A614" s="100">
        <f t="shared" si="9"/>
        <v>0</v>
      </c>
    </row>
    <row r="615" spans="1:1" x14ac:dyDescent="0.35">
      <c r="A615" s="100">
        <f t="shared" si="9"/>
        <v>0</v>
      </c>
    </row>
    <row r="616" spans="1:1" x14ac:dyDescent="0.35">
      <c r="A616" s="100">
        <f t="shared" si="9"/>
        <v>0</v>
      </c>
    </row>
    <row r="617" spans="1:1" x14ac:dyDescent="0.35">
      <c r="A617" s="100">
        <f t="shared" si="9"/>
        <v>0</v>
      </c>
    </row>
    <row r="618" spans="1:1" x14ac:dyDescent="0.35">
      <c r="A618" s="100">
        <f t="shared" si="9"/>
        <v>0</v>
      </c>
    </row>
    <row r="619" spans="1:1" x14ac:dyDescent="0.35">
      <c r="A619" s="100">
        <f t="shared" si="9"/>
        <v>0</v>
      </c>
    </row>
    <row r="620" spans="1:1" x14ac:dyDescent="0.35">
      <c r="A620" s="100">
        <f t="shared" si="9"/>
        <v>0</v>
      </c>
    </row>
    <row r="621" spans="1:1" x14ac:dyDescent="0.35">
      <c r="A621" s="100">
        <f t="shared" si="9"/>
        <v>0</v>
      </c>
    </row>
    <row r="622" spans="1:1" x14ac:dyDescent="0.35">
      <c r="A622" s="100">
        <f t="shared" si="9"/>
        <v>0</v>
      </c>
    </row>
    <row r="623" spans="1:1" x14ac:dyDescent="0.35">
      <c r="A623" s="100">
        <f t="shared" si="9"/>
        <v>0</v>
      </c>
    </row>
    <row r="624" spans="1:1" x14ac:dyDescent="0.35">
      <c r="A624" s="100">
        <f t="shared" si="9"/>
        <v>0</v>
      </c>
    </row>
    <row r="625" spans="1:1" x14ac:dyDescent="0.35">
      <c r="A625" s="100">
        <f t="shared" si="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7701-91B4-427D-A594-FFADA38DB11F}">
  <dimension ref="A1:H625"/>
  <sheetViews>
    <sheetView showGridLines="0" workbookViewId="0">
      <selection activeCell="B11" sqref="B11"/>
    </sheetView>
  </sheetViews>
  <sheetFormatPr defaultRowHeight="14.5" x14ac:dyDescent="0.35"/>
  <cols>
    <col min="1" max="1" width="1.90625" style="100" bestFit="1" customWidth="1"/>
    <col min="2" max="2" width="31.81640625" bestFit="1" customWidth="1"/>
    <col min="3" max="3" width="21.7265625" bestFit="1" customWidth="1"/>
    <col min="4" max="4" width="13.90625" bestFit="1" customWidth="1"/>
    <col min="5" max="6" width="12.1796875" bestFit="1" customWidth="1"/>
    <col min="7" max="7" width="12.6328125" bestFit="1" customWidth="1"/>
    <col min="8" max="8" width="13.90625" bestFit="1" customWidth="1"/>
  </cols>
  <sheetData>
    <row r="1" spans="1:8" x14ac:dyDescent="0.35">
      <c r="B1" s="96" t="s">
        <v>85</v>
      </c>
      <c r="C1" s="96"/>
      <c r="D1" s="96"/>
      <c r="E1" s="96"/>
      <c r="F1" s="96"/>
      <c r="G1" s="96"/>
      <c r="H1" s="96"/>
    </row>
    <row r="2" spans="1:8" x14ac:dyDescent="0.35">
      <c r="B2" s="6"/>
      <c r="C2" s="6" t="s">
        <v>87</v>
      </c>
      <c r="D2" s="7" t="s">
        <v>305</v>
      </c>
      <c r="E2" s="7" t="s">
        <v>305</v>
      </c>
      <c r="F2" s="7" t="s">
        <v>305</v>
      </c>
      <c r="G2" s="7" t="s">
        <v>305</v>
      </c>
      <c r="H2" s="7" t="s">
        <v>305</v>
      </c>
    </row>
    <row r="3" spans="1:8" x14ac:dyDescent="0.35">
      <c r="B3" s="6" t="s">
        <v>0</v>
      </c>
      <c r="C3" s="6" t="s">
        <v>86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</row>
    <row r="4" spans="1:8" x14ac:dyDescent="0.35">
      <c r="A4" s="101">
        <f>IF(LEN(B4)=8,LEFT(B4,1),0)</f>
        <v>0</v>
      </c>
      <c r="B4" s="8" t="s">
        <v>320</v>
      </c>
      <c r="C4" s="9" t="s">
        <v>306</v>
      </c>
      <c r="D4" s="41">
        <v>0</v>
      </c>
      <c r="E4" s="39">
        <v>750863.5</v>
      </c>
      <c r="F4" s="39">
        <v>750863.5</v>
      </c>
      <c r="G4" s="41">
        <v>0</v>
      </c>
      <c r="H4" s="42">
        <v>0</v>
      </c>
    </row>
    <row r="5" spans="1:8" x14ac:dyDescent="0.35">
      <c r="A5" s="101">
        <f t="shared" ref="A5:A67" si="0">IF(LEN(B5)=8,LEFT(B5,1),0)</f>
        <v>0</v>
      </c>
      <c r="B5" s="10" t="s">
        <v>321</v>
      </c>
      <c r="C5" s="11" t="s">
        <v>101</v>
      </c>
      <c r="D5" s="39">
        <v>2803993.95</v>
      </c>
      <c r="E5" s="39">
        <v>575790.38</v>
      </c>
      <c r="F5" s="39">
        <v>557209.35</v>
      </c>
      <c r="G5" s="39">
        <v>18581.03</v>
      </c>
      <c r="H5" s="40">
        <v>2822574.98</v>
      </c>
    </row>
    <row r="6" spans="1:8" x14ac:dyDescent="0.35">
      <c r="A6" s="101">
        <f t="shared" si="0"/>
        <v>0</v>
      </c>
      <c r="B6" s="12" t="s">
        <v>322</v>
      </c>
      <c r="C6" s="13" t="s">
        <v>103</v>
      </c>
      <c r="D6" s="39">
        <v>2459549.4900000002</v>
      </c>
      <c r="E6" s="39">
        <v>575261.69999999995</v>
      </c>
      <c r="F6" s="39">
        <v>545569.56000000006</v>
      </c>
      <c r="G6" s="39">
        <v>29692.14</v>
      </c>
      <c r="H6" s="40">
        <v>2489241.63</v>
      </c>
    </row>
    <row r="7" spans="1:8" x14ac:dyDescent="0.35">
      <c r="A7" s="101">
        <f t="shared" si="0"/>
        <v>0</v>
      </c>
      <c r="B7" s="14" t="s">
        <v>323</v>
      </c>
      <c r="C7" s="15" t="s">
        <v>105</v>
      </c>
      <c r="D7" s="39">
        <v>110572.37</v>
      </c>
      <c r="E7" s="39">
        <v>493181.4</v>
      </c>
      <c r="F7" s="39">
        <v>484229.02</v>
      </c>
      <c r="G7" s="39">
        <v>8952.3799999999992</v>
      </c>
      <c r="H7" s="40">
        <v>119524.75</v>
      </c>
    </row>
    <row r="8" spans="1:8" x14ac:dyDescent="0.35">
      <c r="A8" s="100" t="str">
        <f t="shared" si="0"/>
        <v>G</v>
      </c>
      <c r="B8" s="16" t="s">
        <v>324</v>
      </c>
      <c r="C8" s="15" t="s">
        <v>107</v>
      </c>
      <c r="D8" s="39">
        <v>110572.37</v>
      </c>
      <c r="E8" s="39">
        <v>493181.4</v>
      </c>
      <c r="F8" s="39">
        <v>484229.02</v>
      </c>
      <c r="G8" s="39">
        <v>8952.3799999999992</v>
      </c>
      <c r="H8" s="40">
        <v>119524.75</v>
      </c>
    </row>
    <row r="9" spans="1:8" x14ac:dyDescent="0.35">
      <c r="A9" s="101">
        <f t="shared" si="0"/>
        <v>0</v>
      </c>
      <c r="B9" s="17" t="s">
        <v>325</v>
      </c>
      <c r="C9" s="15" t="s">
        <v>107</v>
      </c>
      <c r="D9" s="39">
        <v>110572.37</v>
      </c>
      <c r="E9" s="39">
        <v>493181.4</v>
      </c>
      <c r="F9" s="39">
        <v>484229.02</v>
      </c>
      <c r="G9" s="39">
        <v>8952.3799999999992</v>
      </c>
      <c r="H9" s="40">
        <v>119524.75</v>
      </c>
    </row>
    <row r="10" spans="1:8" x14ac:dyDescent="0.35">
      <c r="A10" s="100" t="str">
        <f t="shared" si="0"/>
        <v>1</v>
      </c>
      <c r="B10" s="37">
        <v>11131050</v>
      </c>
      <c r="C10" s="15" t="s">
        <v>1</v>
      </c>
      <c r="D10" s="39">
        <v>12296.21</v>
      </c>
      <c r="E10" s="39">
        <v>91639.79</v>
      </c>
      <c r="F10" s="39">
        <v>46807.81</v>
      </c>
      <c r="G10" s="39">
        <v>44831.98</v>
      </c>
      <c r="H10" s="40">
        <v>57128.19</v>
      </c>
    </row>
    <row r="11" spans="1:8" x14ac:dyDescent="0.35">
      <c r="A11" s="100" t="str">
        <f t="shared" si="0"/>
        <v>1</v>
      </c>
      <c r="B11" s="37">
        <v>11131090</v>
      </c>
      <c r="C11" s="15" t="s">
        <v>64</v>
      </c>
      <c r="D11" s="39">
        <v>98531.02</v>
      </c>
      <c r="E11" s="39">
        <v>44506.3</v>
      </c>
      <c r="F11" s="39">
        <v>80231.89</v>
      </c>
      <c r="G11" s="39">
        <v>-35725.589999999997</v>
      </c>
      <c r="H11" s="40">
        <v>62805.43</v>
      </c>
    </row>
    <row r="12" spans="1:8" x14ac:dyDescent="0.35">
      <c r="A12" s="100" t="str">
        <f t="shared" si="0"/>
        <v>1</v>
      </c>
      <c r="B12" s="37">
        <v>11131091</v>
      </c>
      <c r="C12" s="15" t="s">
        <v>64</v>
      </c>
      <c r="D12" s="41">
        <v>0</v>
      </c>
      <c r="E12" s="39">
        <v>1</v>
      </c>
      <c r="F12" s="41">
        <v>0</v>
      </c>
      <c r="G12" s="39">
        <v>1</v>
      </c>
      <c r="H12" s="40">
        <v>1</v>
      </c>
    </row>
    <row r="13" spans="1:8" x14ac:dyDescent="0.35">
      <c r="A13" s="100" t="str">
        <f t="shared" si="0"/>
        <v>1</v>
      </c>
      <c r="B13" s="37">
        <v>11132050</v>
      </c>
      <c r="C13" s="15" t="s">
        <v>1</v>
      </c>
      <c r="D13" s="41">
        <v>0</v>
      </c>
      <c r="E13" s="39">
        <v>91639.79</v>
      </c>
      <c r="F13" s="39">
        <v>91639.79</v>
      </c>
      <c r="G13" s="41">
        <v>0</v>
      </c>
      <c r="H13" s="42">
        <v>0</v>
      </c>
    </row>
    <row r="14" spans="1:8" x14ac:dyDescent="0.35">
      <c r="A14" s="100" t="str">
        <f t="shared" si="0"/>
        <v>1</v>
      </c>
      <c r="B14" s="37">
        <v>11132090</v>
      </c>
      <c r="C14" s="15" t="s">
        <v>64</v>
      </c>
      <c r="D14" s="39">
        <v>-255.86</v>
      </c>
      <c r="E14" s="39">
        <v>91966.9</v>
      </c>
      <c r="F14" s="39">
        <v>92120.91</v>
      </c>
      <c r="G14" s="39">
        <v>-154.01</v>
      </c>
      <c r="H14" s="40">
        <v>-409.87</v>
      </c>
    </row>
    <row r="15" spans="1:8" x14ac:dyDescent="0.35">
      <c r="A15" s="100" t="str">
        <f t="shared" si="0"/>
        <v>1</v>
      </c>
      <c r="B15" s="37">
        <v>11132091</v>
      </c>
      <c r="C15" s="15" t="s">
        <v>64</v>
      </c>
      <c r="D15" s="41">
        <v>0</v>
      </c>
      <c r="E15" s="39">
        <v>1</v>
      </c>
      <c r="F15" s="39">
        <v>1</v>
      </c>
      <c r="G15" s="41">
        <v>0</v>
      </c>
      <c r="H15" s="42">
        <v>0</v>
      </c>
    </row>
    <row r="16" spans="1:8" x14ac:dyDescent="0.35">
      <c r="A16" s="100" t="str">
        <f t="shared" si="0"/>
        <v>1</v>
      </c>
      <c r="B16" s="37">
        <v>11133050</v>
      </c>
      <c r="C16" s="15" t="s">
        <v>2</v>
      </c>
      <c r="D16" s="39">
        <v>1</v>
      </c>
      <c r="E16" s="39">
        <v>93426.62</v>
      </c>
      <c r="F16" s="39">
        <v>93427.62</v>
      </c>
      <c r="G16" s="39">
        <v>-1</v>
      </c>
      <c r="H16" s="42">
        <v>0</v>
      </c>
    </row>
    <row r="17" spans="1:8" x14ac:dyDescent="0.35">
      <c r="A17" s="101" t="str">
        <f t="shared" si="0"/>
        <v>1</v>
      </c>
      <c r="B17" s="37">
        <v>11133090</v>
      </c>
      <c r="C17" s="15" t="s">
        <v>64</v>
      </c>
      <c r="D17" s="41">
        <v>0</v>
      </c>
      <c r="E17" s="39">
        <v>80000</v>
      </c>
      <c r="F17" s="39">
        <v>80000</v>
      </c>
      <c r="G17" s="41">
        <v>0</v>
      </c>
      <c r="H17" s="42">
        <v>0</v>
      </c>
    </row>
    <row r="18" spans="1:8" x14ac:dyDescent="0.35">
      <c r="A18" s="100">
        <f>IF(LEN(B18)=8,LEFT(B18,1),0)</f>
        <v>0</v>
      </c>
      <c r="B18" s="14" t="s">
        <v>326</v>
      </c>
      <c r="C18" s="15" t="s">
        <v>110</v>
      </c>
      <c r="D18" s="39">
        <v>608330.43000000005</v>
      </c>
      <c r="E18" s="39">
        <v>6578.34</v>
      </c>
      <c r="F18" s="41">
        <v>0</v>
      </c>
      <c r="G18" s="39">
        <v>6578.34</v>
      </c>
      <c r="H18" s="40">
        <v>614908.77</v>
      </c>
    </row>
    <row r="19" spans="1:8" x14ac:dyDescent="0.35">
      <c r="A19" s="101" t="str">
        <f t="shared" si="0"/>
        <v>G</v>
      </c>
      <c r="B19" s="16" t="s">
        <v>327</v>
      </c>
      <c r="C19" s="15" t="s">
        <v>112</v>
      </c>
      <c r="D19" s="39">
        <v>608330.43000000005</v>
      </c>
      <c r="E19" s="39">
        <v>6578.34</v>
      </c>
      <c r="F19" s="41">
        <v>0</v>
      </c>
      <c r="G19" s="39">
        <v>6578.34</v>
      </c>
      <c r="H19" s="40">
        <v>614908.77</v>
      </c>
    </row>
    <row r="20" spans="1:8" x14ac:dyDescent="0.35">
      <c r="A20" s="101">
        <f t="shared" si="0"/>
        <v>0</v>
      </c>
      <c r="B20" s="17" t="s">
        <v>328</v>
      </c>
      <c r="C20" s="15" t="s">
        <v>114</v>
      </c>
      <c r="D20" s="39">
        <v>608330.43000000005</v>
      </c>
      <c r="E20" s="39">
        <v>6578.34</v>
      </c>
      <c r="F20" s="41">
        <v>0</v>
      </c>
      <c r="G20" s="39">
        <v>6578.34</v>
      </c>
      <c r="H20" s="40">
        <v>614908.77</v>
      </c>
    </row>
    <row r="21" spans="1:8" x14ac:dyDescent="0.35">
      <c r="A21" s="101">
        <f t="shared" si="0"/>
        <v>0</v>
      </c>
      <c r="B21" s="37" t="s">
        <v>329</v>
      </c>
      <c r="C21" s="15" t="s">
        <v>116</v>
      </c>
      <c r="D21" s="39">
        <v>608330.43000000005</v>
      </c>
      <c r="E21" s="39">
        <v>6578.34</v>
      </c>
      <c r="F21" s="41">
        <v>0</v>
      </c>
      <c r="G21" s="39">
        <v>6578.34</v>
      </c>
      <c r="H21" s="40">
        <v>614908.77</v>
      </c>
    </row>
    <row r="22" spans="1:8" x14ac:dyDescent="0.35">
      <c r="A22" s="101">
        <f t="shared" si="0"/>
        <v>0</v>
      </c>
      <c r="B22" s="105" t="s">
        <v>330</v>
      </c>
      <c r="C22" s="15" t="s">
        <v>118</v>
      </c>
      <c r="D22" s="39">
        <v>608330.43000000005</v>
      </c>
      <c r="E22" s="39">
        <v>6578.34</v>
      </c>
      <c r="F22" s="41">
        <v>0</v>
      </c>
      <c r="G22" s="39">
        <v>6578.34</v>
      </c>
      <c r="H22" s="40">
        <v>614908.77</v>
      </c>
    </row>
    <row r="23" spans="1:8" x14ac:dyDescent="0.35">
      <c r="A23" s="100" t="str">
        <f t="shared" si="0"/>
        <v>1</v>
      </c>
      <c r="B23" s="106">
        <v>11240001</v>
      </c>
      <c r="C23" s="15" t="s">
        <v>3</v>
      </c>
      <c r="D23" s="39">
        <v>608330.43000000005</v>
      </c>
      <c r="E23" s="39">
        <v>6578.34</v>
      </c>
      <c r="F23" s="41">
        <v>0</v>
      </c>
      <c r="G23" s="39">
        <v>6578.34</v>
      </c>
      <c r="H23" s="40">
        <v>614908.77</v>
      </c>
    </row>
    <row r="24" spans="1:8" x14ac:dyDescent="0.35">
      <c r="A24" s="101">
        <f t="shared" si="0"/>
        <v>0</v>
      </c>
      <c r="B24" s="14" t="s">
        <v>331</v>
      </c>
      <c r="C24" s="15" t="s">
        <v>120</v>
      </c>
      <c r="D24" s="39">
        <v>25093.5</v>
      </c>
      <c r="E24" s="39">
        <v>61659.73</v>
      </c>
      <c r="F24" s="39">
        <v>53634.73</v>
      </c>
      <c r="G24" s="39">
        <v>8025</v>
      </c>
      <c r="H24" s="40">
        <v>33118.5</v>
      </c>
    </row>
    <row r="25" spans="1:8" x14ac:dyDescent="0.35">
      <c r="A25" s="100" t="str">
        <f t="shared" si="0"/>
        <v>G</v>
      </c>
      <c r="B25" s="16" t="s">
        <v>332</v>
      </c>
      <c r="C25" s="15" t="s">
        <v>307</v>
      </c>
      <c r="D25" s="39">
        <v>25093.5</v>
      </c>
      <c r="E25" s="39">
        <v>61409.73</v>
      </c>
      <c r="F25" s="39">
        <v>53384.73</v>
      </c>
      <c r="G25" s="39">
        <v>8025</v>
      </c>
      <c r="H25" s="40">
        <v>33118.5</v>
      </c>
    </row>
    <row r="26" spans="1:8" x14ac:dyDescent="0.35">
      <c r="A26" s="101">
        <f t="shared" si="0"/>
        <v>0</v>
      </c>
      <c r="B26" s="17" t="s">
        <v>333</v>
      </c>
      <c r="C26" s="15" t="s">
        <v>304</v>
      </c>
      <c r="D26" s="39">
        <v>25093.5</v>
      </c>
      <c r="E26" s="39">
        <v>61409.73</v>
      </c>
      <c r="F26" s="39">
        <v>53384.73</v>
      </c>
      <c r="G26" s="39">
        <v>8025</v>
      </c>
      <c r="H26" s="40">
        <v>33118.5</v>
      </c>
    </row>
    <row r="27" spans="1:8" x14ac:dyDescent="0.35">
      <c r="A27" s="101">
        <f t="shared" si="0"/>
        <v>0</v>
      </c>
      <c r="B27" s="37" t="s">
        <v>334</v>
      </c>
      <c r="C27" s="15" t="s">
        <v>308</v>
      </c>
      <c r="D27" s="39">
        <v>25093.5</v>
      </c>
      <c r="E27" s="39">
        <v>61409.73</v>
      </c>
      <c r="F27" s="39">
        <v>53384.73</v>
      </c>
      <c r="G27" s="39">
        <v>8025</v>
      </c>
      <c r="H27" s="40">
        <v>33118.5</v>
      </c>
    </row>
    <row r="28" spans="1:8" x14ac:dyDescent="0.35">
      <c r="A28" s="101" t="str">
        <f t="shared" si="0"/>
        <v>1</v>
      </c>
      <c r="B28" s="105">
        <v>11311011</v>
      </c>
      <c r="C28" s="15" t="s">
        <v>4</v>
      </c>
      <c r="D28" s="41">
        <v>0</v>
      </c>
      <c r="E28" s="39">
        <v>2559.73</v>
      </c>
      <c r="F28" s="39">
        <v>2559.73</v>
      </c>
      <c r="G28" s="41">
        <v>0</v>
      </c>
      <c r="H28" s="42">
        <v>0</v>
      </c>
    </row>
    <row r="29" spans="1:8" x14ac:dyDescent="0.35">
      <c r="A29" s="100" t="str">
        <f t="shared" si="0"/>
        <v>1</v>
      </c>
      <c r="B29" s="105">
        <v>11311094</v>
      </c>
      <c r="C29" s="15" t="s">
        <v>65</v>
      </c>
      <c r="D29" s="39">
        <v>25093.5</v>
      </c>
      <c r="E29" s="39">
        <v>58850</v>
      </c>
      <c r="F29" s="39">
        <v>50825</v>
      </c>
      <c r="G29" s="39">
        <v>8025</v>
      </c>
      <c r="H29" s="40">
        <v>33118.5</v>
      </c>
    </row>
    <row r="30" spans="1:8" x14ac:dyDescent="0.35">
      <c r="A30" s="101" t="str">
        <f t="shared" si="0"/>
        <v>G</v>
      </c>
      <c r="B30" s="16" t="s">
        <v>335</v>
      </c>
      <c r="C30" s="15" t="s">
        <v>122</v>
      </c>
      <c r="D30" s="41">
        <v>0</v>
      </c>
      <c r="E30" s="39">
        <v>250</v>
      </c>
      <c r="F30" s="39">
        <v>250</v>
      </c>
      <c r="G30" s="41">
        <v>0</v>
      </c>
      <c r="H30" s="42">
        <v>0</v>
      </c>
    </row>
    <row r="31" spans="1:8" x14ac:dyDescent="0.35">
      <c r="A31" s="101">
        <f t="shared" si="0"/>
        <v>0</v>
      </c>
      <c r="B31" s="17" t="s">
        <v>336</v>
      </c>
      <c r="C31" s="15" t="s">
        <v>124</v>
      </c>
      <c r="D31" s="41">
        <v>0</v>
      </c>
      <c r="E31" s="39">
        <v>250</v>
      </c>
      <c r="F31" s="39">
        <v>250</v>
      </c>
      <c r="G31" s="41">
        <v>0</v>
      </c>
      <c r="H31" s="42">
        <v>0</v>
      </c>
    </row>
    <row r="32" spans="1:8" x14ac:dyDescent="0.35">
      <c r="A32" s="100" t="str">
        <f t="shared" si="0"/>
        <v>1</v>
      </c>
      <c r="B32" s="37">
        <v>11391004</v>
      </c>
      <c r="C32" s="15" t="s">
        <v>83</v>
      </c>
      <c r="D32" s="41">
        <v>0</v>
      </c>
      <c r="E32" s="39">
        <v>250</v>
      </c>
      <c r="F32" s="39">
        <v>250</v>
      </c>
      <c r="G32" s="41">
        <v>0</v>
      </c>
      <c r="H32" s="42">
        <v>0</v>
      </c>
    </row>
    <row r="33" spans="1:8" x14ac:dyDescent="0.35">
      <c r="A33" s="101">
        <f t="shared" si="0"/>
        <v>0</v>
      </c>
      <c r="B33" s="14" t="s">
        <v>337</v>
      </c>
      <c r="C33" s="15" t="s">
        <v>126</v>
      </c>
      <c r="D33" s="39">
        <v>1715553.19</v>
      </c>
      <c r="E33" s="39">
        <v>13842.23</v>
      </c>
      <c r="F33" s="39">
        <v>7705.81</v>
      </c>
      <c r="G33" s="39">
        <v>6136.42</v>
      </c>
      <c r="H33" s="40">
        <v>1721689.61</v>
      </c>
    </row>
    <row r="34" spans="1:8" x14ac:dyDescent="0.35">
      <c r="A34" s="100" t="str">
        <f t="shared" si="0"/>
        <v>G</v>
      </c>
      <c r="B34" s="16" t="s">
        <v>338</v>
      </c>
      <c r="C34" s="15" t="s">
        <v>128</v>
      </c>
      <c r="D34" s="39">
        <v>155842.81</v>
      </c>
      <c r="E34" s="39">
        <v>2559.73</v>
      </c>
      <c r="F34" s="41">
        <v>0</v>
      </c>
      <c r="G34" s="39">
        <v>2559.73</v>
      </c>
      <c r="H34" s="40">
        <v>158402.54</v>
      </c>
    </row>
    <row r="35" spans="1:8" x14ac:dyDescent="0.35">
      <c r="A35" s="101">
        <f t="shared" si="0"/>
        <v>0</v>
      </c>
      <c r="B35" s="17" t="s">
        <v>339</v>
      </c>
      <c r="C35" s="15" t="s">
        <v>130</v>
      </c>
      <c r="D35" s="39">
        <v>155842.81</v>
      </c>
      <c r="E35" s="39">
        <v>2559.73</v>
      </c>
      <c r="F35" s="41">
        <v>0</v>
      </c>
      <c r="G35" s="39">
        <v>2559.73</v>
      </c>
      <c r="H35" s="40">
        <v>158402.54</v>
      </c>
    </row>
    <row r="36" spans="1:8" x14ac:dyDescent="0.35">
      <c r="A36" s="100" t="str">
        <f t="shared" si="0"/>
        <v>1</v>
      </c>
      <c r="B36" s="37">
        <v>11610099</v>
      </c>
      <c r="C36" s="15" t="s">
        <v>6</v>
      </c>
      <c r="D36" s="39">
        <v>155842.81</v>
      </c>
      <c r="E36" s="39">
        <v>2559.73</v>
      </c>
      <c r="F36" s="41">
        <v>0</v>
      </c>
      <c r="G36" s="39">
        <v>2559.73</v>
      </c>
      <c r="H36" s="40">
        <v>158402.54</v>
      </c>
    </row>
    <row r="37" spans="1:8" x14ac:dyDescent="0.35">
      <c r="A37" s="101" t="str">
        <f t="shared" si="0"/>
        <v>G</v>
      </c>
      <c r="B37" s="16" t="s">
        <v>340</v>
      </c>
      <c r="C37" s="15" t="s">
        <v>132</v>
      </c>
      <c r="D37" s="39">
        <v>1559710.38</v>
      </c>
      <c r="E37" s="39">
        <v>11282.5</v>
      </c>
      <c r="F37" s="39">
        <v>7705.81</v>
      </c>
      <c r="G37" s="39">
        <v>3576.69</v>
      </c>
      <c r="H37" s="40">
        <v>1563287.07</v>
      </c>
    </row>
    <row r="38" spans="1:8" x14ac:dyDescent="0.35">
      <c r="A38" s="101">
        <f t="shared" si="0"/>
        <v>0</v>
      </c>
      <c r="B38" s="17" t="s">
        <v>341</v>
      </c>
      <c r="C38" s="15" t="s">
        <v>134</v>
      </c>
      <c r="D38" s="39">
        <v>548082.65</v>
      </c>
      <c r="E38" s="39">
        <v>796.12</v>
      </c>
      <c r="F38" s="41">
        <v>0</v>
      </c>
      <c r="G38" s="39">
        <v>796.12</v>
      </c>
      <c r="H38" s="40">
        <v>548878.77</v>
      </c>
    </row>
    <row r="39" spans="1:8" x14ac:dyDescent="0.35">
      <c r="A39" s="100">
        <f t="shared" si="0"/>
        <v>0</v>
      </c>
      <c r="B39" s="37" t="s">
        <v>342</v>
      </c>
      <c r="C39" s="15" t="s">
        <v>136</v>
      </c>
      <c r="D39" s="39">
        <v>548082.65</v>
      </c>
      <c r="E39" s="39">
        <v>796.12</v>
      </c>
      <c r="F39" s="41">
        <v>0</v>
      </c>
      <c r="G39" s="39">
        <v>796.12</v>
      </c>
      <c r="H39" s="40">
        <v>548878.77</v>
      </c>
    </row>
    <row r="40" spans="1:8" x14ac:dyDescent="0.35">
      <c r="A40" s="101" t="str">
        <f t="shared" si="0"/>
        <v>1</v>
      </c>
      <c r="B40" s="105">
        <v>11641001</v>
      </c>
      <c r="C40" s="15" t="s">
        <v>54</v>
      </c>
      <c r="D40" s="39">
        <v>104383.79</v>
      </c>
      <c r="E40" s="39">
        <v>796.12</v>
      </c>
      <c r="F40" s="41">
        <v>0</v>
      </c>
      <c r="G40" s="39">
        <v>796.12</v>
      </c>
      <c r="H40" s="40">
        <v>105179.91</v>
      </c>
    </row>
    <row r="41" spans="1:8" x14ac:dyDescent="0.35">
      <c r="A41" s="101" t="str">
        <f t="shared" si="0"/>
        <v>1</v>
      </c>
      <c r="B41" s="105">
        <v>11641008</v>
      </c>
      <c r="C41" s="15" t="s">
        <v>7</v>
      </c>
      <c r="D41" s="39">
        <v>443698.86</v>
      </c>
      <c r="E41" s="41">
        <v>0</v>
      </c>
      <c r="F41" s="41">
        <v>0</v>
      </c>
      <c r="G41" s="41">
        <v>0</v>
      </c>
      <c r="H41" s="40">
        <v>443698.86</v>
      </c>
    </row>
    <row r="42" spans="1:8" x14ac:dyDescent="0.35">
      <c r="A42" s="100">
        <f t="shared" si="0"/>
        <v>0</v>
      </c>
      <c r="B42" s="17" t="s">
        <v>343</v>
      </c>
      <c r="C42" s="15" t="s">
        <v>138</v>
      </c>
      <c r="D42" s="39">
        <v>830931.52</v>
      </c>
      <c r="E42" s="39">
        <v>4196.12</v>
      </c>
      <c r="F42" s="39">
        <v>33.119999999999997</v>
      </c>
      <c r="G42" s="39">
        <v>4163</v>
      </c>
      <c r="H42" s="40">
        <v>835094.52</v>
      </c>
    </row>
    <row r="43" spans="1:8" x14ac:dyDescent="0.35">
      <c r="A43" s="101">
        <f t="shared" si="0"/>
        <v>0</v>
      </c>
      <c r="B43" s="37" t="s">
        <v>344</v>
      </c>
      <c r="C43" s="15" t="s">
        <v>140</v>
      </c>
      <c r="D43" s="39">
        <v>765002.53</v>
      </c>
      <c r="E43" s="39">
        <v>3699.42</v>
      </c>
      <c r="F43" s="41">
        <v>0</v>
      </c>
      <c r="G43" s="39">
        <v>3699.42</v>
      </c>
      <c r="H43" s="40">
        <v>768701.95</v>
      </c>
    </row>
    <row r="44" spans="1:8" x14ac:dyDescent="0.35">
      <c r="A44" s="100" t="str">
        <f t="shared" si="0"/>
        <v>1</v>
      </c>
      <c r="B44" s="105">
        <v>11642001</v>
      </c>
      <c r="C44" s="15" t="s">
        <v>46</v>
      </c>
      <c r="D44" s="39">
        <v>765002.53</v>
      </c>
      <c r="E44" s="39">
        <v>3699.42</v>
      </c>
      <c r="F44" s="41">
        <v>0</v>
      </c>
      <c r="G44" s="39">
        <v>3699.42</v>
      </c>
      <c r="H44" s="40">
        <v>768701.95</v>
      </c>
    </row>
    <row r="45" spans="1:8" x14ac:dyDescent="0.35">
      <c r="A45" s="101">
        <f t="shared" si="0"/>
        <v>0</v>
      </c>
      <c r="B45" s="37" t="s">
        <v>345</v>
      </c>
      <c r="C45" s="15" t="s">
        <v>309</v>
      </c>
      <c r="D45" s="39">
        <v>65928.990000000005</v>
      </c>
      <c r="E45" s="39">
        <v>496.7</v>
      </c>
      <c r="F45" s="39">
        <v>33.119999999999997</v>
      </c>
      <c r="G45" s="39">
        <v>463.58</v>
      </c>
      <c r="H45" s="40">
        <v>66392.570000000007</v>
      </c>
    </row>
    <row r="46" spans="1:8" x14ac:dyDescent="0.35">
      <c r="A46" s="100" t="str">
        <f t="shared" si="0"/>
        <v>1</v>
      </c>
      <c r="B46" s="105">
        <v>11642005</v>
      </c>
      <c r="C46" s="15" t="s">
        <v>9</v>
      </c>
      <c r="D46" s="39">
        <v>65928.990000000005</v>
      </c>
      <c r="E46" s="39">
        <v>496.7</v>
      </c>
      <c r="F46" s="39">
        <v>33.119999999999997</v>
      </c>
      <c r="G46" s="39">
        <v>463.58</v>
      </c>
      <c r="H46" s="40">
        <v>66392.570000000007</v>
      </c>
    </row>
    <row r="47" spans="1:8" x14ac:dyDescent="0.35">
      <c r="A47" s="101">
        <f t="shared" si="0"/>
        <v>0</v>
      </c>
      <c r="B47" s="17" t="s">
        <v>346</v>
      </c>
      <c r="C47" s="15" t="s">
        <v>310</v>
      </c>
      <c r="D47" s="39">
        <v>84877.55</v>
      </c>
      <c r="E47" s="39">
        <v>5563.99</v>
      </c>
      <c r="F47" s="39">
        <v>7623.01</v>
      </c>
      <c r="G47" s="39">
        <v>-2059.02</v>
      </c>
      <c r="H47" s="40">
        <v>82818.53</v>
      </c>
    </row>
    <row r="48" spans="1:8" x14ac:dyDescent="0.35">
      <c r="A48" s="101">
        <f t="shared" si="0"/>
        <v>0</v>
      </c>
      <c r="B48" s="37" t="s">
        <v>347</v>
      </c>
      <c r="C48" s="15" t="s">
        <v>311</v>
      </c>
      <c r="D48" s="39">
        <v>69978.789999999994</v>
      </c>
      <c r="E48" s="39">
        <v>4572.0200000000004</v>
      </c>
      <c r="F48" s="39">
        <v>6263.28</v>
      </c>
      <c r="G48" s="39">
        <v>-1691.26</v>
      </c>
      <c r="H48" s="40">
        <v>68287.53</v>
      </c>
    </row>
    <row r="49" spans="1:8" x14ac:dyDescent="0.35">
      <c r="A49" s="100" t="str">
        <f t="shared" si="0"/>
        <v>1</v>
      </c>
      <c r="B49" s="105">
        <v>11644005</v>
      </c>
      <c r="C49" s="15" t="s">
        <v>11</v>
      </c>
      <c r="D49" s="39">
        <v>69978.789999999994</v>
      </c>
      <c r="E49" s="39">
        <v>4572.0200000000004</v>
      </c>
      <c r="F49" s="39">
        <v>6263.28</v>
      </c>
      <c r="G49" s="39">
        <v>-1691.26</v>
      </c>
      <c r="H49" s="40">
        <v>68287.53</v>
      </c>
    </row>
    <row r="50" spans="1:8" x14ac:dyDescent="0.35">
      <c r="A50" s="101">
        <f t="shared" si="0"/>
        <v>0</v>
      </c>
      <c r="B50" s="37" t="s">
        <v>348</v>
      </c>
      <c r="C50" s="15" t="s">
        <v>312</v>
      </c>
      <c r="D50" s="39">
        <v>14898.76</v>
      </c>
      <c r="E50" s="39">
        <v>991.97</v>
      </c>
      <c r="F50" s="39">
        <v>1359.73</v>
      </c>
      <c r="G50" s="39">
        <v>-367.76</v>
      </c>
      <c r="H50" s="40">
        <v>14531</v>
      </c>
    </row>
    <row r="51" spans="1:8" x14ac:dyDescent="0.35">
      <c r="A51" s="101" t="str">
        <f t="shared" si="0"/>
        <v>1</v>
      </c>
      <c r="B51" s="105">
        <v>11644004</v>
      </c>
      <c r="C51" s="15" t="s">
        <v>10</v>
      </c>
      <c r="D51" s="39">
        <v>14898.76</v>
      </c>
      <c r="E51" s="39">
        <v>991.97</v>
      </c>
      <c r="F51" s="39">
        <v>1359.73</v>
      </c>
      <c r="G51" s="39">
        <v>-367.76</v>
      </c>
      <c r="H51" s="40">
        <v>14531</v>
      </c>
    </row>
    <row r="52" spans="1:8" x14ac:dyDescent="0.35">
      <c r="A52" s="101">
        <f t="shared" si="0"/>
        <v>0</v>
      </c>
      <c r="B52" s="17" t="s">
        <v>349</v>
      </c>
      <c r="C52" s="15" t="s">
        <v>313</v>
      </c>
      <c r="D52" s="39">
        <v>95818.66</v>
      </c>
      <c r="E52" s="39">
        <v>726.27</v>
      </c>
      <c r="F52" s="39">
        <v>49.68</v>
      </c>
      <c r="G52" s="39">
        <v>676.59</v>
      </c>
      <c r="H52" s="40">
        <v>96495.25</v>
      </c>
    </row>
    <row r="53" spans="1:8" x14ac:dyDescent="0.35">
      <c r="A53" s="101" t="str">
        <f t="shared" si="0"/>
        <v>1</v>
      </c>
      <c r="B53" s="37">
        <v>11641009</v>
      </c>
      <c r="C53" s="15" t="s">
        <v>8</v>
      </c>
      <c r="D53" s="39">
        <v>95818.66</v>
      </c>
      <c r="E53" s="39">
        <v>726.27</v>
      </c>
      <c r="F53" s="39">
        <v>49.68</v>
      </c>
      <c r="G53" s="39">
        <v>676.59</v>
      </c>
      <c r="H53" s="40">
        <v>96495.25</v>
      </c>
    </row>
    <row r="54" spans="1:8" x14ac:dyDescent="0.35">
      <c r="A54" s="100">
        <f t="shared" si="0"/>
        <v>0</v>
      </c>
      <c r="B54" s="12" t="s">
        <v>350</v>
      </c>
      <c r="C54" s="13" t="s">
        <v>142</v>
      </c>
      <c r="D54" s="39">
        <v>344444.46</v>
      </c>
      <c r="E54" s="39">
        <v>528.67999999999995</v>
      </c>
      <c r="F54" s="39">
        <v>11639.79</v>
      </c>
      <c r="G54" s="39">
        <v>-11111.11</v>
      </c>
      <c r="H54" s="40">
        <v>333333.34999999998</v>
      </c>
    </row>
    <row r="55" spans="1:8" x14ac:dyDescent="0.35">
      <c r="A55" s="101">
        <f t="shared" si="0"/>
        <v>0</v>
      </c>
      <c r="B55" s="14" t="s">
        <v>351</v>
      </c>
      <c r="C55" s="15" t="s">
        <v>144</v>
      </c>
      <c r="D55" s="39">
        <v>344444.46</v>
      </c>
      <c r="E55" s="39">
        <v>528.67999999999995</v>
      </c>
      <c r="F55" s="39">
        <v>11639.79</v>
      </c>
      <c r="G55" s="39">
        <v>-11111.11</v>
      </c>
      <c r="H55" s="40">
        <v>333333.34999999998</v>
      </c>
    </row>
    <row r="56" spans="1:8" x14ac:dyDescent="0.35">
      <c r="A56" s="100" t="str">
        <f t="shared" si="0"/>
        <v>G</v>
      </c>
      <c r="B56" s="16" t="s">
        <v>352</v>
      </c>
      <c r="C56" s="15" t="s">
        <v>126</v>
      </c>
      <c r="D56" s="39">
        <v>344444.46</v>
      </c>
      <c r="E56" s="39">
        <v>528.67999999999995</v>
      </c>
      <c r="F56" s="39">
        <v>11639.79</v>
      </c>
      <c r="G56" s="39">
        <v>-11111.11</v>
      </c>
      <c r="H56" s="40">
        <v>333333.34999999998</v>
      </c>
    </row>
    <row r="57" spans="1:8" x14ac:dyDescent="0.35">
      <c r="A57" s="101">
        <f t="shared" si="0"/>
        <v>0</v>
      </c>
      <c r="B57" s="17" t="s">
        <v>353</v>
      </c>
      <c r="C57" s="15" t="s">
        <v>128</v>
      </c>
      <c r="D57" s="39">
        <v>344444.46</v>
      </c>
      <c r="E57" s="39">
        <v>528.67999999999995</v>
      </c>
      <c r="F57" s="39">
        <v>11639.79</v>
      </c>
      <c r="G57" s="39">
        <v>-11111.11</v>
      </c>
      <c r="H57" s="40">
        <v>333333.34999999998</v>
      </c>
    </row>
    <row r="58" spans="1:8" x14ac:dyDescent="0.35">
      <c r="A58" s="101">
        <f t="shared" si="0"/>
        <v>0</v>
      </c>
      <c r="B58" s="37" t="s">
        <v>354</v>
      </c>
      <c r="C58" s="15" t="s">
        <v>128</v>
      </c>
      <c r="D58" s="39">
        <v>344444.46</v>
      </c>
      <c r="E58" s="39">
        <v>528.67999999999995</v>
      </c>
      <c r="F58" s="39">
        <v>11639.79</v>
      </c>
      <c r="G58" s="39">
        <v>-11111.11</v>
      </c>
      <c r="H58" s="40">
        <v>333333.34999999998</v>
      </c>
    </row>
    <row r="59" spans="1:8" x14ac:dyDescent="0.35">
      <c r="A59" s="101" t="str">
        <f t="shared" si="0"/>
        <v>1</v>
      </c>
      <c r="B59" s="105">
        <v>12610001</v>
      </c>
      <c r="C59" s="15" t="s">
        <v>12</v>
      </c>
      <c r="D59" s="39">
        <v>344444.46</v>
      </c>
      <c r="E59" s="39">
        <v>528.67999999999995</v>
      </c>
      <c r="F59" s="39">
        <v>11639.79</v>
      </c>
      <c r="G59" s="39">
        <v>-11111.11</v>
      </c>
      <c r="H59" s="40">
        <v>333333.34999999998</v>
      </c>
    </row>
    <row r="60" spans="1:8" x14ac:dyDescent="0.35">
      <c r="A60" s="100">
        <f t="shared" si="0"/>
        <v>0</v>
      </c>
      <c r="B60" s="14" t="s">
        <v>355</v>
      </c>
      <c r="C60" s="15" t="s">
        <v>149</v>
      </c>
      <c r="D60" s="41">
        <v>0</v>
      </c>
      <c r="E60" s="41">
        <v>0</v>
      </c>
      <c r="F60" s="41">
        <v>0</v>
      </c>
      <c r="G60" s="41">
        <v>0</v>
      </c>
      <c r="H60" s="42">
        <v>0</v>
      </c>
    </row>
    <row r="61" spans="1:8" x14ac:dyDescent="0.35">
      <c r="A61" s="101" t="str">
        <f t="shared" si="0"/>
        <v>G</v>
      </c>
      <c r="B61" s="16" t="s">
        <v>356</v>
      </c>
      <c r="C61" s="15" t="s">
        <v>151</v>
      </c>
      <c r="D61" s="41">
        <v>0</v>
      </c>
      <c r="E61" s="41">
        <v>0</v>
      </c>
      <c r="F61" s="41">
        <v>0</v>
      </c>
      <c r="G61" s="41">
        <v>0</v>
      </c>
      <c r="H61" s="42">
        <v>0</v>
      </c>
    </row>
    <row r="62" spans="1:8" x14ac:dyDescent="0.35">
      <c r="A62" s="100">
        <f t="shared" si="0"/>
        <v>0</v>
      </c>
      <c r="B62" s="17" t="s">
        <v>357</v>
      </c>
      <c r="C62" s="15" t="s">
        <v>153</v>
      </c>
      <c r="D62" s="39">
        <v>16679.39</v>
      </c>
      <c r="E62" s="41">
        <v>0</v>
      </c>
      <c r="F62" s="41">
        <v>0</v>
      </c>
      <c r="G62" s="41">
        <v>0</v>
      </c>
      <c r="H62" s="40">
        <v>16679.39</v>
      </c>
    </row>
    <row r="63" spans="1:8" x14ac:dyDescent="0.35">
      <c r="A63" s="100">
        <f t="shared" si="0"/>
        <v>0</v>
      </c>
      <c r="B63" s="37" t="s">
        <v>358</v>
      </c>
      <c r="C63" s="15" t="s">
        <v>155</v>
      </c>
      <c r="D63" s="39">
        <v>16679.39</v>
      </c>
      <c r="E63" s="41">
        <v>0</v>
      </c>
      <c r="F63" s="41">
        <v>0</v>
      </c>
      <c r="G63" s="41">
        <v>0</v>
      </c>
      <c r="H63" s="40">
        <v>16679.39</v>
      </c>
    </row>
    <row r="64" spans="1:8" x14ac:dyDescent="0.35">
      <c r="A64" s="101" t="str">
        <f t="shared" si="0"/>
        <v>1</v>
      </c>
      <c r="B64" s="105">
        <v>14221001</v>
      </c>
      <c r="C64" s="15" t="s">
        <v>47</v>
      </c>
      <c r="D64" s="39">
        <v>16679.39</v>
      </c>
      <c r="E64" s="41">
        <v>0</v>
      </c>
      <c r="F64" s="41">
        <v>0</v>
      </c>
      <c r="G64" s="41">
        <v>0</v>
      </c>
      <c r="H64" s="40">
        <v>16679.39</v>
      </c>
    </row>
    <row r="65" spans="1:8" x14ac:dyDescent="0.35">
      <c r="A65" s="101">
        <f t="shared" si="0"/>
        <v>0</v>
      </c>
      <c r="B65" s="17" t="s">
        <v>359</v>
      </c>
      <c r="C65" s="15" t="s">
        <v>48</v>
      </c>
      <c r="D65" s="39">
        <v>6147</v>
      </c>
      <c r="E65" s="41">
        <v>0</v>
      </c>
      <c r="F65" s="41">
        <v>0</v>
      </c>
      <c r="G65" s="41">
        <v>0</v>
      </c>
      <c r="H65" s="40">
        <v>6147</v>
      </c>
    </row>
    <row r="66" spans="1:8" x14ac:dyDescent="0.35">
      <c r="A66" s="101" t="str">
        <f t="shared" si="0"/>
        <v>1</v>
      </c>
      <c r="B66" s="37">
        <v>14222001</v>
      </c>
      <c r="C66" s="15" t="s">
        <v>48</v>
      </c>
      <c r="D66" s="39">
        <v>6147</v>
      </c>
      <c r="E66" s="41">
        <v>0</v>
      </c>
      <c r="F66" s="41">
        <v>0</v>
      </c>
      <c r="G66" s="41">
        <v>0</v>
      </c>
      <c r="H66" s="40">
        <v>6147</v>
      </c>
    </row>
    <row r="67" spans="1:8" x14ac:dyDescent="0.35">
      <c r="A67" s="100">
        <f t="shared" si="0"/>
        <v>0</v>
      </c>
      <c r="B67" s="17" t="s">
        <v>360</v>
      </c>
      <c r="C67" s="15" t="s">
        <v>158</v>
      </c>
      <c r="D67" s="39">
        <v>-22826.39</v>
      </c>
      <c r="E67" s="41">
        <v>0</v>
      </c>
      <c r="F67" s="41">
        <v>0</v>
      </c>
      <c r="G67" s="41">
        <v>0</v>
      </c>
      <c r="H67" s="40">
        <v>-22826.39</v>
      </c>
    </row>
    <row r="68" spans="1:8" x14ac:dyDescent="0.35">
      <c r="A68" s="101">
        <f t="shared" ref="A68:A131" si="1">IF(LEN(B68)=8,LEFT(B68,1),0)</f>
        <v>0</v>
      </c>
      <c r="B68" s="37" t="s">
        <v>361</v>
      </c>
      <c r="C68" s="15" t="s">
        <v>158</v>
      </c>
      <c r="D68" s="39">
        <v>-22826.39</v>
      </c>
      <c r="E68" s="41">
        <v>0</v>
      </c>
      <c r="F68" s="41">
        <v>0</v>
      </c>
      <c r="G68" s="41">
        <v>0</v>
      </c>
      <c r="H68" s="40">
        <v>-22826.39</v>
      </c>
    </row>
    <row r="69" spans="1:8" x14ac:dyDescent="0.35">
      <c r="A69" s="101" t="str">
        <f t="shared" si="1"/>
        <v>1</v>
      </c>
      <c r="B69" s="105">
        <v>14229001</v>
      </c>
      <c r="C69" s="15" t="s">
        <v>49</v>
      </c>
      <c r="D69" s="39">
        <v>-16679.39</v>
      </c>
      <c r="E69" s="41">
        <v>0</v>
      </c>
      <c r="F69" s="41">
        <v>0</v>
      </c>
      <c r="G69" s="41">
        <v>0</v>
      </c>
      <c r="H69" s="40">
        <v>-16679.39</v>
      </c>
    </row>
    <row r="70" spans="1:8" x14ac:dyDescent="0.35">
      <c r="A70" s="100" t="str">
        <f t="shared" si="1"/>
        <v>1</v>
      </c>
      <c r="B70" s="105">
        <v>14229003</v>
      </c>
      <c r="C70" s="15" t="s">
        <v>50</v>
      </c>
      <c r="D70" s="39">
        <v>-6147</v>
      </c>
      <c r="E70" s="41">
        <v>0</v>
      </c>
      <c r="F70" s="41">
        <v>0</v>
      </c>
      <c r="G70" s="41">
        <v>0</v>
      </c>
      <c r="H70" s="40">
        <v>-6147</v>
      </c>
    </row>
    <row r="71" spans="1:8" x14ac:dyDescent="0.35">
      <c r="A71" s="101">
        <f t="shared" si="1"/>
        <v>0</v>
      </c>
      <c r="B71" s="10" t="s">
        <v>362</v>
      </c>
      <c r="C71" s="11" t="s">
        <v>161</v>
      </c>
      <c r="D71" s="39">
        <v>-2751683.17</v>
      </c>
      <c r="E71" s="39">
        <v>98267.23</v>
      </c>
      <c r="F71" s="39">
        <v>100215.9</v>
      </c>
      <c r="G71" s="39">
        <v>-1948.67</v>
      </c>
      <c r="H71" s="40">
        <v>-2753631.84</v>
      </c>
    </row>
    <row r="72" spans="1:8" x14ac:dyDescent="0.35">
      <c r="A72" s="100">
        <f t="shared" si="1"/>
        <v>0</v>
      </c>
      <c r="B72" s="12" t="s">
        <v>363</v>
      </c>
      <c r="C72" s="13" t="s">
        <v>103</v>
      </c>
      <c r="D72" s="39">
        <v>-138466.88</v>
      </c>
      <c r="E72" s="39">
        <v>98267.23</v>
      </c>
      <c r="F72" s="39">
        <v>100215.9</v>
      </c>
      <c r="G72" s="39">
        <v>-1948.67</v>
      </c>
      <c r="H72" s="40">
        <v>-140415.54999999999</v>
      </c>
    </row>
    <row r="73" spans="1:8" x14ac:dyDescent="0.35">
      <c r="A73" s="100">
        <f t="shared" si="1"/>
        <v>0</v>
      </c>
      <c r="B73" s="14" t="s">
        <v>364</v>
      </c>
      <c r="C73" s="15" t="s">
        <v>164</v>
      </c>
      <c r="D73" s="39">
        <v>-138466.88</v>
      </c>
      <c r="E73" s="39">
        <v>98267.23</v>
      </c>
      <c r="F73" s="39">
        <v>100215.9</v>
      </c>
      <c r="G73" s="39">
        <v>-1948.67</v>
      </c>
      <c r="H73" s="40">
        <v>-140415.54999999999</v>
      </c>
    </row>
    <row r="74" spans="1:8" x14ac:dyDescent="0.35">
      <c r="A74" s="101" t="str">
        <f t="shared" si="1"/>
        <v>G</v>
      </c>
      <c r="B74" s="16" t="s">
        <v>365</v>
      </c>
      <c r="C74" s="15" t="s">
        <v>166</v>
      </c>
      <c r="D74" s="39">
        <v>-134329.12</v>
      </c>
      <c r="E74" s="39">
        <v>82039.53</v>
      </c>
      <c r="F74" s="39">
        <v>72532.97</v>
      </c>
      <c r="G74" s="39">
        <v>9506.56</v>
      </c>
      <c r="H74" s="40">
        <v>-124822.56</v>
      </c>
    </row>
    <row r="75" spans="1:8" x14ac:dyDescent="0.35">
      <c r="A75" s="100">
        <f t="shared" si="1"/>
        <v>0</v>
      </c>
      <c r="B75" s="17" t="s">
        <v>366</v>
      </c>
      <c r="C75" s="15" t="s">
        <v>168</v>
      </c>
      <c r="D75" s="39">
        <v>-125807.89</v>
      </c>
      <c r="E75" s="39">
        <v>74541.570000000007</v>
      </c>
      <c r="F75" s="39">
        <v>65929.100000000006</v>
      </c>
      <c r="G75" s="39">
        <v>8612.4699999999993</v>
      </c>
      <c r="H75" s="40">
        <v>-117195.42</v>
      </c>
    </row>
    <row r="76" spans="1:8" x14ac:dyDescent="0.35">
      <c r="A76" s="101" t="str">
        <f t="shared" si="1"/>
        <v>2</v>
      </c>
      <c r="B76" s="37">
        <v>21111001</v>
      </c>
      <c r="C76" s="15" t="s">
        <v>13</v>
      </c>
      <c r="D76" s="39">
        <v>-125807.89</v>
      </c>
      <c r="E76" s="39">
        <v>48066.46</v>
      </c>
      <c r="F76" s="39">
        <v>39453.99</v>
      </c>
      <c r="G76" s="39">
        <v>8612.4699999999993</v>
      </c>
      <c r="H76" s="40">
        <v>-117195.42</v>
      </c>
    </row>
    <row r="77" spans="1:8" x14ac:dyDescent="0.35">
      <c r="A77" s="100" t="str">
        <f t="shared" si="1"/>
        <v>2</v>
      </c>
      <c r="B77" s="37">
        <v>21111002</v>
      </c>
      <c r="C77" s="15" t="s">
        <v>41</v>
      </c>
      <c r="D77" s="41">
        <v>0</v>
      </c>
      <c r="E77" s="39">
        <v>26475.11</v>
      </c>
      <c r="F77" s="39">
        <v>26475.11</v>
      </c>
      <c r="G77" s="41">
        <v>0</v>
      </c>
      <c r="H77" s="42">
        <v>0</v>
      </c>
    </row>
    <row r="78" spans="1:8" x14ac:dyDescent="0.35">
      <c r="A78" s="101">
        <f t="shared" si="1"/>
        <v>0</v>
      </c>
      <c r="B78" s="17" t="s">
        <v>367</v>
      </c>
      <c r="C78" s="15" t="s">
        <v>170</v>
      </c>
      <c r="D78" s="39">
        <v>-8521.23</v>
      </c>
      <c r="E78" s="39">
        <v>7497.96</v>
      </c>
      <c r="F78" s="39">
        <v>6603.87</v>
      </c>
      <c r="G78" s="39">
        <v>894.09</v>
      </c>
      <c r="H78" s="40">
        <v>-7627.14</v>
      </c>
    </row>
    <row r="79" spans="1:8" x14ac:dyDescent="0.35">
      <c r="A79" s="101">
        <f t="shared" si="1"/>
        <v>0</v>
      </c>
      <c r="B79" s="37" t="s">
        <v>368</v>
      </c>
      <c r="C79" s="15" t="s">
        <v>172</v>
      </c>
      <c r="D79" s="39">
        <v>-8521.23</v>
      </c>
      <c r="E79" s="39">
        <v>7497.96</v>
      </c>
      <c r="F79" s="39">
        <v>6603.87</v>
      </c>
      <c r="G79" s="39">
        <v>894.09</v>
      </c>
      <c r="H79" s="40">
        <v>-7627.14</v>
      </c>
    </row>
    <row r="80" spans="1:8" x14ac:dyDescent="0.35">
      <c r="A80" s="101" t="str">
        <f t="shared" si="1"/>
        <v>2</v>
      </c>
      <c r="B80" s="105">
        <v>21111099</v>
      </c>
      <c r="C80" s="15" t="s">
        <v>44</v>
      </c>
      <c r="D80" s="39">
        <v>-8521.23</v>
      </c>
      <c r="E80" s="39">
        <v>7497.96</v>
      </c>
      <c r="F80" s="39">
        <v>6603.87</v>
      </c>
      <c r="G80" s="39">
        <v>894.09</v>
      </c>
      <c r="H80" s="40">
        <v>-7627.14</v>
      </c>
    </row>
    <row r="81" spans="1:8" x14ac:dyDescent="0.35">
      <c r="A81" s="100" t="str">
        <f t="shared" si="1"/>
        <v>G</v>
      </c>
      <c r="B81" s="16" t="s">
        <v>369</v>
      </c>
      <c r="C81" s="15" t="s">
        <v>174</v>
      </c>
      <c r="D81" s="39">
        <v>332.27</v>
      </c>
      <c r="E81" s="39">
        <v>11757.67</v>
      </c>
      <c r="F81" s="39">
        <v>22145.05</v>
      </c>
      <c r="G81" s="39">
        <v>-10387.379999999999</v>
      </c>
      <c r="H81" s="40">
        <v>-10055.11</v>
      </c>
    </row>
    <row r="82" spans="1:8" x14ac:dyDescent="0.35">
      <c r="A82" s="101">
        <f t="shared" si="1"/>
        <v>0</v>
      </c>
      <c r="B82" s="17" t="s">
        <v>370</v>
      </c>
      <c r="C82" s="15" t="s">
        <v>176</v>
      </c>
      <c r="D82" s="39">
        <v>-814.21</v>
      </c>
      <c r="E82" s="39">
        <v>814.21</v>
      </c>
      <c r="F82" s="39">
        <v>275.49</v>
      </c>
      <c r="G82" s="39">
        <v>538.72</v>
      </c>
      <c r="H82" s="40">
        <v>-275.49</v>
      </c>
    </row>
    <row r="83" spans="1:8" x14ac:dyDescent="0.35">
      <c r="A83" s="100" t="str">
        <f t="shared" si="1"/>
        <v>2</v>
      </c>
      <c r="B83" s="37">
        <v>21131104</v>
      </c>
      <c r="C83" s="15" t="s">
        <v>66</v>
      </c>
      <c r="D83" s="39">
        <v>-814.21</v>
      </c>
      <c r="E83" s="39">
        <v>814.21</v>
      </c>
      <c r="F83" s="39">
        <v>275.49</v>
      </c>
      <c r="G83" s="39">
        <v>538.72</v>
      </c>
      <c r="H83" s="40">
        <v>-275.49</v>
      </c>
    </row>
    <row r="84" spans="1:8" x14ac:dyDescent="0.35">
      <c r="A84" s="100">
        <f t="shared" si="1"/>
        <v>0</v>
      </c>
      <c r="B84" s="17" t="s">
        <v>371</v>
      </c>
      <c r="C84" s="15" t="s">
        <v>178</v>
      </c>
      <c r="D84" s="39">
        <v>1146.48</v>
      </c>
      <c r="E84" s="39">
        <v>10943.46</v>
      </c>
      <c r="F84" s="39">
        <v>21869.56</v>
      </c>
      <c r="G84" s="39">
        <v>-10926.1</v>
      </c>
      <c r="H84" s="40">
        <v>-9779.6200000000008</v>
      </c>
    </row>
    <row r="85" spans="1:8" x14ac:dyDescent="0.35">
      <c r="A85" s="100" t="str">
        <f t="shared" si="1"/>
        <v>2</v>
      </c>
      <c r="B85" s="37">
        <v>21131601</v>
      </c>
      <c r="C85" s="15" t="s">
        <v>14</v>
      </c>
      <c r="D85" s="39">
        <v>3556.37</v>
      </c>
      <c r="E85" s="39">
        <v>6163.92</v>
      </c>
      <c r="F85" s="39">
        <v>14574.85</v>
      </c>
      <c r="G85" s="39">
        <v>-8410.93</v>
      </c>
      <c r="H85" s="40">
        <v>-4854.5600000000004</v>
      </c>
    </row>
    <row r="86" spans="1:8" x14ac:dyDescent="0.35">
      <c r="A86" s="101" t="str">
        <f t="shared" si="1"/>
        <v>2</v>
      </c>
      <c r="B86" s="37">
        <v>21131602</v>
      </c>
      <c r="C86" s="15" t="s">
        <v>15</v>
      </c>
      <c r="D86" s="39">
        <v>736.26</v>
      </c>
      <c r="E86" s="39">
        <v>1338.2</v>
      </c>
      <c r="F86" s="39">
        <v>3103.07</v>
      </c>
      <c r="G86" s="39">
        <v>-1764.87</v>
      </c>
      <c r="H86" s="40">
        <v>-1028.6099999999999</v>
      </c>
    </row>
    <row r="87" spans="1:8" x14ac:dyDescent="0.35">
      <c r="A87" s="100" t="str">
        <f t="shared" si="1"/>
        <v>2</v>
      </c>
      <c r="B87" s="37">
        <v>21131701</v>
      </c>
      <c r="C87" s="15" t="s">
        <v>67</v>
      </c>
      <c r="D87" s="39">
        <v>-1533.57</v>
      </c>
      <c r="E87" s="39">
        <v>1533.57</v>
      </c>
      <c r="F87" s="39">
        <v>1353.15</v>
      </c>
      <c r="G87" s="39">
        <v>180.42</v>
      </c>
      <c r="H87" s="40">
        <v>-1353.15</v>
      </c>
    </row>
    <row r="88" spans="1:8" x14ac:dyDescent="0.35">
      <c r="A88" s="101" t="str">
        <f t="shared" si="1"/>
        <v>2</v>
      </c>
      <c r="B88" s="37">
        <v>21133102</v>
      </c>
      <c r="C88" s="15" t="s">
        <v>16</v>
      </c>
      <c r="D88" s="39">
        <v>-1612.58</v>
      </c>
      <c r="E88" s="39">
        <v>1907.77</v>
      </c>
      <c r="F88" s="39">
        <v>2838.49</v>
      </c>
      <c r="G88" s="39">
        <v>-930.72</v>
      </c>
      <c r="H88" s="40">
        <v>-2543.3000000000002</v>
      </c>
    </row>
    <row r="89" spans="1:8" x14ac:dyDescent="0.35">
      <c r="A89" s="101" t="str">
        <f t="shared" si="1"/>
        <v>G</v>
      </c>
      <c r="B89" s="16" t="s">
        <v>372</v>
      </c>
      <c r="C89" s="15" t="s">
        <v>180</v>
      </c>
      <c r="D89" s="39">
        <v>-4470.03</v>
      </c>
      <c r="E89" s="39">
        <v>4470.03</v>
      </c>
      <c r="F89" s="39">
        <v>5537.88</v>
      </c>
      <c r="G89" s="39">
        <v>-1067.8499999999999</v>
      </c>
      <c r="H89" s="40">
        <v>-5537.88</v>
      </c>
    </row>
    <row r="90" spans="1:8" x14ac:dyDescent="0.35">
      <c r="A90" s="100">
        <f t="shared" si="1"/>
        <v>0</v>
      </c>
      <c r="B90" s="17" t="s">
        <v>373</v>
      </c>
      <c r="C90" s="15" t="s">
        <v>182</v>
      </c>
      <c r="D90" s="39">
        <v>-2227.96</v>
      </c>
      <c r="E90" s="39">
        <v>2227.96</v>
      </c>
      <c r="F90" s="39">
        <v>3542.56</v>
      </c>
      <c r="G90" s="39">
        <v>-1314.6</v>
      </c>
      <c r="H90" s="40">
        <v>-3542.56</v>
      </c>
    </row>
    <row r="91" spans="1:8" x14ac:dyDescent="0.35">
      <c r="A91" s="100">
        <f t="shared" si="1"/>
        <v>0</v>
      </c>
      <c r="B91" s="37" t="s">
        <v>374</v>
      </c>
      <c r="C91" s="15" t="s">
        <v>182</v>
      </c>
      <c r="D91" s="39">
        <v>-11541.96</v>
      </c>
      <c r="E91" s="41">
        <v>0</v>
      </c>
      <c r="F91" s="39">
        <v>3542.56</v>
      </c>
      <c r="G91" s="39">
        <v>-3542.56</v>
      </c>
      <c r="H91" s="40">
        <v>-15084.52</v>
      </c>
    </row>
    <row r="92" spans="1:8" x14ac:dyDescent="0.35">
      <c r="A92" s="101" t="str">
        <f t="shared" si="1"/>
        <v>2</v>
      </c>
      <c r="B92" s="105">
        <v>21131101</v>
      </c>
      <c r="C92" s="15" t="s">
        <v>37</v>
      </c>
      <c r="D92" s="39">
        <v>-11541.96</v>
      </c>
      <c r="E92" s="41">
        <v>0</v>
      </c>
      <c r="F92" s="39">
        <v>3542.56</v>
      </c>
      <c r="G92" s="39">
        <v>-3542.56</v>
      </c>
      <c r="H92" s="40">
        <v>-15084.52</v>
      </c>
    </row>
    <row r="93" spans="1:8" x14ac:dyDescent="0.35">
      <c r="A93" s="100">
        <f t="shared" si="1"/>
        <v>0</v>
      </c>
      <c r="B93" s="37" t="s">
        <v>375</v>
      </c>
      <c r="C93" s="15" t="s">
        <v>185</v>
      </c>
      <c r="D93" s="39">
        <v>9314</v>
      </c>
      <c r="E93" s="39">
        <v>2227.96</v>
      </c>
      <c r="F93" s="41">
        <v>0</v>
      </c>
      <c r="G93" s="39">
        <v>2227.96</v>
      </c>
      <c r="H93" s="40">
        <v>11541.96</v>
      </c>
    </row>
    <row r="94" spans="1:8" x14ac:dyDescent="0.35">
      <c r="A94" s="101" t="str">
        <f t="shared" si="1"/>
        <v>2</v>
      </c>
      <c r="B94" s="105">
        <v>21131102</v>
      </c>
      <c r="C94" s="15" t="s">
        <v>58</v>
      </c>
      <c r="D94" s="39">
        <v>9314</v>
      </c>
      <c r="E94" s="39">
        <v>2227.96</v>
      </c>
      <c r="F94" s="41">
        <v>0</v>
      </c>
      <c r="G94" s="39">
        <v>2227.96</v>
      </c>
      <c r="H94" s="40">
        <v>11541.96</v>
      </c>
    </row>
    <row r="95" spans="1:8" x14ac:dyDescent="0.35">
      <c r="A95" s="100">
        <f t="shared" si="1"/>
        <v>0</v>
      </c>
      <c r="B95" s="17" t="s">
        <v>376</v>
      </c>
      <c r="C95" s="15" t="s">
        <v>140</v>
      </c>
      <c r="D95" s="39">
        <v>-2242.0700000000002</v>
      </c>
      <c r="E95" s="39">
        <v>2242.0700000000002</v>
      </c>
      <c r="F95" s="39">
        <v>1995.32</v>
      </c>
      <c r="G95" s="39">
        <v>246.75</v>
      </c>
      <c r="H95" s="40">
        <v>-1995.32</v>
      </c>
    </row>
    <row r="96" spans="1:8" x14ac:dyDescent="0.35">
      <c r="A96" s="100">
        <f t="shared" si="1"/>
        <v>0</v>
      </c>
      <c r="B96" s="37" t="s">
        <v>377</v>
      </c>
      <c r="C96" s="15" t="s">
        <v>140</v>
      </c>
      <c r="D96" s="39">
        <v>-6315.11</v>
      </c>
      <c r="E96" s="41">
        <v>0</v>
      </c>
      <c r="F96" s="39">
        <v>1995.32</v>
      </c>
      <c r="G96" s="39">
        <v>-1995.32</v>
      </c>
      <c r="H96" s="40">
        <v>-8310.43</v>
      </c>
    </row>
    <row r="97" spans="1:8" x14ac:dyDescent="0.35">
      <c r="A97" s="101" t="str">
        <f>IF(LEN(B97)=8,LEFT(B97,1),0)</f>
        <v>2</v>
      </c>
      <c r="B97" s="105">
        <v>21131201</v>
      </c>
      <c r="C97" s="15" t="s">
        <v>38</v>
      </c>
      <c r="D97" s="39">
        <v>-6315.11</v>
      </c>
      <c r="E97" s="41">
        <v>0</v>
      </c>
      <c r="F97" s="39">
        <v>1995.32</v>
      </c>
      <c r="G97" s="39">
        <v>-1995.32</v>
      </c>
      <c r="H97" s="40">
        <v>-8310.43</v>
      </c>
    </row>
    <row r="98" spans="1:8" x14ac:dyDescent="0.35">
      <c r="A98" s="100">
        <f t="shared" si="1"/>
        <v>0</v>
      </c>
      <c r="B98" s="37" t="s">
        <v>378</v>
      </c>
      <c r="C98" s="15" t="s">
        <v>189</v>
      </c>
      <c r="D98" s="39">
        <v>4073.04</v>
      </c>
      <c r="E98" s="39">
        <v>2242.0700000000002</v>
      </c>
      <c r="F98" s="41">
        <v>0</v>
      </c>
      <c r="G98" s="39">
        <v>2242.0700000000002</v>
      </c>
      <c r="H98" s="40">
        <v>6315.11</v>
      </c>
    </row>
    <row r="99" spans="1:8" x14ac:dyDescent="0.35">
      <c r="A99" s="101" t="str">
        <f t="shared" si="1"/>
        <v>2</v>
      </c>
      <c r="B99" s="105">
        <v>21131202</v>
      </c>
      <c r="C99" s="15" t="s">
        <v>59</v>
      </c>
      <c r="D99" s="39">
        <v>4073.04</v>
      </c>
      <c r="E99" s="39">
        <v>2242.0700000000002</v>
      </c>
      <c r="F99" s="41">
        <v>0</v>
      </c>
      <c r="G99" s="39">
        <v>2242.0700000000002</v>
      </c>
      <c r="H99" s="40">
        <v>6315.11</v>
      </c>
    </row>
    <row r="100" spans="1:8" x14ac:dyDescent="0.35">
      <c r="A100" s="100">
        <f t="shared" si="1"/>
        <v>0</v>
      </c>
      <c r="B100" s="12" t="s">
        <v>379</v>
      </c>
      <c r="C100" s="13" t="s">
        <v>191</v>
      </c>
      <c r="D100" s="39">
        <v>-2613216.29</v>
      </c>
      <c r="E100" s="41">
        <v>0</v>
      </c>
      <c r="F100" s="41">
        <v>0</v>
      </c>
      <c r="G100" s="41">
        <v>0</v>
      </c>
      <c r="H100" s="40">
        <v>-2613216.29</v>
      </c>
    </row>
    <row r="101" spans="1:8" x14ac:dyDescent="0.35">
      <c r="A101" s="101">
        <f t="shared" si="1"/>
        <v>0</v>
      </c>
      <c r="B101" s="14" t="s">
        <v>380</v>
      </c>
      <c r="C101" s="15" t="s">
        <v>193</v>
      </c>
      <c r="D101" s="39">
        <v>-2613216.29</v>
      </c>
      <c r="E101" s="41">
        <v>0</v>
      </c>
      <c r="F101" s="41">
        <v>0</v>
      </c>
      <c r="G101" s="41">
        <v>0</v>
      </c>
      <c r="H101" s="40">
        <v>-2613216.29</v>
      </c>
    </row>
    <row r="102" spans="1:8" x14ac:dyDescent="0.35">
      <c r="A102" s="100" t="str">
        <f t="shared" si="1"/>
        <v>G</v>
      </c>
      <c r="B102" s="16" t="s">
        <v>381</v>
      </c>
      <c r="C102" s="15" t="s">
        <v>195</v>
      </c>
      <c r="D102" s="39">
        <v>-1707264</v>
      </c>
      <c r="E102" s="41">
        <v>0</v>
      </c>
      <c r="F102" s="41">
        <v>0</v>
      </c>
      <c r="G102" s="41">
        <v>0</v>
      </c>
      <c r="H102" s="40">
        <v>-1707264</v>
      </c>
    </row>
    <row r="103" spans="1:8" x14ac:dyDescent="0.35">
      <c r="A103" s="101">
        <f t="shared" si="1"/>
        <v>0</v>
      </c>
      <c r="B103" s="17" t="s">
        <v>382</v>
      </c>
      <c r="C103" s="15" t="s">
        <v>197</v>
      </c>
      <c r="D103" s="39">
        <v>-1707264</v>
      </c>
      <c r="E103" s="41">
        <v>0</v>
      </c>
      <c r="F103" s="41">
        <v>0</v>
      </c>
      <c r="G103" s="41">
        <v>0</v>
      </c>
      <c r="H103" s="40">
        <v>-1707264</v>
      </c>
    </row>
    <row r="104" spans="1:8" x14ac:dyDescent="0.35">
      <c r="A104" s="100">
        <f t="shared" si="1"/>
        <v>0</v>
      </c>
      <c r="B104" s="37" t="s">
        <v>383</v>
      </c>
      <c r="C104" s="15" t="s">
        <v>51</v>
      </c>
      <c r="D104" s="39">
        <v>-1707264</v>
      </c>
      <c r="E104" s="41">
        <v>0</v>
      </c>
      <c r="F104" s="41">
        <v>0</v>
      </c>
      <c r="G104" s="41">
        <v>0</v>
      </c>
      <c r="H104" s="40">
        <v>-1707264</v>
      </c>
    </row>
    <row r="105" spans="1:8" x14ac:dyDescent="0.35">
      <c r="A105" s="101" t="str">
        <f t="shared" si="1"/>
        <v>2</v>
      </c>
      <c r="B105" s="105">
        <v>24111001</v>
      </c>
      <c r="C105" s="15" t="s">
        <v>51</v>
      </c>
      <c r="D105" s="39">
        <v>-1707264</v>
      </c>
      <c r="E105" s="41">
        <v>0</v>
      </c>
      <c r="F105" s="41">
        <v>0</v>
      </c>
      <c r="G105" s="41">
        <v>0</v>
      </c>
      <c r="H105" s="40">
        <v>-1707264</v>
      </c>
    </row>
    <row r="106" spans="1:8" x14ac:dyDescent="0.35">
      <c r="A106" s="100" t="str">
        <f t="shared" si="1"/>
        <v>G</v>
      </c>
      <c r="B106" s="16" t="s">
        <v>384</v>
      </c>
      <c r="C106" s="15" t="s">
        <v>200</v>
      </c>
      <c r="D106" s="39">
        <v>-905952.29</v>
      </c>
      <c r="E106" s="41">
        <v>0</v>
      </c>
      <c r="F106" s="41">
        <v>0</v>
      </c>
      <c r="G106" s="41">
        <v>0</v>
      </c>
      <c r="H106" s="40">
        <v>-905952.29</v>
      </c>
    </row>
    <row r="107" spans="1:8" x14ac:dyDescent="0.35">
      <c r="A107" s="101">
        <f t="shared" si="1"/>
        <v>0</v>
      </c>
      <c r="B107" s="17" t="s">
        <v>385</v>
      </c>
      <c r="C107" s="15" t="s">
        <v>202</v>
      </c>
      <c r="D107" s="39">
        <v>-905952.29</v>
      </c>
      <c r="E107" s="41">
        <v>0</v>
      </c>
      <c r="F107" s="41">
        <v>0</v>
      </c>
      <c r="G107" s="41">
        <v>0</v>
      </c>
      <c r="H107" s="40">
        <v>-905952.29</v>
      </c>
    </row>
    <row r="108" spans="1:8" x14ac:dyDescent="0.35">
      <c r="A108" s="101" t="str">
        <f t="shared" si="1"/>
        <v>2</v>
      </c>
      <c r="B108" s="37">
        <v>24180004</v>
      </c>
      <c r="C108" s="15" t="s">
        <v>17</v>
      </c>
      <c r="D108" s="39">
        <v>-905952.29</v>
      </c>
      <c r="E108" s="41">
        <v>0</v>
      </c>
      <c r="F108" s="41">
        <v>0</v>
      </c>
      <c r="G108" s="41">
        <v>0</v>
      </c>
      <c r="H108" s="40">
        <v>-905952.29</v>
      </c>
    </row>
    <row r="109" spans="1:8" x14ac:dyDescent="0.35">
      <c r="A109" s="101">
        <f t="shared" si="1"/>
        <v>0</v>
      </c>
      <c r="B109" s="10" t="s">
        <v>386</v>
      </c>
      <c r="C109" s="11" t="s">
        <v>204</v>
      </c>
      <c r="D109" s="39">
        <v>-52310.78</v>
      </c>
      <c r="E109" s="39">
        <v>76805.89</v>
      </c>
      <c r="F109" s="39">
        <v>93438.25</v>
      </c>
      <c r="G109" s="39">
        <v>-16632.36</v>
      </c>
      <c r="H109" s="40">
        <v>-68943.14</v>
      </c>
    </row>
    <row r="110" spans="1:8" x14ac:dyDescent="0.35">
      <c r="A110" s="101">
        <f t="shared" si="1"/>
        <v>0</v>
      </c>
      <c r="B110" s="12" t="s">
        <v>387</v>
      </c>
      <c r="C110" s="13" t="s">
        <v>206</v>
      </c>
      <c r="D110" s="39">
        <v>-77395.14</v>
      </c>
      <c r="E110" s="39">
        <v>29607.48</v>
      </c>
      <c r="F110" s="39">
        <v>65595.69</v>
      </c>
      <c r="G110" s="39">
        <v>-35988.21</v>
      </c>
      <c r="H110" s="40">
        <v>-113383.35</v>
      </c>
    </row>
    <row r="111" spans="1:8" x14ac:dyDescent="0.35">
      <c r="A111" s="100">
        <f t="shared" si="1"/>
        <v>0</v>
      </c>
      <c r="B111" s="14" t="s">
        <v>388</v>
      </c>
      <c r="C111" s="15" t="s">
        <v>314</v>
      </c>
      <c r="D111" s="39">
        <v>14516.91</v>
      </c>
      <c r="E111" s="39">
        <v>13038.98</v>
      </c>
      <c r="F111" s="39">
        <v>7497.96</v>
      </c>
      <c r="G111" s="39">
        <v>5541.02</v>
      </c>
      <c r="H111" s="40">
        <v>20057.93</v>
      </c>
    </row>
    <row r="112" spans="1:8" x14ac:dyDescent="0.35">
      <c r="A112" s="101" t="str">
        <f t="shared" si="1"/>
        <v>G</v>
      </c>
      <c r="B112" s="16" t="s">
        <v>389</v>
      </c>
      <c r="C112" s="15" t="s">
        <v>315</v>
      </c>
      <c r="D112" s="39">
        <v>14516.91</v>
      </c>
      <c r="E112" s="39">
        <v>13038.98</v>
      </c>
      <c r="F112" s="39">
        <v>7497.96</v>
      </c>
      <c r="G112" s="39">
        <v>5541.02</v>
      </c>
      <c r="H112" s="40">
        <v>20057.93</v>
      </c>
    </row>
    <row r="113" spans="1:8" x14ac:dyDescent="0.35">
      <c r="A113" s="101">
        <f t="shared" si="1"/>
        <v>0</v>
      </c>
      <c r="B113" s="17" t="s">
        <v>390</v>
      </c>
      <c r="C113" s="15" t="s">
        <v>315</v>
      </c>
      <c r="D113" s="39">
        <v>14516.91</v>
      </c>
      <c r="E113" s="39">
        <v>13038.98</v>
      </c>
      <c r="F113" s="39">
        <v>7497.96</v>
      </c>
      <c r="G113" s="39">
        <v>5541.02</v>
      </c>
      <c r="H113" s="40">
        <v>20057.93</v>
      </c>
    </row>
    <row r="114" spans="1:8" x14ac:dyDescent="0.35">
      <c r="A114" s="100">
        <f t="shared" si="1"/>
        <v>0</v>
      </c>
      <c r="B114" s="37" t="s">
        <v>391</v>
      </c>
      <c r="C114" s="15" t="s">
        <v>304</v>
      </c>
      <c r="D114" s="39">
        <v>14516.91</v>
      </c>
      <c r="E114" s="39">
        <v>13038.98</v>
      </c>
      <c r="F114" s="39">
        <v>7497.96</v>
      </c>
      <c r="G114" s="39">
        <v>5541.02</v>
      </c>
      <c r="H114" s="40">
        <v>20057.93</v>
      </c>
    </row>
    <row r="115" spans="1:8" x14ac:dyDescent="0.35">
      <c r="A115" s="101" t="str">
        <f t="shared" si="1"/>
        <v>4</v>
      </c>
      <c r="B115" s="105">
        <v>44189012</v>
      </c>
      <c r="C115" s="15" t="s">
        <v>224</v>
      </c>
      <c r="D115" s="39">
        <v>8614.7099999999991</v>
      </c>
      <c r="E115" s="39">
        <v>6435.11</v>
      </c>
      <c r="F115" s="41">
        <v>0</v>
      </c>
      <c r="G115" s="39">
        <v>6435.11</v>
      </c>
      <c r="H115" s="40">
        <v>15049.82</v>
      </c>
    </row>
    <row r="116" spans="1:8" x14ac:dyDescent="0.35">
      <c r="A116" s="100" t="str">
        <f t="shared" si="1"/>
        <v>4</v>
      </c>
      <c r="B116" s="105">
        <v>44189013</v>
      </c>
      <c r="C116" s="15" t="s">
        <v>70</v>
      </c>
      <c r="D116" s="39">
        <v>5902.2</v>
      </c>
      <c r="E116" s="39">
        <v>6603.87</v>
      </c>
      <c r="F116" s="39">
        <v>7497.96</v>
      </c>
      <c r="G116" s="39">
        <v>-894.09</v>
      </c>
      <c r="H116" s="40">
        <v>5008.1099999999997</v>
      </c>
    </row>
    <row r="117" spans="1:8" x14ac:dyDescent="0.35">
      <c r="A117" s="101">
        <f t="shared" si="1"/>
        <v>0</v>
      </c>
      <c r="B117" s="14" t="s">
        <v>392</v>
      </c>
      <c r="C117" s="15" t="s">
        <v>208</v>
      </c>
      <c r="D117" s="39">
        <v>-91912.05</v>
      </c>
      <c r="E117" s="39">
        <v>16568.5</v>
      </c>
      <c r="F117" s="39">
        <v>58097.73</v>
      </c>
      <c r="G117" s="39">
        <v>-41529.230000000003</v>
      </c>
      <c r="H117" s="40">
        <v>-133441.28</v>
      </c>
    </row>
    <row r="118" spans="1:8" x14ac:dyDescent="0.35">
      <c r="A118" s="101" t="str">
        <f t="shared" si="1"/>
        <v>G</v>
      </c>
      <c r="B118" s="16" t="s">
        <v>393</v>
      </c>
      <c r="C118" s="15" t="s">
        <v>210</v>
      </c>
      <c r="D118" s="39">
        <v>-127752.05</v>
      </c>
      <c r="E118" s="39">
        <v>328.5</v>
      </c>
      <c r="F118" s="39">
        <v>58097.73</v>
      </c>
      <c r="G118" s="39">
        <v>-57769.23</v>
      </c>
      <c r="H118" s="40">
        <v>-185521.28</v>
      </c>
    </row>
    <row r="119" spans="1:8" x14ac:dyDescent="0.35">
      <c r="A119" s="101">
        <f t="shared" si="1"/>
        <v>0</v>
      </c>
      <c r="B119" s="17" t="s">
        <v>394</v>
      </c>
      <c r="C119" s="15" t="s">
        <v>212</v>
      </c>
      <c r="D119" s="39">
        <v>-127752.05</v>
      </c>
      <c r="E119" s="39">
        <v>328.5</v>
      </c>
      <c r="F119" s="39">
        <v>58097.73</v>
      </c>
      <c r="G119" s="39">
        <v>-57769.23</v>
      </c>
      <c r="H119" s="40">
        <v>-185521.28</v>
      </c>
    </row>
    <row r="120" spans="1:8" x14ac:dyDescent="0.35">
      <c r="A120" s="100">
        <f t="shared" si="1"/>
        <v>0</v>
      </c>
      <c r="B120" s="37" t="s">
        <v>395</v>
      </c>
      <c r="C120" s="15" t="s">
        <v>214</v>
      </c>
      <c r="D120" s="39">
        <v>-127752.05</v>
      </c>
      <c r="E120" s="39">
        <v>328.5</v>
      </c>
      <c r="F120" s="39">
        <v>58097.73</v>
      </c>
      <c r="G120" s="39">
        <v>-57769.23</v>
      </c>
      <c r="H120" s="40">
        <v>-185521.28</v>
      </c>
    </row>
    <row r="121" spans="1:8" x14ac:dyDescent="0.35">
      <c r="A121" s="101">
        <f t="shared" si="1"/>
        <v>0</v>
      </c>
      <c r="B121" s="105" t="s">
        <v>396</v>
      </c>
      <c r="C121" s="15" t="s">
        <v>216</v>
      </c>
      <c r="D121" s="39">
        <v>-127752.05</v>
      </c>
      <c r="E121" s="39">
        <v>328.5</v>
      </c>
      <c r="F121" s="39">
        <v>58097.73</v>
      </c>
      <c r="G121" s="39">
        <v>-57769.23</v>
      </c>
      <c r="H121" s="40">
        <v>-185521.28</v>
      </c>
    </row>
    <row r="122" spans="1:8" x14ac:dyDescent="0.35">
      <c r="A122" s="101" t="str">
        <f t="shared" si="1"/>
        <v>3</v>
      </c>
      <c r="B122" s="106">
        <v>35199995</v>
      </c>
      <c r="C122" s="15" t="s">
        <v>68</v>
      </c>
      <c r="D122" s="39">
        <v>-111249.5</v>
      </c>
      <c r="E122" s="39">
        <v>328.5</v>
      </c>
      <c r="F122" s="39">
        <v>55538</v>
      </c>
      <c r="G122" s="39">
        <v>-55209.5</v>
      </c>
      <c r="H122" s="40">
        <v>-166459</v>
      </c>
    </row>
    <row r="123" spans="1:8" x14ac:dyDescent="0.35">
      <c r="A123" s="101" t="str">
        <f t="shared" si="1"/>
        <v>3</v>
      </c>
      <c r="B123" s="106">
        <v>35199998</v>
      </c>
      <c r="C123" s="15" t="s">
        <v>18</v>
      </c>
      <c r="D123" s="39">
        <v>-16502.55</v>
      </c>
      <c r="E123" s="41">
        <v>0</v>
      </c>
      <c r="F123" s="39">
        <v>2559.73</v>
      </c>
      <c r="G123" s="39">
        <v>-2559.73</v>
      </c>
      <c r="H123" s="40">
        <v>-19062.28</v>
      </c>
    </row>
    <row r="124" spans="1:8" x14ac:dyDescent="0.35">
      <c r="A124" s="100" t="str">
        <f t="shared" si="1"/>
        <v>G</v>
      </c>
      <c r="B124" s="16" t="s">
        <v>397</v>
      </c>
      <c r="C124" s="15" t="s">
        <v>218</v>
      </c>
      <c r="D124" s="39">
        <v>35840</v>
      </c>
      <c r="E124" s="39">
        <v>16240</v>
      </c>
      <c r="F124" s="41">
        <v>0</v>
      </c>
      <c r="G124" s="39">
        <v>16240</v>
      </c>
      <c r="H124" s="40">
        <v>52080</v>
      </c>
    </row>
    <row r="125" spans="1:8" x14ac:dyDescent="0.35">
      <c r="A125" s="101">
        <f t="shared" si="1"/>
        <v>0</v>
      </c>
      <c r="B125" s="17" t="s">
        <v>398</v>
      </c>
      <c r="C125" s="15" t="s">
        <v>220</v>
      </c>
      <c r="D125" s="39">
        <v>35840</v>
      </c>
      <c r="E125" s="39">
        <v>16240</v>
      </c>
      <c r="F125" s="41">
        <v>0</v>
      </c>
      <c r="G125" s="39">
        <v>16240</v>
      </c>
      <c r="H125" s="40">
        <v>52080</v>
      </c>
    </row>
    <row r="126" spans="1:8" x14ac:dyDescent="0.35">
      <c r="A126" s="101">
        <f t="shared" si="1"/>
        <v>0</v>
      </c>
      <c r="B126" s="37" t="s">
        <v>399</v>
      </c>
      <c r="C126" s="15" t="s">
        <v>222</v>
      </c>
      <c r="D126" s="39">
        <v>35840</v>
      </c>
      <c r="E126" s="39">
        <v>16240</v>
      </c>
      <c r="F126" s="41">
        <v>0</v>
      </c>
      <c r="G126" s="39">
        <v>16240</v>
      </c>
      <c r="H126" s="40">
        <v>52080</v>
      </c>
    </row>
    <row r="127" spans="1:8" x14ac:dyDescent="0.35">
      <c r="A127" s="100">
        <f t="shared" si="1"/>
        <v>0</v>
      </c>
      <c r="B127" s="105" t="s">
        <v>400</v>
      </c>
      <c r="C127" s="15" t="s">
        <v>216</v>
      </c>
      <c r="D127" s="39">
        <v>35840</v>
      </c>
      <c r="E127" s="39">
        <v>16240</v>
      </c>
      <c r="F127" s="41">
        <v>0</v>
      </c>
      <c r="G127" s="39">
        <v>16240</v>
      </c>
      <c r="H127" s="40">
        <v>52080</v>
      </c>
    </row>
    <row r="128" spans="1:8" x14ac:dyDescent="0.35">
      <c r="A128" s="101" t="str">
        <f t="shared" si="1"/>
        <v>4</v>
      </c>
      <c r="B128" s="106">
        <v>44189011</v>
      </c>
      <c r="C128" s="15" t="s">
        <v>94</v>
      </c>
      <c r="D128" s="39">
        <v>35840</v>
      </c>
      <c r="E128" s="39">
        <v>16240</v>
      </c>
      <c r="F128" s="41">
        <v>0</v>
      </c>
      <c r="G128" s="39">
        <v>16240</v>
      </c>
      <c r="H128" s="40">
        <v>52080</v>
      </c>
    </row>
    <row r="129" spans="1:8" x14ac:dyDescent="0.35">
      <c r="A129" s="100">
        <f t="shared" si="1"/>
        <v>0</v>
      </c>
      <c r="B129" s="12" t="s">
        <v>401</v>
      </c>
      <c r="C129" s="13" t="s">
        <v>226</v>
      </c>
      <c r="D129" s="39">
        <v>24277.68</v>
      </c>
      <c r="E129" s="39">
        <v>41660.53</v>
      </c>
      <c r="F129" s="39">
        <v>16240</v>
      </c>
      <c r="G129" s="39">
        <v>25420.53</v>
      </c>
      <c r="H129" s="40">
        <v>49698.21</v>
      </c>
    </row>
    <row r="130" spans="1:8" x14ac:dyDescent="0.35">
      <c r="A130" s="100">
        <f t="shared" si="1"/>
        <v>0</v>
      </c>
      <c r="B130" s="14" t="s">
        <v>402</v>
      </c>
      <c r="C130" s="15" t="s">
        <v>228</v>
      </c>
      <c r="D130" s="39">
        <v>10000</v>
      </c>
      <c r="E130" s="39">
        <v>20040</v>
      </c>
      <c r="F130" s="39">
        <v>16240</v>
      </c>
      <c r="G130" s="39">
        <v>3800</v>
      </c>
      <c r="H130" s="40">
        <v>13800</v>
      </c>
    </row>
    <row r="131" spans="1:8" x14ac:dyDescent="0.35">
      <c r="A131" s="101" t="str">
        <f t="shared" si="1"/>
        <v>G</v>
      </c>
      <c r="B131" s="16" t="s">
        <v>403</v>
      </c>
      <c r="C131" s="15" t="s">
        <v>228</v>
      </c>
      <c r="D131" s="39">
        <v>10000</v>
      </c>
      <c r="E131" s="39">
        <v>20040</v>
      </c>
      <c r="F131" s="39">
        <v>16240</v>
      </c>
      <c r="G131" s="39">
        <v>3800</v>
      </c>
      <c r="H131" s="40">
        <v>13800</v>
      </c>
    </row>
    <row r="132" spans="1:8" x14ac:dyDescent="0.35">
      <c r="A132" s="101">
        <f t="shared" ref="A132:A195" si="2">IF(LEN(B132)=8,LEFT(B132,1),0)</f>
        <v>0</v>
      </c>
      <c r="B132" s="17" t="s">
        <v>404</v>
      </c>
      <c r="C132" s="15" t="s">
        <v>231</v>
      </c>
      <c r="D132" s="39">
        <v>10000</v>
      </c>
      <c r="E132" s="39">
        <v>20040</v>
      </c>
      <c r="F132" s="39">
        <v>16240</v>
      </c>
      <c r="G132" s="39">
        <v>3800</v>
      </c>
      <c r="H132" s="40">
        <v>13800</v>
      </c>
    </row>
    <row r="133" spans="1:8" x14ac:dyDescent="0.35">
      <c r="A133" s="100">
        <f t="shared" si="2"/>
        <v>0</v>
      </c>
      <c r="B133" s="37" t="s">
        <v>405</v>
      </c>
      <c r="C133" s="15" t="s">
        <v>220</v>
      </c>
      <c r="D133" s="39">
        <v>10000</v>
      </c>
      <c r="E133" s="39">
        <v>20040</v>
      </c>
      <c r="F133" s="39">
        <v>16240</v>
      </c>
      <c r="G133" s="39">
        <v>3800</v>
      </c>
      <c r="H133" s="40">
        <v>13800</v>
      </c>
    </row>
    <row r="134" spans="1:8" x14ac:dyDescent="0.35">
      <c r="A134" s="101" t="str">
        <f t="shared" si="2"/>
        <v>4</v>
      </c>
      <c r="B134" s="105">
        <v>46211014</v>
      </c>
      <c r="C134" s="15" t="s">
        <v>233</v>
      </c>
      <c r="D134" s="41">
        <v>0</v>
      </c>
      <c r="E134" s="39">
        <v>16240</v>
      </c>
      <c r="F134" s="39">
        <v>16240</v>
      </c>
      <c r="G134" s="41">
        <v>0</v>
      </c>
      <c r="H134" s="42">
        <v>0</v>
      </c>
    </row>
    <row r="135" spans="1:8" x14ac:dyDescent="0.35">
      <c r="A135" s="101" t="str">
        <f t="shared" si="2"/>
        <v>4</v>
      </c>
      <c r="B135" s="105">
        <v>46211017</v>
      </c>
      <c r="C135" s="15" t="s">
        <v>56</v>
      </c>
      <c r="D135" s="39">
        <v>10000</v>
      </c>
      <c r="E135" s="39">
        <v>3800</v>
      </c>
      <c r="F135" s="41">
        <v>0</v>
      </c>
      <c r="G135" s="39">
        <v>3800</v>
      </c>
      <c r="H135" s="40">
        <v>13800</v>
      </c>
    </row>
    <row r="136" spans="1:8" x14ac:dyDescent="0.35">
      <c r="A136" s="100">
        <f t="shared" si="2"/>
        <v>0</v>
      </c>
      <c r="B136" s="14" t="s">
        <v>406</v>
      </c>
      <c r="C136" s="15" t="s">
        <v>236</v>
      </c>
      <c r="D136" s="39">
        <v>876.76</v>
      </c>
      <c r="E136" s="39">
        <v>326.39</v>
      </c>
      <c r="F136" s="41">
        <v>0</v>
      </c>
      <c r="G136" s="39">
        <v>326.39</v>
      </c>
      <c r="H136" s="40">
        <v>1203.1500000000001</v>
      </c>
    </row>
    <row r="137" spans="1:8" x14ac:dyDescent="0.35">
      <c r="A137" s="100" t="str">
        <f t="shared" si="2"/>
        <v>G</v>
      </c>
      <c r="B137" s="16" t="s">
        <v>407</v>
      </c>
      <c r="C137" s="15" t="s">
        <v>236</v>
      </c>
      <c r="D137" s="39">
        <v>876.76</v>
      </c>
      <c r="E137" s="39">
        <v>326.39</v>
      </c>
      <c r="F137" s="41">
        <v>0</v>
      </c>
      <c r="G137" s="39">
        <v>326.39</v>
      </c>
      <c r="H137" s="40">
        <v>1203.1500000000001</v>
      </c>
    </row>
    <row r="138" spans="1:8" x14ac:dyDescent="0.35">
      <c r="A138" s="101">
        <f t="shared" si="2"/>
        <v>0</v>
      </c>
      <c r="B138" s="17" t="s">
        <v>408</v>
      </c>
      <c r="C138" s="15" t="s">
        <v>239</v>
      </c>
      <c r="D138" s="39">
        <v>876.76</v>
      </c>
      <c r="E138" s="39">
        <v>326.39</v>
      </c>
      <c r="F138" s="41">
        <v>0</v>
      </c>
      <c r="G138" s="39">
        <v>326.39</v>
      </c>
      <c r="H138" s="40">
        <v>1203.1500000000001</v>
      </c>
    </row>
    <row r="139" spans="1:8" x14ac:dyDescent="0.35">
      <c r="A139" s="100">
        <f t="shared" si="2"/>
        <v>0</v>
      </c>
      <c r="B139" s="37" t="s">
        <v>409</v>
      </c>
      <c r="C139" s="15" t="s">
        <v>241</v>
      </c>
      <c r="D139" s="39">
        <v>876.76</v>
      </c>
      <c r="E139" s="39">
        <v>326.39</v>
      </c>
      <c r="F139" s="41">
        <v>0</v>
      </c>
      <c r="G139" s="39">
        <v>326.39</v>
      </c>
      <c r="H139" s="40">
        <v>1203.1500000000001</v>
      </c>
    </row>
    <row r="140" spans="1:8" x14ac:dyDescent="0.35">
      <c r="A140" s="101" t="str">
        <f t="shared" si="2"/>
        <v>4</v>
      </c>
      <c r="B140" s="105">
        <v>46312006</v>
      </c>
      <c r="C140" s="15" t="s">
        <v>22</v>
      </c>
      <c r="D140" s="39">
        <v>876.76</v>
      </c>
      <c r="E140" s="39">
        <v>326.39</v>
      </c>
      <c r="F140" s="41">
        <v>0</v>
      </c>
      <c r="G140" s="39">
        <v>326.39</v>
      </c>
      <c r="H140" s="40">
        <v>1203.1500000000001</v>
      </c>
    </row>
    <row r="141" spans="1:8" x14ac:dyDescent="0.35">
      <c r="A141" s="100">
        <f t="shared" si="2"/>
        <v>0</v>
      </c>
      <c r="B141" s="14" t="s">
        <v>410</v>
      </c>
      <c r="C141" s="15" t="s">
        <v>243</v>
      </c>
      <c r="D141" s="39">
        <v>13359.62</v>
      </c>
      <c r="E141" s="39">
        <v>16765.349999999999</v>
      </c>
      <c r="F141" s="41">
        <v>0</v>
      </c>
      <c r="G141" s="39">
        <v>16765.349999999999</v>
      </c>
      <c r="H141" s="40">
        <v>30124.97</v>
      </c>
    </row>
    <row r="142" spans="1:8" x14ac:dyDescent="0.35">
      <c r="A142" s="100" t="str">
        <f t="shared" si="2"/>
        <v>G</v>
      </c>
      <c r="B142" s="16" t="s">
        <v>411</v>
      </c>
      <c r="C142" s="15" t="s">
        <v>243</v>
      </c>
      <c r="D142" s="39">
        <v>13359.62</v>
      </c>
      <c r="E142" s="39">
        <v>16765.349999999999</v>
      </c>
      <c r="F142" s="41">
        <v>0</v>
      </c>
      <c r="G142" s="39">
        <v>16765.349999999999</v>
      </c>
      <c r="H142" s="40">
        <v>30124.97</v>
      </c>
    </row>
    <row r="143" spans="1:8" x14ac:dyDescent="0.35">
      <c r="A143" s="101">
        <f t="shared" si="2"/>
        <v>0</v>
      </c>
      <c r="B143" s="17" t="s">
        <v>412</v>
      </c>
      <c r="C143" s="15" t="s">
        <v>316</v>
      </c>
      <c r="D143" s="39">
        <v>6092.23</v>
      </c>
      <c r="E143" s="39">
        <v>2838.49</v>
      </c>
      <c r="F143" s="41">
        <v>0</v>
      </c>
      <c r="G143" s="39">
        <v>2838.49</v>
      </c>
      <c r="H143" s="40">
        <v>8930.7199999999993</v>
      </c>
    </row>
    <row r="144" spans="1:8" x14ac:dyDescent="0.35">
      <c r="A144" s="101">
        <f t="shared" si="2"/>
        <v>0</v>
      </c>
      <c r="B144" s="37" t="s">
        <v>413</v>
      </c>
      <c r="C144" s="15" t="s">
        <v>317</v>
      </c>
      <c r="D144" s="39">
        <v>6092.23</v>
      </c>
      <c r="E144" s="39">
        <v>2838.49</v>
      </c>
      <c r="F144" s="41">
        <v>0</v>
      </c>
      <c r="G144" s="39">
        <v>2838.49</v>
      </c>
      <c r="H144" s="40">
        <v>8930.7199999999993</v>
      </c>
    </row>
    <row r="145" spans="1:8" x14ac:dyDescent="0.35">
      <c r="A145" s="100" t="str">
        <f t="shared" si="2"/>
        <v>4</v>
      </c>
      <c r="B145" s="105">
        <v>46530007</v>
      </c>
      <c r="C145" s="15" t="s">
        <v>25</v>
      </c>
      <c r="D145" s="39">
        <v>6092.23</v>
      </c>
      <c r="E145" s="39">
        <v>2838.49</v>
      </c>
      <c r="F145" s="41">
        <v>0</v>
      </c>
      <c r="G145" s="39">
        <v>2838.49</v>
      </c>
      <c r="H145" s="40">
        <v>8930.7199999999993</v>
      </c>
    </row>
    <row r="146" spans="1:8" x14ac:dyDescent="0.35">
      <c r="A146" s="100">
        <f t="shared" si="2"/>
        <v>0</v>
      </c>
      <c r="B146" s="17" t="s">
        <v>414</v>
      </c>
      <c r="C146" s="15" t="s">
        <v>246</v>
      </c>
      <c r="D146" s="39">
        <v>5874.67</v>
      </c>
      <c r="E146" s="39">
        <v>13926.86</v>
      </c>
      <c r="F146" s="41">
        <v>0</v>
      </c>
      <c r="G146" s="39">
        <v>13926.86</v>
      </c>
      <c r="H146" s="40">
        <v>19801.53</v>
      </c>
    </row>
    <row r="147" spans="1:8" x14ac:dyDescent="0.35">
      <c r="A147" s="101">
        <f t="shared" si="2"/>
        <v>0</v>
      </c>
      <c r="B147" s="37" t="s">
        <v>415</v>
      </c>
      <c r="C147" s="15" t="s">
        <v>248</v>
      </c>
      <c r="D147" s="39">
        <v>5874.67</v>
      </c>
      <c r="E147" s="39">
        <v>13926.86</v>
      </c>
      <c r="F147" s="41">
        <v>0</v>
      </c>
      <c r="G147" s="39">
        <v>13926.86</v>
      </c>
      <c r="H147" s="40">
        <v>19801.53</v>
      </c>
    </row>
    <row r="148" spans="1:8" x14ac:dyDescent="0.35">
      <c r="A148" s="101">
        <f t="shared" si="2"/>
        <v>0</v>
      </c>
      <c r="B148" s="105" t="s">
        <v>416</v>
      </c>
      <c r="C148" s="15" t="s">
        <v>23</v>
      </c>
      <c r="D148" s="39">
        <v>4878.3900000000003</v>
      </c>
      <c r="E148" s="39">
        <v>11492.89</v>
      </c>
      <c r="F148" s="41">
        <v>0</v>
      </c>
      <c r="G148" s="39">
        <v>11492.89</v>
      </c>
      <c r="H148" s="40">
        <v>16371.28</v>
      </c>
    </row>
    <row r="149" spans="1:8" x14ac:dyDescent="0.35">
      <c r="A149" s="101" t="str">
        <f t="shared" si="2"/>
        <v>4</v>
      </c>
      <c r="B149" s="106">
        <v>46511001</v>
      </c>
      <c r="C149" s="15" t="s">
        <v>23</v>
      </c>
      <c r="D149" s="39">
        <v>4878.3900000000003</v>
      </c>
      <c r="E149" s="39">
        <v>11492.89</v>
      </c>
      <c r="F149" s="41">
        <v>0</v>
      </c>
      <c r="G149" s="39">
        <v>11492.89</v>
      </c>
      <c r="H149" s="40">
        <v>16371.28</v>
      </c>
    </row>
    <row r="150" spans="1:8" x14ac:dyDescent="0.35">
      <c r="A150" s="100">
        <f t="shared" si="2"/>
        <v>0</v>
      </c>
      <c r="B150" s="105" t="s">
        <v>417</v>
      </c>
      <c r="C150" s="15" t="s">
        <v>251</v>
      </c>
      <c r="D150" s="39">
        <v>996.28</v>
      </c>
      <c r="E150" s="39">
        <v>2433.9699999999998</v>
      </c>
      <c r="F150" s="41">
        <v>0</v>
      </c>
      <c r="G150" s="39">
        <v>2433.9699999999998</v>
      </c>
      <c r="H150" s="40">
        <v>3430.25</v>
      </c>
    </row>
    <row r="151" spans="1:8" x14ac:dyDescent="0.35">
      <c r="A151" s="101" t="str">
        <f t="shared" si="2"/>
        <v>4</v>
      </c>
      <c r="B151" s="106">
        <v>46511002</v>
      </c>
      <c r="C151" s="15" t="s">
        <v>24</v>
      </c>
      <c r="D151" s="39">
        <v>996.28</v>
      </c>
      <c r="E151" s="39">
        <v>2433.9699999999998</v>
      </c>
      <c r="F151" s="41">
        <v>0</v>
      </c>
      <c r="G151" s="39">
        <v>2433.9699999999998</v>
      </c>
      <c r="H151" s="40">
        <v>3430.25</v>
      </c>
    </row>
    <row r="152" spans="1:8" x14ac:dyDescent="0.35">
      <c r="A152" s="101">
        <f t="shared" si="2"/>
        <v>0</v>
      </c>
      <c r="B152" s="17" t="s">
        <v>418</v>
      </c>
      <c r="C152" s="15" t="s">
        <v>253</v>
      </c>
      <c r="D152" s="39">
        <v>1392.72</v>
      </c>
      <c r="E152" s="41">
        <v>0</v>
      </c>
      <c r="F152" s="41">
        <v>0</v>
      </c>
      <c r="G152" s="41">
        <v>0</v>
      </c>
      <c r="H152" s="40">
        <v>1392.72</v>
      </c>
    </row>
    <row r="153" spans="1:8" x14ac:dyDescent="0.35">
      <c r="A153" s="101">
        <f t="shared" si="2"/>
        <v>0</v>
      </c>
      <c r="B153" s="37" t="s">
        <v>419</v>
      </c>
      <c r="C153" s="15" t="s">
        <v>255</v>
      </c>
      <c r="D153" s="39">
        <v>1392.72</v>
      </c>
      <c r="E153" s="41">
        <v>0</v>
      </c>
      <c r="F153" s="41">
        <v>0</v>
      </c>
      <c r="G153" s="41">
        <v>0</v>
      </c>
      <c r="H153" s="40">
        <v>1392.72</v>
      </c>
    </row>
    <row r="154" spans="1:8" x14ac:dyDescent="0.35">
      <c r="A154" s="100" t="str">
        <f t="shared" si="2"/>
        <v>4</v>
      </c>
      <c r="B154" s="105">
        <v>46540007</v>
      </c>
      <c r="C154" s="15" t="s">
        <v>45</v>
      </c>
      <c r="D154" s="39">
        <v>1392.72</v>
      </c>
      <c r="E154" s="41">
        <v>0</v>
      </c>
      <c r="F154" s="41">
        <v>0</v>
      </c>
      <c r="G154" s="41">
        <v>0</v>
      </c>
      <c r="H154" s="40">
        <v>1392.72</v>
      </c>
    </row>
    <row r="155" spans="1:8" x14ac:dyDescent="0.35">
      <c r="A155" s="101">
        <f t="shared" si="2"/>
        <v>0</v>
      </c>
      <c r="B155" s="14" t="s">
        <v>420</v>
      </c>
      <c r="C155" s="15" t="s">
        <v>257</v>
      </c>
      <c r="D155" s="39">
        <v>41.3</v>
      </c>
      <c r="E155" s="39">
        <v>4528.79</v>
      </c>
      <c r="F155" s="41">
        <v>0</v>
      </c>
      <c r="G155" s="39">
        <v>4528.79</v>
      </c>
      <c r="H155" s="40">
        <v>4570.09</v>
      </c>
    </row>
    <row r="156" spans="1:8" x14ac:dyDescent="0.35">
      <c r="A156" s="101" t="str">
        <f t="shared" si="2"/>
        <v>G</v>
      </c>
      <c r="B156" s="16" t="s">
        <v>421</v>
      </c>
      <c r="C156" s="15" t="s">
        <v>226</v>
      </c>
      <c r="D156" s="39">
        <v>41.3</v>
      </c>
      <c r="E156" s="39">
        <v>4528.79</v>
      </c>
      <c r="F156" s="41">
        <v>0</v>
      </c>
      <c r="G156" s="39">
        <v>4528.79</v>
      </c>
      <c r="H156" s="40">
        <v>4570.09</v>
      </c>
    </row>
    <row r="157" spans="1:8" x14ac:dyDescent="0.35">
      <c r="A157" s="100">
        <f t="shared" si="2"/>
        <v>0</v>
      </c>
      <c r="B157" s="17" t="s">
        <v>422</v>
      </c>
      <c r="C157" s="15" t="s">
        <v>260</v>
      </c>
      <c r="D157" s="39">
        <v>41.3</v>
      </c>
      <c r="E157" s="39">
        <v>4528.79</v>
      </c>
      <c r="F157" s="41">
        <v>0</v>
      </c>
      <c r="G157" s="39">
        <v>4528.79</v>
      </c>
      <c r="H157" s="40">
        <v>4570.09</v>
      </c>
    </row>
    <row r="158" spans="1:8" x14ac:dyDescent="0.35">
      <c r="A158" s="101">
        <f t="shared" si="2"/>
        <v>0</v>
      </c>
      <c r="B158" s="37" t="s">
        <v>423</v>
      </c>
      <c r="C158" s="15" t="s">
        <v>318</v>
      </c>
      <c r="D158" s="41">
        <v>0</v>
      </c>
      <c r="E158" s="39">
        <v>273.55</v>
      </c>
      <c r="F158" s="41">
        <v>0</v>
      </c>
      <c r="G158" s="39">
        <v>273.55</v>
      </c>
      <c r="H158" s="40">
        <v>273.55</v>
      </c>
    </row>
    <row r="159" spans="1:8" x14ac:dyDescent="0.35">
      <c r="A159" s="100" t="str">
        <f t="shared" si="2"/>
        <v>4</v>
      </c>
      <c r="B159" s="105">
        <v>46312004</v>
      </c>
      <c r="C159" s="15" t="s">
        <v>319</v>
      </c>
      <c r="D159" s="41">
        <v>0</v>
      </c>
      <c r="E159" s="39">
        <v>273.55</v>
      </c>
      <c r="F159" s="41">
        <v>0</v>
      </c>
      <c r="G159" s="39">
        <v>273.55</v>
      </c>
      <c r="H159" s="40">
        <v>273.55</v>
      </c>
    </row>
    <row r="160" spans="1:8" x14ac:dyDescent="0.35">
      <c r="A160" s="100">
        <f t="shared" si="2"/>
        <v>0</v>
      </c>
      <c r="B160" s="37" t="s">
        <v>424</v>
      </c>
      <c r="C160" s="15" t="s">
        <v>262</v>
      </c>
      <c r="D160" s="39">
        <v>41.3</v>
      </c>
      <c r="E160" s="41">
        <v>0</v>
      </c>
      <c r="F160" s="41">
        <v>0</v>
      </c>
      <c r="G160" s="41">
        <v>0</v>
      </c>
      <c r="H160" s="40">
        <v>41.3</v>
      </c>
    </row>
    <row r="161" spans="1:8" x14ac:dyDescent="0.35">
      <c r="A161" s="101" t="str">
        <f t="shared" si="2"/>
        <v>4</v>
      </c>
      <c r="B161" s="105">
        <v>46920003</v>
      </c>
      <c r="C161" s="15" t="s">
        <v>26</v>
      </c>
      <c r="D161" s="39">
        <v>41.3</v>
      </c>
      <c r="E161" s="41">
        <v>0</v>
      </c>
      <c r="F161" s="41">
        <v>0</v>
      </c>
      <c r="G161" s="41">
        <v>0</v>
      </c>
      <c r="H161" s="40">
        <v>41.3</v>
      </c>
    </row>
    <row r="162" spans="1:8" x14ac:dyDescent="0.35">
      <c r="A162" s="101">
        <f t="shared" si="2"/>
        <v>0</v>
      </c>
      <c r="B162" s="37" t="s">
        <v>425</v>
      </c>
      <c r="C162" s="15" t="s">
        <v>222</v>
      </c>
      <c r="D162" s="41">
        <v>0</v>
      </c>
      <c r="E162" s="39">
        <v>4255.24</v>
      </c>
      <c r="F162" s="41">
        <v>0</v>
      </c>
      <c r="G162" s="39">
        <v>4255.24</v>
      </c>
      <c r="H162" s="40">
        <v>4255.24</v>
      </c>
    </row>
    <row r="163" spans="1:8" x14ac:dyDescent="0.35">
      <c r="A163" s="101" t="str">
        <f t="shared" si="2"/>
        <v>4</v>
      </c>
      <c r="B163" s="105">
        <v>46990099</v>
      </c>
      <c r="C163" s="15" t="s">
        <v>222</v>
      </c>
      <c r="D163" s="41">
        <v>0</v>
      </c>
      <c r="E163" s="39">
        <v>4255.24</v>
      </c>
      <c r="F163" s="41">
        <v>0</v>
      </c>
      <c r="G163" s="39">
        <v>4255.24</v>
      </c>
      <c r="H163" s="40">
        <v>4255.24</v>
      </c>
    </row>
    <row r="164" spans="1:8" x14ac:dyDescent="0.35">
      <c r="A164" s="101">
        <f t="shared" si="2"/>
        <v>0</v>
      </c>
      <c r="B164" s="12" t="s">
        <v>426</v>
      </c>
      <c r="C164" s="13" t="s">
        <v>264</v>
      </c>
      <c r="D164" s="39">
        <v>-17050.39</v>
      </c>
      <c r="E164" s="41">
        <v>0</v>
      </c>
      <c r="F164" s="39">
        <v>11602.56</v>
      </c>
      <c r="G164" s="39">
        <v>-11602.56</v>
      </c>
      <c r="H164" s="40">
        <v>-28652.95</v>
      </c>
    </row>
    <row r="165" spans="1:8" x14ac:dyDescent="0.35">
      <c r="A165" s="100">
        <f t="shared" si="2"/>
        <v>0</v>
      </c>
      <c r="B165" s="14" t="s">
        <v>427</v>
      </c>
      <c r="C165" s="15" t="s">
        <v>36</v>
      </c>
      <c r="D165" s="39">
        <v>-17879.27</v>
      </c>
      <c r="E165" s="41">
        <v>0</v>
      </c>
      <c r="F165" s="39">
        <v>11602.56</v>
      </c>
      <c r="G165" s="39">
        <v>-11602.56</v>
      </c>
      <c r="H165" s="40">
        <v>-29481.83</v>
      </c>
    </row>
    <row r="166" spans="1:8" x14ac:dyDescent="0.35">
      <c r="A166" s="101" t="str">
        <f t="shared" si="2"/>
        <v>G</v>
      </c>
      <c r="B166" s="16" t="s">
        <v>428</v>
      </c>
      <c r="C166" s="15" t="s">
        <v>267</v>
      </c>
      <c r="D166" s="39">
        <v>-17879.27</v>
      </c>
      <c r="E166" s="41">
        <v>0</v>
      </c>
      <c r="F166" s="39">
        <v>11602.56</v>
      </c>
      <c r="G166" s="39">
        <v>-11602.56</v>
      </c>
      <c r="H166" s="40">
        <v>-29481.83</v>
      </c>
    </row>
    <row r="167" spans="1:8" x14ac:dyDescent="0.35">
      <c r="A167" s="101">
        <f t="shared" si="2"/>
        <v>0</v>
      </c>
      <c r="B167" s="17" t="s">
        <v>429</v>
      </c>
      <c r="C167" s="15" t="s">
        <v>269</v>
      </c>
      <c r="D167" s="39">
        <v>-23973.47</v>
      </c>
      <c r="E167" s="41">
        <v>0</v>
      </c>
      <c r="F167" s="39">
        <v>4495.54</v>
      </c>
      <c r="G167" s="39">
        <v>-4495.54</v>
      </c>
      <c r="H167" s="40">
        <v>-28469.01</v>
      </c>
    </row>
    <row r="168" spans="1:8" x14ac:dyDescent="0.35">
      <c r="A168" s="100">
        <f t="shared" si="2"/>
        <v>0</v>
      </c>
      <c r="B168" s="37" t="s">
        <v>430</v>
      </c>
      <c r="C168" s="15" t="s">
        <v>271</v>
      </c>
      <c r="D168" s="39">
        <v>-23973.47</v>
      </c>
      <c r="E168" s="41">
        <v>0</v>
      </c>
      <c r="F168" s="39">
        <v>4495.54</v>
      </c>
      <c r="G168" s="39">
        <v>-4495.54</v>
      </c>
      <c r="H168" s="40">
        <v>-28469.01</v>
      </c>
    </row>
    <row r="169" spans="1:8" x14ac:dyDescent="0.35">
      <c r="A169" s="101" t="str">
        <f t="shared" si="2"/>
        <v>3</v>
      </c>
      <c r="B169" s="105">
        <v>36910001</v>
      </c>
      <c r="C169" s="15" t="s">
        <v>20</v>
      </c>
      <c r="D169" s="39">
        <v>-23973.47</v>
      </c>
      <c r="E169" s="41">
        <v>0</v>
      </c>
      <c r="F169" s="39">
        <v>4495.54</v>
      </c>
      <c r="G169" s="39">
        <v>-4495.54</v>
      </c>
      <c r="H169" s="40">
        <v>-28469.01</v>
      </c>
    </row>
    <row r="170" spans="1:8" x14ac:dyDescent="0.35">
      <c r="A170" s="100">
        <f t="shared" si="2"/>
        <v>0</v>
      </c>
      <c r="B170" s="17" t="s">
        <v>431</v>
      </c>
      <c r="C170" s="15" t="s">
        <v>273</v>
      </c>
      <c r="D170" s="39">
        <v>-19629.599999999999</v>
      </c>
      <c r="E170" s="41">
        <v>0</v>
      </c>
      <c r="F170" s="39">
        <v>6578.34</v>
      </c>
      <c r="G170" s="39">
        <v>-6578.34</v>
      </c>
      <c r="H170" s="40">
        <v>-26207.94</v>
      </c>
    </row>
    <row r="171" spans="1:8" x14ac:dyDescent="0.35">
      <c r="A171" s="101">
        <f t="shared" si="2"/>
        <v>0</v>
      </c>
      <c r="B171" s="37" t="s">
        <v>432</v>
      </c>
      <c r="C171" s="15" t="s">
        <v>275</v>
      </c>
      <c r="D171" s="39">
        <v>-19629.599999999999</v>
      </c>
      <c r="E171" s="41">
        <v>0</v>
      </c>
      <c r="F171" s="39">
        <v>6578.34</v>
      </c>
      <c r="G171" s="39">
        <v>-6578.34</v>
      </c>
      <c r="H171" s="40">
        <v>-26207.94</v>
      </c>
    </row>
    <row r="172" spans="1:8" x14ac:dyDescent="0.35">
      <c r="A172" s="100">
        <f t="shared" si="2"/>
        <v>0</v>
      </c>
      <c r="B172" s="105" t="s">
        <v>433</v>
      </c>
      <c r="C172" s="15" t="s">
        <v>277</v>
      </c>
      <c r="D172" s="39">
        <v>-19629.599999999999</v>
      </c>
      <c r="E172" s="41">
        <v>0</v>
      </c>
      <c r="F172" s="39">
        <v>6578.34</v>
      </c>
      <c r="G172" s="39">
        <v>-6578.34</v>
      </c>
      <c r="H172" s="40">
        <v>-26207.94</v>
      </c>
    </row>
    <row r="173" spans="1:8" x14ac:dyDescent="0.35">
      <c r="A173" s="101">
        <f t="shared" si="2"/>
        <v>0</v>
      </c>
      <c r="B173" s="106" t="s">
        <v>434</v>
      </c>
      <c r="C173" s="15" t="s">
        <v>279</v>
      </c>
      <c r="D173" s="39">
        <v>-19629.599999999999</v>
      </c>
      <c r="E173" s="41">
        <v>0</v>
      </c>
      <c r="F173" s="39">
        <v>6578.34</v>
      </c>
      <c r="G173" s="39">
        <v>-6578.34</v>
      </c>
      <c r="H173" s="40">
        <v>-26207.94</v>
      </c>
    </row>
    <row r="174" spans="1:8" x14ac:dyDescent="0.35">
      <c r="A174" s="101" t="str">
        <f t="shared" si="2"/>
        <v>3</v>
      </c>
      <c r="B174" s="107">
        <v>36114001</v>
      </c>
      <c r="C174" s="15" t="s">
        <v>19</v>
      </c>
      <c r="D174" s="39">
        <v>-19629.599999999999</v>
      </c>
      <c r="E174" s="41">
        <v>0</v>
      </c>
      <c r="F174" s="39">
        <v>6578.34</v>
      </c>
      <c r="G174" s="39">
        <v>-6578.34</v>
      </c>
      <c r="H174" s="40">
        <v>-26207.94</v>
      </c>
    </row>
    <row r="175" spans="1:8" x14ac:dyDescent="0.35">
      <c r="A175" s="100">
        <f t="shared" si="2"/>
        <v>0</v>
      </c>
      <c r="B175" s="17" t="s">
        <v>435</v>
      </c>
      <c r="C175" s="15" t="s">
        <v>36</v>
      </c>
      <c r="D175" s="39">
        <v>25723.8</v>
      </c>
      <c r="E175" s="41">
        <v>0</v>
      </c>
      <c r="F175" s="39">
        <v>528.67999999999995</v>
      </c>
      <c r="G175" s="39">
        <v>-528.67999999999995</v>
      </c>
      <c r="H175" s="40">
        <v>25195.119999999999</v>
      </c>
    </row>
    <row r="176" spans="1:8" x14ac:dyDescent="0.35">
      <c r="A176" s="100">
        <f t="shared" si="2"/>
        <v>0</v>
      </c>
      <c r="B176" s="37" t="s">
        <v>436</v>
      </c>
      <c r="C176" s="15" t="s">
        <v>214</v>
      </c>
      <c r="D176" s="39">
        <v>25723.8</v>
      </c>
      <c r="E176" s="41">
        <v>0</v>
      </c>
      <c r="F176" s="39">
        <v>528.67999999999995</v>
      </c>
      <c r="G176" s="39">
        <v>-528.67999999999995</v>
      </c>
      <c r="H176" s="40">
        <v>25195.119999999999</v>
      </c>
    </row>
    <row r="177" spans="1:8" x14ac:dyDescent="0.35">
      <c r="A177" s="101" t="str">
        <f t="shared" si="2"/>
        <v>3</v>
      </c>
      <c r="B177" s="105">
        <v>36990099</v>
      </c>
      <c r="C177" s="15" t="s">
        <v>21</v>
      </c>
      <c r="D177" s="39">
        <v>25723.8</v>
      </c>
      <c r="E177" s="41">
        <v>0</v>
      </c>
      <c r="F177" s="39">
        <v>528.67999999999995</v>
      </c>
      <c r="G177" s="39">
        <v>-528.67999999999995</v>
      </c>
      <c r="H177" s="40">
        <v>25195.119999999999</v>
      </c>
    </row>
    <row r="178" spans="1:8" x14ac:dyDescent="0.35">
      <c r="A178" s="101">
        <f t="shared" si="2"/>
        <v>0</v>
      </c>
      <c r="B178" s="14" t="s">
        <v>437</v>
      </c>
      <c r="C178" s="15" t="s">
        <v>283</v>
      </c>
      <c r="D178" s="39">
        <v>828.88</v>
      </c>
      <c r="E178" s="41">
        <v>0</v>
      </c>
      <c r="F178" s="41">
        <v>0</v>
      </c>
      <c r="G178" s="41">
        <v>0</v>
      </c>
      <c r="H178" s="40">
        <v>828.88</v>
      </c>
    </row>
    <row r="179" spans="1:8" x14ac:dyDescent="0.35">
      <c r="A179" s="100" t="str">
        <f t="shared" si="2"/>
        <v>G</v>
      </c>
      <c r="B179" s="16" t="s">
        <v>438</v>
      </c>
      <c r="C179" s="15" t="s">
        <v>285</v>
      </c>
      <c r="D179" s="39">
        <v>828.88</v>
      </c>
      <c r="E179" s="41">
        <v>0</v>
      </c>
      <c r="F179" s="41">
        <v>0</v>
      </c>
      <c r="G179" s="41">
        <v>0</v>
      </c>
      <c r="H179" s="40">
        <v>828.88</v>
      </c>
    </row>
    <row r="180" spans="1:8" x14ac:dyDescent="0.35">
      <c r="A180" s="101">
        <f t="shared" si="2"/>
        <v>0</v>
      </c>
      <c r="B180" s="17" t="s">
        <v>439</v>
      </c>
      <c r="C180" s="15" t="s">
        <v>283</v>
      </c>
      <c r="D180" s="39">
        <v>828.88</v>
      </c>
      <c r="E180" s="41">
        <v>0</v>
      </c>
      <c r="F180" s="41">
        <v>0</v>
      </c>
      <c r="G180" s="41">
        <v>0</v>
      </c>
      <c r="H180" s="40">
        <v>828.88</v>
      </c>
    </row>
    <row r="181" spans="1:8" x14ac:dyDescent="0.35">
      <c r="A181" s="101">
        <f t="shared" si="2"/>
        <v>0</v>
      </c>
      <c r="B181" s="37" t="s">
        <v>440</v>
      </c>
      <c r="C181" s="15" t="s">
        <v>222</v>
      </c>
      <c r="D181" s="39">
        <v>828.88</v>
      </c>
      <c r="E181" s="41">
        <v>0</v>
      </c>
      <c r="F181" s="41">
        <v>0</v>
      </c>
      <c r="G181" s="41">
        <v>0</v>
      </c>
      <c r="H181" s="40">
        <v>828.88</v>
      </c>
    </row>
    <row r="182" spans="1:8" x14ac:dyDescent="0.35">
      <c r="A182" s="100" t="str">
        <f t="shared" si="2"/>
        <v>4</v>
      </c>
      <c r="B182" s="105">
        <v>45990005</v>
      </c>
      <c r="C182" s="15" t="s">
        <v>84</v>
      </c>
      <c r="D182" s="39">
        <v>828.88</v>
      </c>
      <c r="E182" s="41">
        <v>0</v>
      </c>
      <c r="F182" s="41">
        <v>0</v>
      </c>
      <c r="G182" s="41">
        <v>0</v>
      </c>
      <c r="H182" s="40">
        <v>828.88</v>
      </c>
    </row>
    <row r="183" spans="1:8" x14ac:dyDescent="0.35">
      <c r="A183" s="101">
        <f t="shared" si="2"/>
        <v>0</v>
      </c>
      <c r="B183" s="12" t="s">
        <v>441</v>
      </c>
      <c r="C183" s="13" t="s">
        <v>289</v>
      </c>
      <c r="D183" s="39">
        <v>17857.07</v>
      </c>
      <c r="E183" s="39">
        <v>5537.88</v>
      </c>
      <c r="F183" s="41">
        <v>0</v>
      </c>
      <c r="G183" s="39">
        <v>5537.88</v>
      </c>
      <c r="H183" s="40">
        <v>23394.95</v>
      </c>
    </row>
    <row r="184" spans="1:8" x14ac:dyDescent="0.35">
      <c r="A184" s="101">
        <f t="shared" si="2"/>
        <v>0</v>
      </c>
      <c r="B184" s="14" t="s">
        <v>442</v>
      </c>
      <c r="C184" s="15" t="s">
        <v>180</v>
      </c>
      <c r="D184" s="39">
        <v>17857.07</v>
      </c>
      <c r="E184" s="39">
        <v>5537.88</v>
      </c>
      <c r="F184" s="41">
        <v>0</v>
      </c>
      <c r="G184" s="39">
        <v>5537.88</v>
      </c>
      <c r="H184" s="40">
        <v>23394.95</v>
      </c>
    </row>
    <row r="185" spans="1:8" x14ac:dyDescent="0.35">
      <c r="A185" s="100" t="str">
        <f t="shared" si="2"/>
        <v>G</v>
      </c>
      <c r="B185" s="16" t="s">
        <v>443</v>
      </c>
      <c r="C185" s="15" t="s">
        <v>180</v>
      </c>
      <c r="D185" s="39">
        <v>17857.07</v>
      </c>
      <c r="E185" s="39">
        <v>5537.88</v>
      </c>
      <c r="F185" s="41">
        <v>0</v>
      </c>
      <c r="G185" s="39">
        <v>5537.88</v>
      </c>
      <c r="H185" s="40">
        <v>23394.95</v>
      </c>
    </row>
    <row r="186" spans="1:8" x14ac:dyDescent="0.35">
      <c r="A186" s="101">
        <f t="shared" si="2"/>
        <v>0</v>
      </c>
      <c r="B186" s="17" t="s">
        <v>444</v>
      </c>
      <c r="C186" s="15" t="s">
        <v>180</v>
      </c>
      <c r="D186" s="39">
        <v>17857.07</v>
      </c>
      <c r="E186" s="39">
        <v>5537.88</v>
      </c>
      <c r="F186" s="41">
        <v>0</v>
      </c>
      <c r="G186" s="39">
        <v>5537.88</v>
      </c>
      <c r="H186" s="40">
        <v>23394.95</v>
      </c>
    </row>
    <row r="187" spans="1:8" x14ac:dyDescent="0.35">
      <c r="A187" s="101">
        <f t="shared" si="2"/>
        <v>0</v>
      </c>
      <c r="B187" s="37" t="s">
        <v>445</v>
      </c>
      <c r="C187" s="15" t="s">
        <v>182</v>
      </c>
      <c r="D187" s="39">
        <v>11541.96</v>
      </c>
      <c r="E187" s="39">
        <v>3542.56</v>
      </c>
      <c r="F187" s="41">
        <v>0</v>
      </c>
      <c r="G187" s="39">
        <v>3542.56</v>
      </c>
      <c r="H187" s="40">
        <v>15084.52</v>
      </c>
    </row>
    <row r="188" spans="1:8" x14ac:dyDescent="0.35">
      <c r="A188" s="100" t="str">
        <f t="shared" si="2"/>
        <v>5</v>
      </c>
      <c r="B188" s="105">
        <v>51110001</v>
      </c>
      <c r="C188" s="15" t="s">
        <v>52</v>
      </c>
      <c r="D188" s="39">
        <v>11541.96</v>
      </c>
      <c r="E188" s="39">
        <v>3542.56</v>
      </c>
      <c r="F188" s="41">
        <v>0</v>
      </c>
      <c r="G188" s="39">
        <v>3542.56</v>
      </c>
      <c r="H188" s="40">
        <v>15084.52</v>
      </c>
    </row>
    <row r="189" spans="1:8" x14ac:dyDescent="0.35">
      <c r="A189" s="100">
        <f t="shared" si="2"/>
        <v>0</v>
      </c>
      <c r="B189" s="37" t="s">
        <v>446</v>
      </c>
      <c r="C189" s="15" t="s">
        <v>140</v>
      </c>
      <c r="D189" s="39">
        <v>6315.11</v>
      </c>
      <c r="E189" s="39">
        <v>1995.32</v>
      </c>
      <c r="F189" s="41">
        <v>0</v>
      </c>
      <c r="G189" s="39">
        <v>1995.32</v>
      </c>
      <c r="H189" s="40">
        <v>8310.43</v>
      </c>
    </row>
    <row r="190" spans="1:8" x14ac:dyDescent="0.35">
      <c r="A190" s="101" t="str">
        <f t="shared" si="2"/>
        <v>5</v>
      </c>
      <c r="B190" s="105">
        <v>51110002</v>
      </c>
      <c r="C190" s="15" t="s">
        <v>53</v>
      </c>
      <c r="D190" s="39">
        <v>6315.11</v>
      </c>
      <c r="E190" s="39">
        <v>1995.32</v>
      </c>
      <c r="F190" s="41">
        <v>0</v>
      </c>
      <c r="G190" s="39">
        <v>1995.32</v>
      </c>
      <c r="H190" s="40">
        <v>8310.43</v>
      </c>
    </row>
    <row r="191" spans="1:8" x14ac:dyDescent="0.35">
      <c r="A191" s="101">
        <f t="shared" si="2"/>
        <v>0</v>
      </c>
      <c r="B191" s="18" t="s">
        <v>295</v>
      </c>
      <c r="C191" s="19" t="s">
        <v>295</v>
      </c>
      <c r="D191" s="41">
        <v>0</v>
      </c>
      <c r="E191" s="39">
        <v>160913.66</v>
      </c>
      <c r="F191" s="39">
        <v>160913.66</v>
      </c>
      <c r="G191" s="41">
        <v>0</v>
      </c>
      <c r="H191" s="42">
        <v>0</v>
      </c>
    </row>
    <row r="192" spans="1:8" x14ac:dyDescent="0.35">
      <c r="A192" s="100" t="str">
        <f t="shared" si="2"/>
        <v>7</v>
      </c>
      <c r="B192" s="10">
        <v>70000000</v>
      </c>
      <c r="C192" s="11" t="s">
        <v>27</v>
      </c>
      <c r="D192" s="41">
        <v>0</v>
      </c>
      <c r="E192" s="39">
        <v>160913.66</v>
      </c>
      <c r="F192" s="39">
        <v>160913.66</v>
      </c>
      <c r="G192" s="41">
        <v>0</v>
      </c>
      <c r="H192" s="42">
        <v>0</v>
      </c>
    </row>
    <row r="193" spans="1:1" x14ac:dyDescent="0.35">
      <c r="A193" s="101">
        <f t="shared" si="2"/>
        <v>0</v>
      </c>
    </row>
    <row r="194" spans="1:1" x14ac:dyDescent="0.35">
      <c r="A194" s="101">
        <f t="shared" si="2"/>
        <v>0</v>
      </c>
    </row>
    <row r="195" spans="1:1" x14ac:dyDescent="0.35">
      <c r="A195" s="100">
        <f t="shared" si="2"/>
        <v>0</v>
      </c>
    </row>
    <row r="196" spans="1:1" x14ac:dyDescent="0.35">
      <c r="A196" s="101">
        <f t="shared" ref="A196:A259" si="3">IF(LEN(B196)=8,LEFT(B196,1),0)</f>
        <v>0</v>
      </c>
    </row>
    <row r="197" spans="1:1" x14ac:dyDescent="0.35">
      <c r="A197" s="100">
        <f t="shared" si="3"/>
        <v>0</v>
      </c>
    </row>
    <row r="198" spans="1:1" x14ac:dyDescent="0.35">
      <c r="A198" s="101">
        <f t="shared" si="3"/>
        <v>0</v>
      </c>
    </row>
    <row r="199" spans="1:1" x14ac:dyDescent="0.35">
      <c r="A199" s="101">
        <f t="shared" si="3"/>
        <v>0</v>
      </c>
    </row>
    <row r="200" spans="1:1" x14ac:dyDescent="0.35">
      <c r="A200" s="101">
        <f t="shared" si="3"/>
        <v>0</v>
      </c>
    </row>
    <row r="201" spans="1:1" x14ac:dyDescent="0.35">
      <c r="A201" s="100">
        <f t="shared" si="3"/>
        <v>0</v>
      </c>
    </row>
    <row r="202" spans="1:1" x14ac:dyDescent="0.35">
      <c r="A202" s="101">
        <f t="shared" si="3"/>
        <v>0</v>
      </c>
    </row>
    <row r="203" spans="1:1" x14ac:dyDescent="0.35">
      <c r="A203" s="101">
        <f t="shared" si="3"/>
        <v>0</v>
      </c>
    </row>
    <row r="204" spans="1:1" x14ac:dyDescent="0.35">
      <c r="A204" s="100">
        <f t="shared" si="3"/>
        <v>0</v>
      </c>
    </row>
    <row r="205" spans="1:1" x14ac:dyDescent="0.35">
      <c r="A205" s="101">
        <f t="shared" si="3"/>
        <v>0</v>
      </c>
    </row>
    <row r="206" spans="1:1" x14ac:dyDescent="0.35">
      <c r="A206" s="100">
        <f t="shared" si="3"/>
        <v>0</v>
      </c>
    </row>
    <row r="207" spans="1:1" x14ac:dyDescent="0.35">
      <c r="A207" s="101">
        <f t="shared" si="3"/>
        <v>0</v>
      </c>
    </row>
    <row r="208" spans="1:1" x14ac:dyDescent="0.35">
      <c r="A208" s="100">
        <f t="shared" si="3"/>
        <v>0</v>
      </c>
    </row>
    <row r="209" spans="1:1" x14ac:dyDescent="0.35">
      <c r="A209" s="101">
        <f t="shared" si="3"/>
        <v>0</v>
      </c>
    </row>
    <row r="210" spans="1:1" x14ac:dyDescent="0.35">
      <c r="A210" s="101">
        <f t="shared" si="3"/>
        <v>0</v>
      </c>
    </row>
    <row r="211" spans="1:1" x14ac:dyDescent="0.35">
      <c r="A211" s="100">
        <f t="shared" si="3"/>
        <v>0</v>
      </c>
    </row>
    <row r="212" spans="1:1" x14ac:dyDescent="0.35">
      <c r="A212" s="101">
        <f t="shared" si="3"/>
        <v>0</v>
      </c>
    </row>
    <row r="213" spans="1:1" x14ac:dyDescent="0.35">
      <c r="A213" s="100">
        <f t="shared" si="3"/>
        <v>0</v>
      </c>
    </row>
    <row r="214" spans="1:1" x14ac:dyDescent="0.35">
      <c r="A214" s="101">
        <f t="shared" si="3"/>
        <v>0</v>
      </c>
    </row>
    <row r="215" spans="1:1" x14ac:dyDescent="0.35">
      <c r="A215" s="101">
        <f t="shared" si="3"/>
        <v>0</v>
      </c>
    </row>
    <row r="216" spans="1:1" x14ac:dyDescent="0.35">
      <c r="A216" s="101">
        <f t="shared" si="3"/>
        <v>0</v>
      </c>
    </row>
    <row r="217" spans="1:1" x14ac:dyDescent="0.35">
      <c r="A217" s="100">
        <f t="shared" si="3"/>
        <v>0</v>
      </c>
    </row>
    <row r="218" spans="1:1" x14ac:dyDescent="0.35">
      <c r="A218" s="101">
        <f t="shared" si="3"/>
        <v>0</v>
      </c>
    </row>
    <row r="219" spans="1:1" x14ac:dyDescent="0.35">
      <c r="A219" s="100">
        <f t="shared" si="3"/>
        <v>0</v>
      </c>
    </row>
    <row r="220" spans="1:1" x14ac:dyDescent="0.35">
      <c r="A220" s="101">
        <f t="shared" si="3"/>
        <v>0</v>
      </c>
    </row>
    <row r="221" spans="1:1" x14ac:dyDescent="0.35">
      <c r="A221" s="101">
        <f t="shared" si="3"/>
        <v>0</v>
      </c>
    </row>
    <row r="222" spans="1:1" x14ac:dyDescent="0.35">
      <c r="A222" s="100">
        <f t="shared" si="3"/>
        <v>0</v>
      </c>
    </row>
    <row r="223" spans="1:1" x14ac:dyDescent="0.35">
      <c r="A223" s="101">
        <f t="shared" si="3"/>
        <v>0</v>
      </c>
    </row>
    <row r="224" spans="1:1" x14ac:dyDescent="0.35">
      <c r="A224" s="100">
        <f t="shared" si="3"/>
        <v>0</v>
      </c>
    </row>
    <row r="225" spans="1:1" x14ac:dyDescent="0.35">
      <c r="A225" s="100">
        <f t="shared" si="3"/>
        <v>0</v>
      </c>
    </row>
    <row r="226" spans="1:1" x14ac:dyDescent="0.35">
      <c r="A226" s="100">
        <f t="shared" si="3"/>
        <v>0</v>
      </c>
    </row>
    <row r="227" spans="1:1" x14ac:dyDescent="0.35">
      <c r="A227" s="101">
        <f t="shared" si="3"/>
        <v>0</v>
      </c>
    </row>
    <row r="228" spans="1:1" x14ac:dyDescent="0.35">
      <c r="A228" s="100">
        <f t="shared" si="3"/>
        <v>0</v>
      </c>
    </row>
    <row r="229" spans="1:1" x14ac:dyDescent="0.35">
      <c r="A229" s="101">
        <f t="shared" si="3"/>
        <v>0</v>
      </c>
    </row>
    <row r="230" spans="1:1" x14ac:dyDescent="0.35">
      <c r="A230" s="100">
        <f t="shared" si="3"/>
        <v>0</v>
      </c>
    </row>
    <row r="231" spans="1:1" x14ac:dyDescent="0.35">
      <c r="A231" s="101">
        <f t="shared" si="3"/>
        <v>0</v>
      </c>
    </row>
    <row r="232" spans="1:1" x14ac:dyDescent="0.35">
      <c r="A232" s="100">
        <f t="shared" si="3"/>
        <v>0</v>
      </c>
    </row>
    <row r="233" spans="1:1" x14ac:dyDescent="0.35">
      <c r="A233" s="101">
        <f t="shared" si="3"/>
        <v>0</v>
      </c>
    </row>
    <row r="234" spans="1:1" x14ac:dyDescent="0.35">
      <c r="A234" s="101">
        <f t="shared" si="3"/>
        <v>0</v>
      </c>
    </row>
    <row r="235" spans="1:1" x14ac:dyDescent="0.35">
      <c r="A235" s="100">
        <f t="shared" si="3"/>
        <v>0</v>
      </c>
    </row>
    <row r="236" spans="1:1" x14ac:dyDescent="0.35">
      <c r="A236" s="101">
        <f t="shared" si="3"/>
        <v>0</v>
      </c>
    </row>
    <row r="237" spans="1:1" x14ac:dyDescent="0.35">
      <c r="A237" s="100">
        <f t="shared" si="3"/>
        <v>0</v>
      </c>
    </row>
    <row r="238" spans="1:1" x14ac:dyDescent="0.35">
      <c r="A238" s="101">
        <f t="shared" si="3"/>
        <v>0</v>
      </c>
    </row>
    <row r="239" spans="1:1" x14ac:dyDescent="0.35">
      <c r="A239" s="101">
        <f t="shared" si="3"/>
        <v>0</v>
      </c>
    </row>
    <row r="240" spans="1:1" x14ac:dyDescent="0.35">
      <c r="A240" s="100">
        <f t="shared" si="3"/>
        <v>0</v>
      </c>
    </row>
    <row r="241" spans="1:1" x14ac:dyDescent="0.35">
      <c r="A241" s="101">
        <f t="shared" si="3"/>
        <v>0</v>
      </c>
    </row>
    <row r="242" spans="1:1" x14ac:dyDescent="0.35">
      <c r="A242" s="101">
        <f t="shared" si="3"/>
        <v>0</v>
      </c>
    </row>
    <row r="243" spans="1:1" x14ac:dyDescent="0.35">
      <c r="A243" s="100">
        <f t="shared" si="3"/>
        <v>0</v>
      </c>
    </row>
    <row r="244" spans="1:1" x14ac:dyDescent="0.35">
      <c r="A244" s="100">
        <f t="shared" si="3"/>
        <v>0</v>
      </c>
    </row>
    <row r="245" spans="1:1" x14ac:dyDescent="0.35">
      <c r="A245" s="100">
        <f t="shared" si="3"/>
        <v>0</v>
      </c>
    </row>
    <row r="246" spans="1:1" x14ac:dyDescent="0.35">
      <c r="A246" s="101">
        <f t="shared" si="3"/>
        <v>0</v>
      </c>
    </row>
    <row r="247" spans="1:1" x14ac:dyDescent="0.35">
      <c r="A247" s="101">
        <f t="shared" si="3"/>
        <v>0</v>
      </c>
    </row>
    <row r="248" spans="1:1" x14ac:dyDescent="0.35">
      <c r="A248" s="101">
        <f t="shared" si="3"/>
        <v>0</v>
      </c>
    </row>
    <row r="249" spans="1:1" x14ac:dyDescent="0.35">
      <c r="A249" s="101">
        <f t="shared" si="3"/>
        <v>0</v>
      </c>
    </row>
    <row r="250" spans="1:1" x14ac:dyDescent="0.35">
      <c r="A250" s="100">
        <f t="shared" si="3"/>
        <v>0</v>
      </c>
    </row>
    <row r="251" spans="1:1" x14ac:dyDescent="0.35">
      <c r="A251" s="101">
        <f t="shared" si="3"/>
        <v>0</v>
      </c>
    </row>
    <row r="252" spans="1:1" x14ac:dyDescent="0.35">
      <c r="A252" s="100">
        <f t="shared" si="3"/>
        <v>0</v>
      </c>
    </row>
    <row r="253" spans="1:1" x14ac:dyDescent="0.35">
      <c r="A253" s="101">
        <f t="shared" si="3"/>
        <v>0</v>
      </c>
    </row>
    <row r="254" spans="1:1" x14ac:dyDescent="0.35">
      <c r="A254" s="100">
        <f t="shared" si="3"/>
        <v>0</v>
      </c>
    </row>
    <row r="255" spans="1:1" x14ac:dyDescent="0.35">
      <c r="A255" s="100">
        <f t="shared" si="3"/>
        <v>0</v>
      </c>
    </row>
    <row r="256" spans="1:1" x14ac:dyDescent="0.35">
      <c r="A256" s="101">
        <f t="shared" si="3"/>
        <v>0</v>
      </c>
    </row>
    <row r="257" spans="1:1" x14ac:dyDescent="0.35">
      <c r="A257" s="101">
        <f t="shared" si="3"/>
        <v>0</v>
      </c>
    </row>
    <row r="258" spans="1:1" x14ac:dyDescent="0.35">
      <c r="A258" s="100">
        <f t="shared" si="3"/>
        <v>0</v>
      </c>
    </row>
    <row r="259" spans="1:1" x14ac:dyDescent="0.35">
      <c r="A259" s="101">
        <f t="shared" si="3"/>
        <v>0</v>
      </c>
    </row>
    <row r="260" spans="1:1" x14ac:dyDescent="0.35">
      <c r="A260" s="101">
        <f t="shared" ref="A260:A323" si="4">IF(LEN(B260)=8,LEFT(B260,1),0)</f>
        <v>0</v>
      </c>
    </row>
    <row r="261" spans="1:1" x14ac:dyDescent="0.35">
      <c r="A261" s="100">
        <f t="shared" si="4"/>
        <v>0</v>
      </c>
    </row>
    <row r="262" spans="1:1" x14ac:dyDescent="0.35">
      <c r="A262" s="101">
        <f t="shared" si="4"/>
        <v>0</v>
      </c>
    </row>
    <row r="263" spans="1:1" x14ac:dyDescent="0.35">
      <c r="A263" s="101">
        <f t="shared" si="4"/>
        <v>0</v>
      </c>
    </row>
    <row r="264" spans="1:1" x14ac:dyDescent="0.35">
      <c r="A264" s="100">
        <f t="shared" si="4"/>
        <v>0</v>
      </c>
    </row>
    <row r="265" spans="1:1" x14ac:dyDescent="0.35">
      <c r="A265" s="101">
        <f t="shared" si="4"/>
        <v>0</v>
      </c>
    </row>
    <row r="266" spans="1:1" x14ac:dyDescent="0.35">
      <c r="A266" s="100">
        <f t="shared" si="4"/>
        <v>0</v>
      </c>
    </row>
    <row r="267" spans="1:1" x14ac:dyDescent="0.35">
      <c r="A267" s="101">
        <f t="shared" si="4"/>
        <v>0</v>
      </c>
    </row>
    <row r="268" spans="1:1" x14ac:dyDescent="0.35">
      <c r="A268" s="100">
        <f t="shared" si="4"/>
        <v>0</v>
      </c>
    </row>
    <row r="269" spans="1:1" x14ac:dyDescent="0.35">
      <c r="A269" s="100">
        <f t="shared" si="4"/>
        <v>0</v>
      </c>
    </row>
    <row r="270" spans="1:1" x14ac:dyDescent="0.35">
      <c r="A270" s="100">
        <f t="shared" si="4"/>
        <v>0</v>
      </c>
    </row>
    <row r="271" spans="1:1" x14ac:dyDescent="0.35">
      <c r="A271" s="100">
        <f t="shared" si="4"/>
        <v>0</v>
      </c>
    </row>
    <row r="272" spans="1:1" x14ac:dyDescent="0.35">
      <c r="A272" s="100">
        <f t="shared" si="4"/>
        <v>0</v>
      </c>
    </row>
    <row r="273" spans="1:1" x14ac:dyDescent="0.35">
      <c r="A273" s="100">
        <f t="shared" si="4"/>
        <v>0</v>
      </c>
    </row>
    <row r="274" spans="1:1" x14ac:dyDescent="0.35">
      <c r="A274" s="100">
        <f t="shared" si="4"/>
        <v>0</v>
      </c>
    </row>
    <row r="275" spans="1:1" x14ac:dyDescent="0.35">
      <c r="A275" s="100">
        <f t="shared" si="4"/>
        <v>0</v>
      </c>
    </row>
    <row r="276" spans="1:1" x14ac:dyDescent="0.35">
      <c r="A276" s="100">
        <f t="shared" si="4"/>
        <v>0</v>
      </c>
    </row>
    <row r="277" spans="1:1" x14ac:dyDescent="0.35">
      <c r="A277" s="100">
        <f t="shared" si="4"/>
        <v>0</v>
      </c>
    </row>
    <row r="278" spans="1:1" x14ac:dyDescent="0.35">
      <c r="A278" s="100">
        <f t="shared" si="4"/>
        <v>0</v>
      </c>
    </row>
    <row r="279" spans="1:1" x14ac:dyDescent="0.35">
      <c r="A279" s="100">
        <f t="shared" si="4"/>
        <v>0</v>
      </c>
    </row>
    <row r="280" spans="1:1" x14ac:dyDescent="0.35">
      <c r="A280" s="100">
        <f t="shared" si="4"/>
        <v>0</v>
      </c>
    </row>
    <row r="281" spans="1:1" x14ac:dyDescent="0.35">
      <c r="A281" s="100">
        <f t="shared" si="4"/>
        <v>0</v>
      </c>
    </row>
    <row r="282" spans="1:1" x14ac:dyDescent="0.35">
      <c r="A282" s="100">
        <f t="shared" si="4"/>
        <v>0</v>
      </c>
    </row>
    <row r="283" spans="1:1" x14ac:dyDescent="0.35">
      <c r="A283" s="100">
        <f t="shared" si="4"/>
        <v>0</v>
      </c>
    </row>
    <row r="284" spans="1:1" x14ac:dyDescent="0.35">
      <c r="A284" s="100">
        <f t="shared" si="4"/>
        <v>0</v>
      </c>
    </row>
    <row r="285" spans="1:1" x14ac:dyDescent="0.35">
      <c r="A285" s="100">
        <f t="shared" si="4"/>
        <v>0</v>
      </c>
    </row>
    <row r="286" spans="1:1" x14ac:dyDescent="0.35">
      <c r="A286" s="100">
        <f t="shared" si="4"/>
        <v>0</v>
      </c>
    </row>
    <row r="287" spans="1:1" x14ac:dyDescent="0.35">
      <c r="A287" s="100">
        <f t="shared" si="4"/>
        <v>0</v>
      </c>
    </row>
    <row r="288" spans="1:1" x14ac:dyDescent="0.35">
      <c r="A288" s="100">
        <f t="shared" si="4"/>
        <v>0</v>
      </c>
    </row>
    <row r="289" spans="1:1" x14ac:dyDescent="0.35">
      <c r="A289" s="100">
        <f t="shared" si="4"/>
        <v>0</v>
      </c>
    </row>
    <row r="290" spans="1:1" x14ac:dyDescent="0.35">
      <c r="A290" s="100">
        <f t="shared" si="4"/>
        <v>0</v>
      </c>
    </row>
    <row r="291" spans="1:1" x14ac:dyDescent="0.35">
      <c r="A291" s="100">
        <f t="shared" si="4"/>
        <v>0</v>
      </c>
    </row>
    <row r="292" spans="1:1" x14ac:dyDescent="0.35">
      <c r="A292" s="100">
        <f t="shared" si="4"/>
        <v>0</v>
      </c>
    </row>
    <row r="293" spans="1:1" x14ac:dyDescent="0.35">
      <c r="A293" s="100">
        <f t="shared" si="4"/>
        <v>0</v>
      </c>
    </row>
    <row r="294" spans="1:1" x14ac:dyDescent="0.35">
      <c r="A294" s="100">
        <f t="shared" si="4"/>
        <v>0</v>
      </c>
    </row>
    <row r="295" spans="1:1" x14ac:dyDescent="0.35">
      <c r="A295" s="100">
        <f t="shared" si="4"/>
        <v>0</v>
      </c>
    </row>
    <row r="296" spans="1:1" x14ac:dyDescent="0.35">
      <c r="A296" s="100">
        <f t="shared" si="4"/>
        <v>0</v>
      </c>
    </row>
    <row r="297" spans="1:1" x14ac:dyDescent="0.35">
      <c r="A297" s="100">
        <f t="shared" si="4"/>
        <v>0</v>
      </c>
    </row>
    <row r="298" spans="1:1" x14ac:dyDescent="0.35">
      <c r="A298" s="100">
        <f t="shared" si="4"/>
        <v>0</v>
      </c>
    </row>
    <row r="299" spans="1:1" x14ac:dyDescent="0.35">
      <c r="A299" s="100">
        <f t="shared" si="4"/>
        <v>0</v>
      </c>
    </row>
    <row r="300" spans="1:1" x14ac:dyDescent="0.35">
      <c r="A300" s="100">
        <f t="shared" si="4"/>
        <v>0</v>
      </c>
    </row>
    <row r="301" spans="1:1" x14ac:dyDescent="0.35">
      <c r="A301" s="100">
        <f t="shared" si="4"/>
        <v>0</v>
      </c>
    </row>
    <row r="302" spans="1:1" x14ac:dyDescent="0.35">
      <c r="A302" s="100">
        <f t="shared" si="4"/>
        <v>0</v>
      </c>
    </row>
    <row r="303" spans="1:1" x14ac:dyDescent="0.35">
      <c r="A303" s="100">
        <f t="shared" si="4"/>
        <v>0</v>
      </c>
    </row>
    <row r="304" spans="1:1" x14ac:dyDescent="0.35">
      <c r="A304" s="100">
        <f t="shared" si="4"/>
        <v>0</v>
      </c>
    </row>
    <row r="305" spans="1:1" x14ac:dyDescent="0.35">
      <c r="A305" s="100">
        <f t="shared" si="4"/>
        <v>0</v>
      </c>
    </row>
    <row r="306" spans="1:1" x14ac:dyDescent="0.35">
      <c r="A306" s="100">
        <f t="shared" si="4"/>
        <v>0</v>
      </c>
    </row>
    <row r="307" spans="1:1" x14ac:dyDescent="0.35">
      <c r="A307" s="100">
        <f t="shared" si="4"/>
        <v>0</v>
      </c>
    </row>
    <row r="308" spans="1:1" x14ac:dyDescent="0.35">
      <c r="A308" s="100">
        <f t="shared" si="4"/>
        <v>0</v>
      </c>
    </row>
    <row r="309" spans="1:1" x14ac:dyDescent="0.35">
      <c r="A309" s="100">
        <f t="shared" si="4"/>
        <v>0</v>
      </c>
    </row>
    <row r="310" spans="1:1" x14ac:dyDescent="0.35">
      <c r="A310" s="100">
        <f t="shared" si="4"/>
        <v>0</v>
      </c>
    </row>
    <row r="311" spans="1:1" x14ac:dyDescent="0.35">
      <c r="A311" s="100">
        <f t="shared" si="4"/>
        <v>0</v>
      </c>
    </row>
    <row r="312" spans="1:1" x14ac:dyDescent="0.35">
      <c r="A312" s="100">
        <f t="shared" si="4"/>
        <v>0</v>
      </c>
    </row>
    <row r="313" spans="1:1" x14ac:dyDescent="0.35">
      <c r="A313" s="100">
        <f t="shared" si="4"/>
        <v>0</v>
      </c>
    </row>
    <row r="314" spans="1:1" x14ac:dyDescent="0.35">
      <c r="A314" s="100">
        <f t="shared" si="4"/>
        <v>0</v>
      </c>
    </row>
    <row r="315" spans="1:1" x14ac:dyDescent="0.35">
      <c r="A315" s="100">
        <f t="shared" si="4"/>
        <v>0</v>
      </c>
    </row>
    <row r="316" spans="1:1" x14ac:dyDescent="0.35">
      <c r="A316" s="100">
        <f t="shared" si="4"/>
        <v>0</v>
      </c>
    </row>
    <row r="317" spans="1:1" x14ac:dyDescent="0.35">
      <c r="A317" s="100">
        <f t="shared" si="4"/>
        <v>0</v>
      </c>
    </row>
    <row r="318" spans="1:1" x14ac:dyDescent="0.35">
      <c r="A318" s="100">
        <f t="shared" si="4"/>
        <v>0</v>
      </c>
    </row>
    <row r="319" spans="1:1" x14ac:dyDescent="0.35">
      <c r="A319" s="100">
        <f t="shared" si="4"/>
        <v>0</v>
      </c>
    </row>
    <row r="320" spans="1:1" x14ac:dyDescent="0.35">
      <c r="A320" s="100">
        <f t="shared" si="4"/>
        <v>0</v>
      </c>
    </row>
    <row r="321" spans="1:1" x14ac:dyDescent="0.35">
      <c r="A321" s="100">
        <f t="shared" si="4"/>
        <v>0</v>
      </c>
    </row>
    <row r="322" spans="1:1" x14ac:dyDescent="0.35">
      <c r="A322" s="100">
        <f t="shared" si="4"/>
        <v>0</v>
      </c>
    </row>
    <row r="323" spans="1:1" x14ac:dyDescent="0.35">
      <c r="A323" s="100">
        <f t="shared" si="4"/>
        <v>0</v>
      </c>
    </row>
    <row r="324" spans="1:1" x14ac:dyDescent="0.35">
      <c r="A324" s="100">
        <f t="shared" ref="A324:A387" si="5">IF(LEN(B324)=8,LEFT(B324,1),0)</f>
        <v>0</v>
      </c>
    </row>
    <row r="325" spans="1:1" x14ac:dyDescent="0.35">
      <c r="A325" s="100">
        <f t="shared" si="5"/>
        <v>0</v>
      </c>
    </row>
    <row r="326" spans="1:1" x14ac:dyDescent="0.35">
      <c r="A326" s="100">
        <f t="shared" si="5"/>
        <v>0</v>
      </c>
    </row>
    <row r="327" spans="1:1" x14ac:dyDescent="0.35">
      <c r="A327" s="100">
        <f t="shared" si="5"/>
        <v>0</v>
      </c>
    </row>
    <row r="328" spans="1:1" x14ac:dyDescent="0.35">
      <c r="A328" s="100">
        <f t="shared" si="5"/>
        <v>0</v>
      </c>
    </row>
    <row r="329" spans="1:1" x14ac:dyDescent="0.35">
      <c r="A329" s="100">
        <f t="shared" si="5"/>
        <v>0</v>
      </c>
    </row>
    <row r="330" spans="1:1" x14ac:dyDescent="0.35">
      <c r="A330" s="100">
        <f t="shared" si="5"/>
        <v>0</v>
      </c>
    </row>
    <row r="331" spans="1:1" x14ac:dyDescent="0.35">
      <c r="A331" s="100">
        <f t="shared" si="5"/>
        <v>0</v>
      </c>
    </row>
    <row r="332" spans="1:1" x14ac:dyDescent="0.35">
      <c r="A332" s="100">
        <f t="shared" si="5"/>
        <v>0</v>
      </c>
    </row>
    <row r="333" spans="1:1" x14ac:dyDescent="0.35">
      <c r="A333" s="100">
        <f t="shared" si="5"/>
        <v>0</v>
      </c>
    </row>
    <row r="334" spans="1:1" x14ac:dyDescent="0.35">
      <c r="A334" s="100">
        <f t="shared" si="5"/>
        <v>0</v>
      </c>
    </row>
    <row r="335" spans="1:1" x14ac:dyDescent="0.35">
      <c r="A335" s="100">
        <f t="shared" si="5"/>
        <v>0</v>
      </c>
    </row>
    <row r="336" spans="1:1" x14ac:dyDescent="0.35">
      <c r="A336" s="100">
        <f t="shared" si="5"/>
        <v>0</v>
      </c>
    </row>
    <row r="337" spans="1:1" x14ac:dyDescent="0.35">
      <c r="A337" s="100">
        <f t="shared" si="5"/>
        <v>0</v>
      </c>
    </row>
    <row r="338" spans="1:1" x14ac:dyDescent="0.35">
      <c r="A338" s="100">
        <f t="shared" si="5"/>
        <v>0</v>
      </c>
    </row>
    <row r="339" spans="1:1" x14ac:dyDescent="0.35">
      <c r="A339" s="100">
        <f t="shared" si="5"/>
        <v>0</v>
      </c>
    </row>
    <row r="340" spans="1:1" x14ac:dyDescent="0.35">
      <c r="A340" s="100">
        <f t="shared" si="5"/>
        <v>0</v>
      </c>
    </row>
    <row r="341" spans="1:1" x14ac:dyDescent="0.35">
      <c r="A341" s="100">
        <f t="shared" si="5"/>
        <v>0</v>
      </c>
    </row>
    <row r="342" spans="1:1" x14ac:dyDescent="0.35">
      <c r="A342" s="100">
        <f t="shared" si="5"/>
        <v>0</v>
      </c>
    </row>
    <row r="343" spans="1:1" x14ac:dyDescent="0.35">
      <c r="A343" s="100">
        <f t="shared" si="5"/>
        <v>0</v>
      </c>
    </row>
    <row r="344" spans="1:1" x14ac:dyDescent="0.35">
      <c r="A344" s="100">
        <f t="shared" si="5"/>
        <v>0</v>
      </c>
    </row>
    <row r="345" spans="1:1" x14ac:dyDescent="0.35">
      <c r="A345" s="100">
        <f t="shared" si="5"/>
        <v>0</v>
      </c>
    </row>
    <row r="346" spans="1:1" x14ac:dyDescent="0.35">
      <c r="A346" s="100">
        <f t="shared" si="5"/>
        <v>0</v>
      </c>
    </row>
    <row r="347" spans="1:1" x14ac:dyDescent="0.35">
      <c r="A347" s="100">
        <f t="shared" si="5"/>
        <v>0</v>
      </c>
    </row>
    <row r="348" spans="1:1" x14ac:dyDescent="0.35">
      <c r="A348" s="100">
        <f t="shared" si="5"/>
        <v>0</v>
      </c>
    </row>
    <row r="349" spans="1:1" x14ac:dyDescent="0.35">
      <c r="A349" s="100">
        <f t="shared" si="5"/>
        <v>0</v>
      </c>
    </row>
    <row r="350" spans="1:1" x14ac:dyDescent="0.35">
      <c r="A350" s="100">
        <f t="shared" si="5"/>
        <v>0</v>
      </c>
    </row>
    <row r="351" spans="1:1" x14ac:dyDescent="0.35">
      <c r="A351" s="100">
        <f t="shared" si="5"/>
        <v>0</v>
      </c>
    </row>
    <row r="352" spans="1:1" x14ac:dyDescent="0.35">
      <c r="A352" s="100">
        <f t="shared" si="5"/>
        <v>0</v>
      </c>
    </row>
    <row r="353" spans="1:1" x14ac:dyDescent="0.35">
      <c r="A353" s="100">
        <f t="shared" si="5"/>
        <v>0</v>
      </c>
    </row>
    <row r="354" spans="1:1" x14ac:dyDescent="0.35">
      <c r="A354" s="100">
        <f t="shared" si="5"/>
        <v>0</v>
      </c>
    </row>
    <row r="355" spans="1:1" x14ac:dyDescent="0.35">
      <c r="A355" s="100">
        <f t="shared" si="5"/>
        <v>0</v>
      </c>
    </row>
    <row r="356" spans="1:1" x14ac:dyDescent="0.35">
      <c r="A356" s="100">
        <f t="shared" si="5"/>
        <v>0</v>
      </c>
    </row>
    <row r="357" spans="1:1" x14ac:dyDescent="0.35">
      <c r="A357" s="100">
        <f t="shared" si="5"/>
        <v>0</v>
      </c>
    </row>
    <row r="358" spans="1:1" x14ac:dyDescent="0.35">
      <c r="A358" s="100">
        <f t="shared" si="5"/>
        <v>0</v>
      </c>
    </row>
    <row r="359" spans="1:1" x14ac:dyDescent="0.35">
      <c r="A359" s="100">
        <f t="shared" si="5"/>
        <v>0</v>
      </c>
    </row>
    <row r="360" spans="1:1" x14ac:dyDescent="0.35">
      <c r="A360" s="100">
        <f t="shared" si="5"/>
        <v>0</v>
      </c>
    </row>
    <row r="361" spans="1:1" x14ac:dyDescent="0.35">
      <c r="A361" s="100">
        <f t="shared" si="5"/>
        <v>0</v>
      </c>
    </row>
    <row r="362" spans="1:1" x14ac:dyDescent="0.35">
      <c r="A362" s="100">
        <f t="shared" si="5"/>
        <v>0</v>
      </c>
    </row>
    <row r="363" spans="1:1" x14ac:dyDescent="0.35">
      <c r="A363" s="100">
        <f t="shared" si="5"/>
        <v>0</v>
      </c>
    </row>
    <row r="364" spans="1:1" x14ac:dyDescent="0.35">
      <c r="A364" s="100">
        <f t="shared" si="5"/>
        <v>0</v>
      </c>
    </row>
    <row r="365" spans="1:1" x14ac:dyDescent="0.35">
      <c r="A365" s="100">
        <f t="shared" si="5"/>
        <v>0</v>
      </c>
    </row>
    <row r="366" spans="1:1" x14ac:dyDescent="0.35">
      <c r="A366" s="100">
        <f t="shared" si="5"/>
        <v>0</v>
      </c>
    </row>
    <row r="367" spans="1:1" x14ac:dyDescent="0.35">
      <c r="A367" s="100">
        <f t="shared" si="5"/>
        <v>0</v>
      </c>
    </row>
    <row r="368" spans="1:1" x14ac:dyDescent="0.35">
      <c r="A368" s="100">
        <f t="shared" si="5"/>
        <v>0</v>
      </c>
    </row>
    <row r="369" spans="1:1" x14ac:dyDescent="0.35">
      <c r="A369" s="100">
        <f t="shared" si="5"/>
        <v>0</v>
      </c>
    </row>
    <row r="370" spans="1:1" x14ac:dyDescent="0.35">
      <c r="A370" s="100">
        <f t="shared" si="5"/>
        <v>0</v>
      </c>
    </row>
    <row r="371" spans="1:1" x14ac:dyDescent="0.35">
      <c r="A371" s="100">
        <f t="shared" si="5"/>
        <v>0</v>
      </c>
    </row>
    <row r="372" spans="1:1" x14ac:dyDescent="0.35">
      <c r="A372" s="100">
        <f t="shared" si="5"/>
        <v>0</v>
      </c>
    </row>
    <row r="373" spans="1:1" x14ac:dyDescent="0.35">
      <c r="A373" s="100">
        <f t="shared" si="5"/>
        <v>0</v>
      </c>
    </row>
    <row r="374" spans="1:1" x14ac:dyDescent="0.35">
      <c r="A374" s="100">
        <f t="shared" si="5"/>
        <v>0</v>
      </c>
    </row>
    <row r="375" spans="1:1" x14ac:dyDescent="0.35">
      <c r="A375" s="100">
        <f t="shared" si="5"/>
        <v>0</v>
      </c>
    </row>
    <row r="376" spans="1:1" x14ac:dyDescent="0.35">
      <c r="A376" s="100">
        <f t="shared" si="5"/>
        <v>0</v>
      </c>
    </row>
    <row r="377" spans="1:1" x14ac:dyDescent="0.35">
      <c r="A377" s="100">
        <f t="shared" si="5"/>
        <v>0</v>
      </c>
    </row>
    <row r="378" spans="1:1" x14ac:dyDescent="0.35">
      <c r="A378" s="100">
        <f t="shared" si="5"/>
        <v>0</v>
      </c>
    </row>
    <row r="379" spans="1:1" x14ac:dyDescent="0.35">
      <c r="A379" s="100">
        <f t="shared" si="5"/>
        <v>0</v>
      </c>
    </row>
    <row r="380" spans="1:1" x14ac:dyDescent="0.35">
      <c r="A380" s="100">
        <f t="shared" si="5"/>
        <v>0</v>
      </c>
    </row>
    <row r="381" spans="1:1" x14ac:dyDescent="0.35">
      <c r="A381" s="100">
        <f t="shared" si="5"/>
        <v>0</v>
      </c>
    </row>
    <row r="382" spans="1:1" x14ac:dyDescent="0.35">
      <c r="A382" s="100">
        <f t="shared" si="5"/>
        <v>0</v>
      </c>
    </row>
    <row r="383" spans="1:1" x14ac:dyDescent="0.35">
      <c r="A383" s="100">
        <f t="shared" si="5"/>
        <v>0</v>
      </c>
    </row>
    <row r="384" spans="1:1" x14ac:dyDescent="0.35">
      <c r="A384" s="100">
        <f t="shared" si="5"/>
        <v>0</v>
      </c>
    </row>
    <row r="385" spans="1:1" x14ac:dyDescent="0.35">
      <c r="A385" s="100">
        <f t="shared" si="5"/>
        <v>0</v>
      </c>
    </row>
    <row r="386" spans="1:1" x14ac:dyDescent="0.35">
      <c r="A386" s="100">
        <f t="shared" si="5"/>
        <v>0</v>
      </c>
    </row>
    <row r="387" spans="1:1" x14ac:dyDescent="0.35">
      <c r="A387" s="100">
        <f t="shared" si="5"/>
        <v>0</v>
      </c>
    </row>
    <row r="388" spans="1:1" x14ac:dyDescent="0.35">
      <c r="A388" s="100">
        <f t="shared" ref="A388:A451" si="6">IF(LEN(B388)=8,LEFT(B388,1),0)</f>
        <v>0</v>
      </c>
    </row>
    <row r="389" spans="1:1" x14ac:dyDescent="0.35">
      <c r="A389" s="100">
        <f t="shared" si="6"/>
        <v>0</v>
      </c>
    </row>
    <row r="390" spans="1:1" x14ac:dyDescent="0.35">
      <c r="A390" s="100">
        <f t="shared" si="6"/>
        <v>0</v>
      </c>
    </row>
    <row r="391" spans="1:1" x14ac:dyDescent="0.35">
      <c r="A391" s="100">
        <f t="shared" si="6"/>
        <v>0</v>
      </c>
    </row>
    <row r="392" spans="1:1" x14ac:dyDescent="0.35">
      <c r="A392" s="100">
        <f t="shared" si="6"/>
        <v>0</v>
      </c>
    </row>
    <row r="393" spans="1:1" x14ac:dyDescent="0.35">
      <c r="A393" s="100">
        <f t="shared" si="6"/>
        <v>0</v>
      </c>
    </row>
    <row r="394" spans="1:1" x14ac:dyDescent="0.35">
      <c r="A394" s="100">
        <f t="shared" si="6"/>
        <v>0</v>
      </c>
    </row>
    <row r="395" spans="1:1" x14ac:dyDescent="0.35">
      <c r="A395" s="100">
        <f t="shared" si="6"/>
        <v>0</v>
      </c>
    </row>
    <row r="396" spans="1:1" x14ac:dyDescent="0.35">
      <c r="A396" s="100">
        <f t="shared" si="6"/>
        <v>0</v>
      </c>
    </row>
    <row r="397" spans="1:1" x14ac:dyDescent="0.35">
      <c r="A397" s="100">
        <f t="shared" si="6"/>
        <v>0</v>
      </c>
    </row>
    <row r="398" spans="1:1" x14ac:dyDescent="0.35">
      <c r="A398" s="100">
        <f t="shared" si="6"/>
        <v>0</v>
      </c>
    </row>
    <row r="399" spans="1:1" x14ac:dyDescent="0.35">
      <c r="A399" s="100">
        <f t="shared" si="6"/>
        <v>0</v>
      </c>
    </row>
    <row r="400" spans="1:1" x14ac:dyDescent="0.35">
      <c r="A400" s="100">
        <f t="shared" si="6"/>
        <v>0</v>
      </c>
    </row>
    <row r="401" spans="1:1" x14ac:dyDescent="0.35">
      <c r="A401" s="100">
        <f t="shared" si="6"/>
        <v>0</v>
      </c>
    </row>
    <row r="402" spans="1:1" x14ac:dyDescent="0.35">
      <c r="A402" s="100">
        <f t="shared" si="6"/>
        <v>0</v>
      </c>
    </row>
    <row r="403" spans="1:1" x14ac:dyDescent="0.35">
      <c r="A403" s="100">
        <f t="shared" si="6"/>
        <v>0</v>
      </c>
    </row>
    <row r="404" spans="1:1" x14ac:dyDescent="0.35">
      <c r="A404" s="100">
        <f t="shared" si="6"/>
        <v>0</v>
      </c>
    </row>
    <row r="405" spans="1:1" x14ac:dyDescent="0.35">
      <c r="A405" s="100">
        <f t="shared" si="6"/>
        <v>0</v>
      </c>
    </row>
    <row r="406" spans="1:1" x14ac:dyDescent="0.35">
      <c r="A406" s="100">
        <f t="shared" si="6"/>
        <v>0</v>
      </c>
    </row>
    <row r="407" spans="1:1" x14ac:dyDescent="0.35">
      <c r="A407" s="100">
        <f t="shared" si="6"/>
        <v>0</v>
      </c>
    </row>
    <row r="408" spans="1:1" x14ac:dyDescent="0.35">
      <c r="A408" s="100">
        <f t="shared" si="6"/>
        <v>0</v>
      </c>
    </row>
    <row r="409" spans="1:1" x14ac:dyDescent="0.35">
      <c r="A409" s="100">
        <f t="shared" si="6"/>
        <v>0</v>
      </c>
    </row>
    <row r="410" spans="1:1" x14ac:dyDescent="0.35">
      <c r="A410" s="100">
        <f t="shared" si="6"/>
        <v>0</v>
      </c>
    </row>
    <row r="411" spans="1:1" x14ac:dyDescent="0.35">
      <c r="A411" s="100">
        <f t="shared" si="6"/>
        <v>0</v>
      </c>
    </row>
    <row r="412" spans="1:1" x14ac:dyDescent="0.35">
      <c r="A412" s="100">
        <f t="shared" si="6"/>
        <v>0</v>
      </c>
    </row>
    <row r="413" spans="1:1" x14ac:dyDescent="0.35">
      <c r="A413" s="100">
        <f t="shared" si="6"/>
        <v>0</v>
      </c>
    </row>
    <row r="414" spans="1:1" x14ac:dyDescent="0.35">
      <c r="A414" s="100">
        <f t="shared" si="6"/>
        <v>0</v>
      </c>
    </row>
    <row r="415" spans="1:1" x14ac:dyDescent="0.35">
      <c r="A415" s="100">
        <f t="shared" si="6"/>
        <v>0</v>
      </c>
    </row>
    <row r="416" spans="1:1" x14ac:dyDescent="0.35">
      <c r="A416" s="100">
        <f t="shared" si="6"/>
        <v>0</v>
      </c>
    </row>
    <row r="417" spans="1:1" x14ac:dyDescent="0.35">
      <c r="A417" s="100">
        <f t="shared" si="6"/>
        <v>0</v>
      </c>
    </row>
    <row r="418" spans="1:1" x14ac:dyDescent="0.35">
      <c r="A418" s="100">
        <f t="shared" si="6"/>
        <v>0</v>
      </c>
    </row>
    <row r="419" spans="1:1" x14ac:dyDescent="0.35">
      <c r="A419" s="100">
        <f t="shared" si="6"/>
        <v>0</v>
      </c>
    </row>
    <row r="420" spans="1:1" x14ac:dyDescent="0.35">
      <c r="A420" s="100">
        <f t="shared" si="6"/>
        <v>0</v>
      </c>
    </row>
    <row r="421" spans="1:1" x14ac:dyDescent="0.35">
      <c r="A421" s="100">
        <f t="shared" si="6"/>
        <v>0</v>
      </c>
    </row>
    <row r="422" spans="1:1" x14ac:dyDescent="0.35">
      <c r="A422" s="100">
        <f t="shared" si="6"/>
        <v>0</v>
      </c>
    </row>
    <row r="423" spans="1:1" x14ac:dyDescent="0.35">
      <c r="A423" s="100">
        <f t="shared" si="6"/>
        <v>0</v>
      </c>
    </row>
    <row r="424" spans="1:1" x14ac:dyDescent="0.35">
      <c r="A424" s="100">
        <f t="shared" si="6"/>
        <v>0</v>
      </c>
    </row>
    <row r="425" spans="1:1" x14ac:dyDescent="0.35">
      <c r="A425" s="100">
        <f t="shared" si="6"/>
        <v>0</v>
      </c>
    </row>
    <row r="426" spans="1:1" x14ac:dyDescent="0.35">
      <c r="A426" s="100">
        <f t="shared" si="6"/>
        <v>0</v>
      </c>
    </row>
    <row r="427" spans="1:1" x14ac:dyDescent="0.35">
      <c r="A427" s="100">
        <f t="shared" si="6"/>
        <v>0</v>
      </c>
    </row>
    <row r="428" spans="1:1" x14ac:dyDescent="0.35">
      <c r="A428" s="100">
        <f t="shared" si="6"/>
        <v>0</v>
      </c>
    </row>
    <row r="429" spans="1:1" x14ac:dyDescent="0.35">
      <c r="A429" s="100">
        <f t="shared" si="6"/>
        <v>0</v>
      </c>
    </row>
    <row r="430" spans="1:1" x14ac:dyDescent="0.35">
      <c r="A430" s="100">
        <f t="shared" si="6"/>
        <v>0</v>
      </c>
    </row>
    <row r="431" spans="1:1" x14ac:dyDescent="0.35">
      <c r="A431" s="100">
        <f t="shared" si="6"/>
        <v>0</v>
      </c>
    </row>
    <row r="432" spans="1:1" x14ac:dyDescent="0.35">
      <c r="A432" s="100">
        <f t="shared" si="6"/>
        <v>0</v>
      </c>
    </row>
    <row r="433" spans="1:1" x14ac:dyDescent="0.35">
      <c r="A433" s="100">
        <f t="shared" si="6"/>
        <v>0</v>
      </c>
    </row>
    <row r="434" spans="1:1" x14ac:dyDescent="0.35">
      <c r="A434" s="100">
        <f t="shared" si="6"/>
        <v>0</v>
      </c>
    </row>
    <row r="435" spans="1:1" x14ac:dyDescent="0.35">
      <c r="A435" s="100">
        <f t="shared" si="6"/>
        <v>0</v>
      </c>
    </row>
    <row r="436" spans="1:1" x14ac:dyDescent="0.35">
      <c r="A436" s="100">
        <f t="shared" si="6"/>
        <v>0</v>
      </c>
    </row>
    <row r="437" spans="1:1" x14ac:dyDescent="0.35">
      <c r="A437" s="100">
        <f t="shared" si="6"/>
        <v>0</v>
      </c>
    </row>
    <row r="438" spans="1:1" x14ac:dyDescent="0.35">
      <c r="A438" s="100">
        <f t="shared" si="6"/>
        <v>0</v>
      </c>
    </row>
    <row r="439" spans="1:1" x14ac:dyDescent="0.35">
      <c r="A439" s="100">
        <f t="shared" si="6"/>
        <v>0</v>
      </c>
    </row>
    <row r="440" spans="1:1" x14ac:dyDescent="0.35">
      <c r="A440" s="100">
        <f t="shared" si="6"/>
        <v>0</v>
      </c>
    </row>
    <row r="441" spans="1:1" x14ac:dyDescent="0.35">
      <c r="A441" s="100">
        <f t="shared" si="6"/>
        <v>0</v>
      </c>
    </row>
    <row r="442" spans="1:1" x14ac:dyDescent="0.35">
      <c r="A442" s="100">
        <f t="shared" si="6"/>
        <v>0</v>
      </c>
    </row>
    <row r="443" spans="1:1" x14ac:dyDescent="0.35">
      <c r="A443" s="100">
        <f t="shared" si="6"/>
        <v>0</v>
      </c>
    </row>
    <row r="444" spans="1:1" x14ac:dyDescent="0.35">
      <c r="A444" s="100">
        <f t="shared" si="6"/>
        <v>0</v>
      </c>
    </row>
    <row r="445" spans="1:1" x14ac:dyDescent="0.35">
      <c r="A445" s="100">
        <f t="shared" si="6"/>
        <v>0</v>
      </c>
    </row>
    <row r="446" spans="1:1" x14ac:dyDescent="0.35">
      <c r="A446" s="100">
        <f t="shared" si="6"/>
        <v>0</v>
      </c>
    </row>
    <row r="447" spans="1:1" x14ac:dyDescent="0.35">
      <c r="A447" s="100">
        <f t="shared" si="6"/>
        <v>0</v>
      </c>
    </row>
    <row r="448" spans="1:1" x14ac:dyDescent="0.35">
      <c r="A448" s="100">
        <f t="shared" si="6"/>
        <v>0</v>
      </c>
    </row>
    <row r="449" spans="1:1" x14ac:dyDescent="0.35">
      <c r="A449" s="100">
        <f t="shared" si="6"/>
        <v>0</v>
      </c>
    </row>
    <row r="450" spans="1:1" x14ac:dyDescent="0.35">
      <c r="A450" s="100">
        <f t="shared" si="6"/>
        <v>0</v>
      </c>
    </row>
    <row r="451" spans="1:1" x14ac:dyDescent="0.35">
      <c r="A451" s="100">
        <f t="shared" si="6"/>
        <v>0</v>
      </c>
    </row>
    <row r="452" spans="1:1" x14ac:dyDescent="0.35">
      <c r="A452" s="100">
        <f t="shared" ref="A452:A515" si="7">IF(LEN(B452)=8,LEFT(B452,1),0)</f>
        <v>0</v>
      </c>
    </row>
    <row r="453" spans="1:1" x14ac:dyDescent="0.35">
      <c r="A453" s="100">
        <f t="shared" si="7"/>
        <v>0</v>
      </c>
    </row>
    <row r="454" spans="1:1" x14ac:dyDescent="0.35">
      <c r="A454" s="100">
        <f t="shared" si="7"/>
        <v>0</v>
      </c>
    </row>
    <row r="455" spans="1:1" x14ac:dyDescent="0.35">
      <c r="A455" s="100">
        <f t="shared" si="7"/>
        <v>0</v>
      </c>
    </row>
    <row r="456" spans="1:1" x14ac:dyDescent="0.35">
      <c r="A456" s="100">
        <f t="shared" si="7"/>
        <v>0</v>
      </c>
    </row>
    <row r="457" spans="1:1" x14ac:dyDescent="0.35">
      <c r="A457" s="100">
        <f t="shared" si="7"/>
        <v>0</v>
      </c>
    </row>
    <row r="458" spans="1:1" x14ac:dyDescent="0.35">
      <c r="A458" s="100">
        <f t="shared" si="7"/>
        <v>0</v>
      </c>
    </row>
    <row r="459" spans="1:1" x14ac:dyDescent="0.35">
      <c r="A459" s="100">
        <f t="shared" si="7"/>
        <v>0</v>
      </c>
    </row>
    <row r="460" spans="1:1" x14ac:dyDescent="0.35">
      <c r="A460" s="100">
        <f t="shared" si="7"/>
        <v>0</v>
      </c>
    </row>
    <row r="461" spans="1:1" x14ac:dyDescent="0.35">
      <c r="A461" s="100">
        <f t="shared" si="7"/>
        <v>0</v>
      </c>
    </row>
    <row r="462" spans="1:1" x14ac:dyDescent="0.35">
      <c r="A462" s="100">
        <f t="shared" si="7"/>
        <v>0</v>
      </c>
    </row>
    <row r="463" spans="1:1" x14ac:dyDescent="0.35">
      <c r="A463" s="100">
        <f t="shared" si="7"/>
        <v>0</v>
      </c>
    </row>
    <row r="464" spans="1:1" x14ac:dyDescent="0.35">
      <c r="A464" s="100">
        <f t="shared" si="7"/>
        <v>0</v>
      </c>
    </row>
    <row r="465" spans="1:1" x14ac:dyDescent="0.35">
      <c r="A465" s="100">
        <f t="shared" si="7"/>
        <v>0</v>
      </c>
    </row>
    <row r="466" spans="1:1" x14ac:dyDescent="0.35">
      <c r="A466" s="100">
        <f t="shared" si="7"/>
        <v>0</v>
      </c>
    </row>
    <row r="467" spans="1:1" x14ac:dyDescent="0.35">
      <c r="A467" s="100">
        <f t="shared" si="7"/>
        <v>0</v>
      </c>
    </row>
    <row r="468" spans="1:1" x14ac:dyDescent="0.35">
      <c r="A468" s="100">
        <f t="shared" si="7"/>
        <v>0</v>
      </c>
    </row>
    <row r="469" spans="1:1" x14ac:dyDescent="0.35">
      <c r="A469" s="100">
        <f t="shared" si="7"/>
        <v>0</v>
      </c>
    </row>
    <row r="470" spans="1:1" x14ac:dyDescent="0.35">
      <c r="A470" s="100">
        <f t="shared" si="7"/>
        <v>0</v>
      </c>
    </row>
    <row r="471" spans="1:1" x14ac:dyDescent="0.35">
      <c r="A471" s="100">
        <f t="shared" si="7"/>
        <v>0</v>
      </c>
    </row>
    <row r="472" spans="1:1" x14ac:dyDescent="0.35">
      <c r="A472" s="100">
        <f t="shared" si="7"/>
        <v>0</v>
      </c>
    </row>
    <row r="473" spans="1:1" x14ac:dyDescent="0.35">
      <c r="A473" s="100">
        <f t="shared" si="7"/>
        <v>0</v>
      </c>
    </row>
    <row r="474" spans="1:1" x14ac:dyDescent="0.35">
      <c r="A474" s="100">
        <f t="shared" si="7"/>
        <v>0</v>
      </c>
    </row>
    <row r="475" spans="1:1" x14ac:dyDescent="0.35">
      <c r="A475" s="100">
        <f t="shared" si="7"/>
        <v>0</v>
      </c>
    </row>
    <row r="476" spans="1:1" x14ac:dyDescent="0.35">
      <c r="A476" s="100">
        <f t="shared" si="7"/>
        <v>0</v>
      </c>
    </row>
    <row r="477" spans="1:1" x14ac:dyDescent="0.35">
      <c r="A477" s="100">
        <f t="shared" si="7"/>
        <v>0</v>
      </c>
    </row>
    <row r="478" spans="1:1" x14ac:dyDescent="0.35">
      <c r="A478" s="100">
        <f t="shared" si="7"/>
        <v>0</v>
      </c>
    </row>
    <row r="479" spans="1:1" x14ac:dyDescent="0.35">
      <c r="A479" s="100">
        <f t="shared" si="7"/>
        <v>0</v>
      </c>
    </row>
    <row r="480" spans="1:1" x14ac:dyDescent="0.35">
      <c r="A480" s="100">
        <f t="shared" si="7"/>
        <v>0</v>
      </c>
    </row>
    <row r="481" spans="1:1" x14ac:dyDescent="0.35">
      <c r="A481" s="100">
        <f t="shared" si="7"/>
        <v>0</v>
      </c>
    </row>
    <row r="482" spans="1:1" x14ac:dyDescent="0.35">
      <c r="A482" s="100">
        <f t="shared" si="7"/>
        <v>0</v>
      </c>
    </row>
    <row r="483" spans="1:1" x14ac:dyDescent="0.35">
      <c r="A483" s="100">
        <f t="shared" si="7"/>
        <v>0</v>
      </c>
    </row>
    <row r="484" spans="1:1" x14ac:dyDescent="0.35">
      <c r="A484" s="100">
        <f t="shared" si="7"/>
        <v>0</v>
      </c>
    </row>
    <row r="485" spans="1:1" x14ac:dyDescent="0.35">
      <c r="A485" s="100">
        <f t="shared" si="7"/>
        <v>0</v>
      </c>
    </row>
    <row r="486" spans="1:1" x14ac:dyDescent="0.35">
      <c r="A486" s="100">
        <f t="shared" si="7"/>
        <v>0</v>
      </c>
    </row>
    <row r="487" spans="1:1" x14ac:dyDescent="0.35">
      <c r="A487" s="100">
        <f t="shared" si="7"/>
        <v>0</v>
      </c>
    </row>
    <row r="488" spans="1:1" x14ac:dyDescent="0.35">
      <c r="A488" s="100">
        <f t="shared" si="7"/>
        <v>0</v>
      </c>
    </row>
    <row r="489" spans="1:1" x14ac:dyDescent="0.35">
      <c r="A489" s="100">
        <f t="shared" si="7"/>
        <v>0</v>
      </c>
    </row>
    <row r="490" spans="1:1" x14ac:dyDescent="0.35">
      <c r="A490" s="100">
        <f t="shared" si="7"/>
        <v>0</v>
      </c>
    </row>
    <row r="491" spans="1:1" x14ac:dyDescent="0.35">
      <c r="A491" s="100">
        <f t="shared" si="7"/>
        <v>0</v>
      </c>
    </row>
    <row r="492" spans="1:1" x14ac:dyDescent="0.35">
      <c r="A492" s="100">
        <f t="shared" si="7"/>
        <v>0</v>
      </c>
    </row>
    <row r="493" spans="1:1" x14ac:dyDescent="0.35">
      <c r="A493" s="100">
        <f t="shared" si="7"/>
        <v>0</v>
      </c>
    </row>
    <row r="494" spans="1:1" x14ac:dyDescent="0.35">
      <c r="A494" s="100">
        <f t="shared" si="7"/>
        <v>0</v>
      </c>
    </row>
    <row r="495" spans="1:1" x14ac:dyDescent="0.35">
      <c r="A495" s="100">
        <f t="shared" si="7"/>
        <v>0</v>
      </c>
    </row>
    <row r="496" spans="1:1" x14ac:dyDescent="0.35">
      <c r="A496" s="100">
        <f t="shared" si="7"/>
        <v>0</v>
      </c>
    </row>
    <row r="497" spans="1:1" x14ac:dyDescent="0.35">
      <c r="A497" s="100">
        <f t="shared" si="7"/>
        <v>0</v>
      </c>
    </row>
    <row r="498" spans="1:1" x14ac:dyDescent="0.35">
      <c r="A498" s="100">
        <f t="shared" si="7"/>
        <v>0</v>
      </c>
    </row>
    <row r="499" spans="1:1" x14ac:dyDescent="0.35">
      <c r="A499" s="100">
        <f t="shared" si="7"/>
        <v>0</v>
      </c>
    </row>
    <row r="500" spans="1:1" x14ac:dyDescent="0.35">
      <c r="A500" s="100">
        <f t="shared" si="7"/>
        <v>0</v>
      </c>
    </row>
    <row r="501" spans="1:1" x14ac:dyDescent="0.35">
      <c r="A501" s="100">
        <f t="shared" si="7"/>
        <v>0</v>
      </c>
    </row>
    <row r="502" spans="1:1" x14ac:dyDescent="0.35">
      <c r="A502" s="100">
        <f t="shared" si="7"/>
        <v>0</v>
      </c>
    </row>
    <row r="503" spans="1:1" x14ac:dyDescent="0.35">
      <c r="A503" s="100">
        <f t="shared" si="7"/>
        <v>0</v>
      </c>
    </row>
    <row r="504" spans="1:1" x14ac:dyDescent="0.35">
      <c r="A504" s="100">
        <f t="shared" si="7"/>
        <v>0</v>
      </c>
    </row>
    <row r="505" spans="1:1" x14ac:dyDescent="0.35">
      <c r="A505" s="100">
        <f t="shared" si="7"/>
        <v>0</v>
      </c>
    </row>
    <row r="506" spans="1:1" x14ac:dyDescent="0.35">
      <c r="A506" s="100">
        <f t="shared" si="7"/>
        <v>0</v>
      </c>
    </row>
    <row r="507" spans="1:1" x14ac:dyDescent="0.35">
      <c r="A507" s="100">
        <f t="shared" si="7"/>
        <v>0</v>
      </c>
    </row>
    <row r="508" spans="1:1" x14ac:dyDescent="0.35">
      <c r="A508" s="100">
        <f t="shared" si="7"/>
        <v>0</v>
      </c>
    </row>
    <row r="509" spans="1:1" x14ac:dyDescent="0.35">
      <c r="A509" s="100">
        <f t="shared" si="7"/>
        <v>0</v>
      </c>
    </row>
    <row r="510" spans="1:1" x14ac:dyDescent="0.35">
      <c r="A510" s="100">
        <f t="shared" si="7"/>
        <v>0</v>
      </c>
    </row>
    <row r="511" spans="1:1" x14ac:dyDescent="0.35">
      <c r="A511" s="100">
        <f t="shared" si="7"/>
        <v>0</v>
      </c>
    </row>
    <row r="512" spans="1:1" x14ac:dyDescent="0.35">
      <c r="A512" s="100">
        <f t="shared" si="7"/>
        <v>0</v>
      </c>
    </row>
    <row r="513" spans="1:1" x14ac:dyDescent="0.35">
      <c r="A513" s="100">
        <f t="shared" si="7"/>
        <v>0</v>
      </c>
    </row>
    <row r="514" spans="1:1" x14ac:dyDescent="0.35">
      <c r="A514" s="100">
        <f t="shared" si="7"/>
        <v>0</v>
      </c>
    </row>
    <row r="515" spans="1:1" x14ac:dyDescent="0.35">
      <c r="A515" s="100">
        <f t="shared" si="7"/>
        <v>0</v>
      </c>
    </row>
    <row r="516" spans="1:1" x14ac:dyDescent="0.35">
      <c r="A516" s="100">
        <f t="shared" ref="A516:A579" si="8">IF(LEN(B516)=8,LEFT(B516,1),0)</f>
        <v>0</v>
      </c>
    </row>
    <row r="517" spans="1:1" x14ac:dyDescent="0.35">
      <c r="A517" s="100">
        <f t="shared" si="8"/>
        <v>0</v>
      </c>
    </row>
    <row r="518" spans="1:1" x14ac:dyDescent="0.35">
      <c r="A518" s="100">
        <f t="shared" si="8"/>
        <v>0</v>
      </c>
    </row>
    <row r="519" spans="1:1" x14ac:dyDescent="0.35">
      <c r="A519" s="100">
        <f t="shared" si="8"/>
        <v>0</v>
      </c>
    </row>
    <row r="520" spans="1:1" x14ac:dyDescent="0.35">
      <c r="A520" s="100">
        <f t="shared" si="8"/>
        <v>0</v>
      </c>
    </row>
    <row r="521" spans="1:1" x14ac:dyDescent="0.35">
      <c r="A521" s="100">
        <f t="shared" si="8"/>
        <v>0</v>
      </c>
    </row>
    <row r="522" spans="1:1" x14ac:dyDescent="0.35">
      <c r="A522" s="100">
        <f t="shared" si="8"/>
        <v>0</v>
      </c>
    </row>
    <row r="523" spans="1:1" x14ac:dyDescent="0.35">
      <c r="A523" s="100">
        <f t="shared" si="8"/>
        <v>0</v>
      </c>
    </row>
    <row r="524" spans="1:1" x14ac:dyDescent="0.35">
      <c r="A524" s="100">
        <f t="shared" si="8"/>
        <v>0</v>
      </c>
    </row>
    <row r="525" spans="1:1" x14ac:dyDescent="0.35">
      <c r="A525" s="100">
        <f t="shared" si="8"/>
        <v>0</v>
      </c>
    </row>
    <row r="526" spans="1:1" x14ac:dyDescent="0.35">
      <c r="A526" s="100">
        <f t="shared" si="8"/>
        <v>0</v>
      </c>
    </row>
    <row r="527" spans="1:1" x14ac:dyDescent="0.35">
      <c r="A527" s="100">
        <f t="shared" si="8"/>
        <v>0</v>
      </c>
    </row>
    <row r="528" spans="1:1" x14ac:dyDescent="0.35">
      <c r="A528" s="100">
        <f t="shared" si="8"/>
        <v>0</v>
      </c>
    </row>
    <row r="529" spans="1:1" x14ac:dyDescent="0.35">
      <c r="A529" s="100">
        <f t="shared" si="8"/>
        <v>0</v>
      </c>
    </row>
    <row r="530" spans="1:1" x14ac:dyDescent="0.35">
      <c r="A530" s="100">
        <f t="shared" si="8"/>
        <v>0</v>
      </c>
    </row>
    <row r="531" spans="1:1" x14ac:dyDescent="0.35">
      <c r="A531" s="100">
        <f t="shared" si="8"/>
        <v>0</v>
      </c>
    </row>
    <row r="532" spans="1:1" x14ac:dyDescent="0.35">
      <c r="A532" s="100">
        <f t="shared" si="8"/>
        <v>0</v>
      </c>
    </row>
    <row r="533" spans="1:1" x14ac:dyDescent="0.35">
      <c r="A533" s="100">
        <f t="shared" si="8"/>
        <v>0</v>
      </c>
    </row>
    <row r="534" spans="1:1" x14ac:dyDescent="0.35">
      <c r="A534" s="100">
        <f t="shared" si="8"/>
        <v>0</v>
      </c>
    </row>
    <row r="535" spans="1:1" x14ac:dyDescent="0.35">
      <c r="A535" s="100">
        <f t="shared" si="8"/>
        <v>0</v>
      </c>
    </row>
    <row r="536" spans="1:1" x14ac:dyDescent="0.35">
      <c r="A536" s="100">
        <f t="shared" si="8"/>
        <v>0</v>
      </c>
    </row>
    <row r="537" spans="1:1" x14ac:dyDescent="0.35">
      <c r="A537" s="100">
        <f t="shared" si="8"/>
        <v>0</v>
      </c>
    </row>
    <row r="538" spans="1:1" x14ac:dyDescent="0.35">
      <c r="A538" s="100">
        <f t="shared" si="8"/>
        <v>0</v>
      </c>
    </row>
    <row r="539" spans="1:1" x14ac:dyDescent="0.35">
      <c r="A539" s="100">
        <f t="shared" si="8"/>
        <v>0</v>
      </c>
    </row>
    <row r="540" spans="1:1" x14ac:dyDescent="0.35">
      <c r="A540" s="100">
        <f t="shared" si="8"/>
        <v>0</v>
      </c>
    </row>
    <row r="541" spans="1:1" x14ac:dyDescent="0.35">
      <c r="A541" s="100">
        <f t="shared" si="8"/>
        <v>0</v>
      </c>
    </row>
    <row r="542" spans="1:1" x14ac:dyDescent="0.35">
      <c r="A542" s="100">
        <f t="shared" si="8"/>
        <v>0</v>
      </c>
    </row>
    <row r="543" spans="1:1" x14ac:dyDescent="0.35">
      <c r="A543" s="100">
        <f t="shared" si="8"/>
        <v>0</v>
      </c>
    </row>
    <row r="544" spans="1:1" x14ac:dyDescent="0.35">
      <c r="A544" s="100">
        <f t="shared" si="8"/>
        <v>0</v>
      </c>
    </row>
    <row r="545" spans="1:1" x14ac:dyDescent="0.35">
      <c r="A545" s="100">
        <f t="shared" si="8"/>
        <v>0</v>
      </c>
    </row>
    <row r="546" spans="1:1" x14ac:dyDescent="0.35">
      <c r="A546" s="100">
        <f t="shared" si="8"/>
        <v>0</v>
      </c>
    </row>
    <row r="547" spans="1:1" x14ac:dyDescent="0.35">
      <c r="A547" s="100">
        <f t="shared" si="8"/>
        <v>0</v>
      </c>
    </row>
    <row r="548" spans="1:1" x14ac:dyDescent="0.35">
      <c r="A548" s="100">
        <f t="shared" si="8"/>
        <v>0</v>
      </c>
    </row>
    <row r="549" spans="1:1" x14ac:dyDescent="0.35">
      <c r="A549" s="100">
        <f t="shared" si="8"/>
        <v>0</v>
      </c>
    </row>
    <row r="550" spans="1:1" x14ac:dyDescent="0.35">
      <c r="A550" s="100">
        <f t="shared" si="8"/>
        <v>0</v>
      </c>
    </row>
    <row r="551" spans="1:1" x14ac:dyDescent="0.35">
      <c r="A551" s="100">
        <f t="shared" si="8"/>
        <v>0</v>
      </c>
    </row>
    <row r="552" spans="1:1" x14ac:dyDescent="0.35">
      <c r="A552" s="100">
        <f t="shared" si="8"/>
        <v>0</v>
      </c>
    </row>
    <row r="553" spans="1:1" x14ac:dyDescent="0.35">
      <c r="A553" s="100">
        <f t="shared" si="8"/>
        <v>0</v>
      </c>
    </row>
    <row r="554" spans="1:1" x14ac:dyDescent="0.35">
      <c r="A554" s="100">
        <f t="shared" si="8"/>
        <v>0</v>
      </c>
    </row>
    <row r="555" spans="1:1" x14ac:dyDescent="0.35">
      <c r="A555" s="100">
        <f t="shared" si="8"/>
        <v>0</v>
      </c>
    </row>
    <row r="556" spans="1:1" x14ac:dyDescent="0.35">
      <c r="A556" s="100">
        <f t="shared" si="8"/>
        <v>0</v>
      </c>
    </row>
    <row r="557" spans="1:1" x14ac:dyDescent="0.35">
      <c r="A557" s="100">
        <f t="shared" si="8"/>
        <v>0</v>
      </c>
    </row>
    <row r="558" spans="1:1" x14ac:dyDescent="0.35">
      <c r="A558" s="100">
        <f t="shared" si="8"/>
        <v>0</v>
      </c>
    </row>
    <row r="559" spans="1:1" x14ac:dyDescent="0.35">
      <c r="A559" s="100">
        <f t="shared" si="8"/>
        <v>0</v>
      </c>
    </row>
    <row r="560" spans="1:1" x14ac:dyDescent="0.35">
      <c r="A560" s="100">
        <f t="shared" si="8"/>
        <v>0</v>
      </c>
    </row>
    <row r="561" spans="1:1" x14ac:dyDescent="0.35">
      <c r="A561" s="100">
        <f t="shared" si="8"/>
        <v>0</v>
      </c>
    </row>
    <row r="562" spans="1:1" x14ac:dyDescent="0.35">
      <c r="A562" s="100">
        <f t="shared" si="8"/>
        <v>0</v>
      </c>
    </row>
    <row r="563" spans="1:1" x14ac:dyDescent="0.35">
      <c r="A563" s="100">
        <f t="shared" si="8"/>
        <v>0</v>
      </c>
    </row>
    <row r="564" spans="1:1" x14ac:dyDescent="0.35">
      <c r="A564" s="100">
        <f t="shared" si="8"/>
        <v>0</v>
      </c>
    </row>
    <row r="565" spans="1:1" x14ac:dyDescent="0.35">
      <c r="A565" s="100">
        <f t="shared" si="8"/>
        <v>0</v>
      </c>
    </row>
    <row r="566" spans="1:1" x14ac:dyDescent="0.35">
      <c r="A566" s="100">
        <f t="shared" si="8"/>
        <v>0</v>
      </c>
    </row>
    <row r="567" spans="1:1" x14ac:dyDescent="0.35">
      <c r="A567" s="100">
        <f t="shared" si="8"/>
        <v>0</v>
      </c>
    </row>
    <row r="568" spans="1:1" x14ac:dyDescent="0.35">
      <c r="A568" s="100">
        <f t="shared" si="8"/>
        <v>0</v>
      </c>
    </row>
    <row r="569" spans="1:1" x14ac:dyDescent="0.35">
      <c r="A569" s="100">
        <f t="shared" si="8"/>
        <v>0</v>
      </c>
    </row>
    <row r="570" spans="1:1" x14ac:dyDescent="0.35">
      <c r="A570" s="100">
        <f t="shared" si="8"/>
        <v>0</v>
      </c>
    </row>
    <row r="571" spans="1:1" x14ac:dyDescent="0.35">
      <c r="A571" s="100">
        <f t="shared" si="8"/>
        <v>0</v>
      </c>
    </row>
    <row r="572" spans="1:1" x14ac:dyDescent="0.35">
      <c r="A572" s="100">
        <f t="shared" si="8"/>
        <v>0</v>
      </c>
    </row>
    <row r="573" spans="1:1" x14ac:dyDescent="0.35">
      <c r="A573" s="100">
        <f t="shared" si="8"/>
        <v>0</v>
      </c>
    </row>
    <row r="574" spans="1:1" x14ac:dyDescent="0.35">
      <c r="A574" s="100">
        <f t="shared" si="8"/>
        <v>0</v>
      </c>
    </row>
    <row r="575" spans="1:1" x14ac:dyDescent="0.35">
      <c r="A575" s="100">
        <f t="shared" si="8"/>
        <v>0</v>
      </c>
    </row>
    <row r="576" spans="1:1" x14ac:dyDescent="0.35">
      <c r="A576" s="100">
        <f t="shared" si="8"/>
        <v>0</v>
      </c>
    </row>
    <row r="577" spans="1:1" x14ac:dyDescent="0.35">
      <c r="A577" s="100">
        <f t="shared" si="8"/>
        <v>0</v>
      </c>
    </row>
    <row r="578" spans="1:1" x14ac:dyDescent="0.35">
      <c r="A578" s="100">
        <f t="shared" si="8"/>
        <v>0</v>
      </c>
    </row>
    <row r="579" spans="1:1" x14ac:dyDescent="0.35">
      <c r="A579" s="100">
        <f t="shared" si="8"/>
        <v>0</v>
      </c>
    </row>
    <row r="580" spans="1:1" x14ac:dyDescent="0.35">
      <c r="A580" s="100">
        <f t="shared" ref="A580:A625" si="9">IF(LEN(B580)=8,LEFT(B580,1),0)</f>
        <v>0</v>
      </c>
    </row>
    <row r="581" spans="1:1" x14ac:dyDescent="0.35">
      <c r="A581" s="100">
        <f t="shared" si="9"/>
        <v>0</v>
      </c>
    </row>
    <row r="582" spans="1:1" x14ac:dyDescent="0.35">
      <c r="A582" s="100">
        <f t="shared" si="9"/>
        <v>0</v>
      </c>
    </row>
    <row r="583" spans="1:1" x14ac:dyDescent="0.35">
      <c r="A583" s="100">
        <f t="shared" si="9"/>
        <v>0</v>
      </c>
    </row>
    <row r="584" spans="1:1" x14ac:dyDescent="0.35">
      <c r="A584" s="100">
        <f t="shared" si="9"/>
        <v>0</v>
      </c>
    </row>
    <row r="585" spans="1:1" x14ac:dyDescent="0.35">
      <c r="A585" s="100">
        <f t="shared" si="9"/>
        <v>0</v>
      </c>
    </row>
    <row r="586" spans="1:1" x14ac:dyDescent="0.35">
      <c r="A586" s="100">
        <f t="shared" si="9"/>
        <v>0</v>
      </c>
    </row>
    <row r="587" spans="1:1" x14ac:dyDescent="0.35">
      <c r="A587" s="100">
        <f t="shared" si="9"/>
        <v>0</v>
      </c>
    </row>
    <row r="588" spans="1:1" x14ac:dyDescent="0.35">
      <c r="A588" s="100">
        <f t="shared" si="9"/>
        <v>0</v>
      </c>
    </row>
    <row r="589" spans="1:1" x14ac:dyDescent="0.35">
      <c r="A589" s="100">
        <f t="shared" si="9"/>
        <v>0</v>
      </c>
    </row>
    <row r="590" spans="1:1" x14ac:dyDescent="0.35">
      <c r="A590" s="100">
        <f t="shared" si="9"/>
        <v>0</v>
      </c>
    </row>
    <row r="591" spans="1:1" x14ac:dyDescent="0.35">
      <c r="A591" s="100">
        <f t="shared" si="9"/>
        <v>0</v>
      </c>
    </row>
    <row r="592" spans="1:1" x14ac:dyDescent="0.35">
      <c r="A592" s="100">
        <f t="shared" si="9"/>
        <v>0</v>
      </c>
    </row>
    <row r="593" spans="1:1" x14ac:dyDescent="0.35">
      <c r="A593" s="100">
        <f t="shared" si="9"/>
        <v>0</v>
      </c>
    </row>
    <row r="594" spans="1:1" x14ac:dyDescent="0.35">
      <c r="A594" s="100">
        <f t="shared" si="9"/>
        <v>0</v>
      </c>
    </row>
    <row r="595" spans="1:1" x14ac:dyDescent="0.35">
      <c r="A595" s="100">
        <f t="shared" si="9"/>
        <v>0</v>
      </c>
    </row>
    <row r="596" spans="1:1" x14ac:dyDescent="0.35">
      <c r="A596" s="100">
        <f t="shared" si="9"/>
        <v>0</v>
      </c>
    </row>
    <row r="597" spans="1:1" x14ac:dyDescent="0.35">
      <c r="A597" s="100">
        <f t="shared" si="9"/>
        <v>0</v>
      </c>
    </row>
    <row r="598" spans="1:1" x14ac:dyDescent="0.35">
      <c r="A598" s="100">
        <f t="shared" si="9"/>
        <v>0</v>
      </c>
    </row>
    <row r="599" spans="1:1" x14ac:dyDescent="0.35">
      <c r="A599" s="100">
        <f t="shared" si="9"/>
        <v>0</v>
      </c>
    </row>
    <row r="600" spans="1:1" x14ac:dyDescent="0.35">
      <c r="A600" s="100">
        <f t="shared" si="9"/>
        <v>0</v>
      </c>
    </row>
    <row r="601" spans="1:1" x14ac:dyDescent="0.35">
      <c r="A601" s="100">
        <f t="shared" si="9"/>
        <v>0</v>
      </c>
    </row>
    <row r="602" spans="1:1" x14ac:dyDescent="0.35">
      <c r="A602" s="100">
        <f t="shared" si="9"/>
        <v>0</v>
      </c>
    </row>
    <row r="603" spans="1:1" x14ac:dyDescent="0.35">
      <c r="A603" s="100">
        <f t="shared" si="9"/>
        <v>0</v>
      </c>
    </row>
    <row r="604" spans="1:1" x14ac:dyDescent="0.35">
      <c r="A604" s="100">
        <f t="shared" si="9"/>
        <v>0</v>
      </c>
    </row>
    <row r="605" spans="1:1" x14ac:dyDescent="0.35">
      <c r="A605" s="100">
        <f t="shared" si="9"/>
        <v>0</v>
      </c>
    </row>
    <row r="606" spans="1:1" x14ac:dyDescent="0.35">
      <c r="A606" s="100">
        <f t="shared" si="9"/>
        <v>0</v>
      </c>
    </row>
    <row r="607" spans="1:1" x14ac:dyDescent="0.35">
      <c r="A607" s="100">
        <f t="shared" si="9"/>
        <v>0</v>
      </c>
    </row>
    <row r="608" spans="1:1" x14ac:dyDescent="0.35">
      <c r="A608" s="100">
        <f t="shared" si="9"/>
        <v>0</v>
      </c>
    </row>
    <row r="609" spans="1:1" x14ac:dyDescent="0.35">
      <c r="A609" s="100">
        <f t="shared" si="9"/>
        <v>0</v>
      </c>
    </row>
    <row r="610" spans="1:1" x14ac:dyDescent="0.35">
      <c r="A610" s="100">
        <f t="shared" si="9"/>
        <v>0</v>
      </c>
    </row>
    <row r="611" spans="1:1" x14ac:dyDescent="0.35">
      <c r="A611" s="100">
        <f t="shared" si="9"/>
        <v>0</v>
      </c>
    </row>
    <row r="612" spans="1:1" x14ac:dyDescent="0.35">
      <c r="A612" s="100">
        <f t="shared" si="9"/>
        <v>0</v>
      </c>
    </row>
    <row r="613" spans="1:1" x14ac:dyDescent="0.35">
      <c r="A613" s="100">
        <f t="shared" si="9"/>
        <v>0</v>
      </c>
    </row>
    <row r="614" spans="1:1" x14ac:dyDescent="0.35">
      <c r="A614" s="100">
        <f t="shared" si="9"/>
        <v>0</v>
      </c>
    </row>
    <row r="615" spans="1:1" x14ac:dyDescent="0.35">
      <c r="A615" s="100">
        <f t="shared" si="9"/>
        <v>0</v>
      </c>
    </row>
    <row r="616" spans="1:1" x14ac:dyDescent="0.35">
      <c r="A616" s="100">
        <f t="shared" si="9"/>
        <v>0</v>
      </c>
    </row>
    <row r="617" spans="1:1" x14ac:dyDescent="0.35">
      <c r="A617" s="100">
        <f t="shared" si="9"/>
        <v>0</v>
      </c>
    </row>
    <row r="618" spans="1:1" x14ac:dyDescent="0.35">
      <c r="A618" s="100">
        <f t="shared" si="9"/>
        <v>0</v>
      </c>
    </row>
    <row r="619" spans="1:1" x14ac:dyDescent="0.35">
      <c r="A619" s="100">
        <f t="shared" si="9"/>
        <v>0</v>
      </c>
    </row>
    <row r="620" spans="1:1" x14ac:dyDescent="0.35">
      <c r="A620" s="100">
        <f t="shared" si="9"/>
        <v>0</v>
      </c>
    </row>
    <row r="621" spans="1:1" x14ac:dyDescent="0.35">
      <c r="A621" s="100">
        <f t="shared" si="9"/>
        <v>0</v>
      </c>
    </row>
    <row r="622" spans="1:1" x14ac:dyDescent="0.35">
      <c r="A622" s="100">
        <f t="shared" si="9"/>
        <v>0</v>
      </c>
    </row>
    <row r="623" spans="1:1" x14ac:dyDescent="0.35">
      <c r="A623" s="100">
        <f t="shared" si="9"/>
        <v>0</v>
      </c>
    </row>
    <row r="624" spans="1:1" x14ac:dyDescent="0.35">
      <c r="A624" s="100">
        <f t="shared" si="9"/>
        <v>0</v>
      </c>
    </row>
    <row r="625" spans="1:1" x14ac:dyDescent="0.35">
      <c r="A625" s="100">
        <f t="shared" si="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5CCF-E5FE-47ED-862C-68C48697814A}">
  <dimension ref="A1:H625"/>
  <sheetViews>
    <sheetView showGridLines="0" topLeftCell="A151" workbookViewId="0">
      <selection activeCell="A151" sqref="A1:A1048576"/>
    </sheetView>
  </sheetViews>
  <sheetFormatPr defaultRowHeight="14.5" x14ac:dyDescent="0.35"/>
  <cols>
    <col min="1" max="1" width="1.90625" style="100" bestFit="1" customWidth="1"/>
    <col min="2" max="2" width="32.81640625" customWidth="1"/>
    <col min="3" max="3" width="21.7265625" bestFit="1" customWidth="1"/>
    <col min="4" max="4" width="13.26953125" bestFit="1" customWidth="1"/>
    <col min="5" max="6" width="11.54296875" bestFit="1" customWidth="1"/>
    <col min="7" max="7" width="11.1796875" bestFit="1" customWidth="1"/>
    <col min="8" max="8" width="13.453125" bestFit="1" customWidth="1"/>
  </cols>
  <sheetData>
    <row r="1" spans="1:8" x14ac:dyDescent="0.35">
      <c r="B1" s="96" t="s">
        <v>85</v>
      </c>
      <c r="C1" s="96"/>
      <c r="D1" s="96"/>
      <c r="E1" s="96"/>
      <c r="F1" s="96"/>
      <c r="G1" s="96"/>
      <c r="H1" s="96"/>
    </row>
    <row r="2" spans="1:8" x14ac:dyDescent="0.35">
      <c r="B2" s="6"/>
      <c r="C2" s="6" t="s">
        <v>87</v>
      </c>
      <c r="D2" s="7" t="s">
        <v>97</v>
      </c>
      <c r="E2" s="7" t="s">
        <v>97</v>
      </c>
      <c r="F2" s="7" t="s">
        <v>97</v>
      </c>
      <c r="G2" s="7" t="s">
        <v>97</v>
      </c>
      <c r="H2" s="7" t="s">
        <v>97</v>
      </c>
    </row>
    <row r="3" spans="1:8" x14ac:dyDescent="0.35">
      <c r="B3" s="6" t="s">
        <v>0</v>
      </c>
      <c r="C3" s="6" t="s">
        <v>86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</row>
    <row r="4" spans="1:8" x14ac:dyDescent="0.35">
      <c r="A4" s="101">
        <f t="shared" ref="A4:A67" si="0">IF(LEN(B4)=8,LEFT(B4,1),0)</f>
        <v>0</v>
      </c>
      <c r="B4" s="8" t="s">
        <v>98</v>
      </c>
      <c r="C4" s="9" t="s">
        <v>99</v>
      </c>
      <c r="D4" s="39">
        <v>-636846.24</v>
      </c>
      <c r="E4" s="39">
        <v>490521.67</v>
      </c>
      <c r="F4" s="39">
        <v>462323.14</v>
      </c>
      <c r="G4" s="39">
        <v>28198.53</v>
      </c>
      <c r="H4" s="40">
        <v>-608647.71</v>
      </c>
    </row>
    <row r="5" spans="1:8" x14ac:dyDescent="0.35">
      <c r="A5" s="101">
        <f t="shared" si="0"/>
        <v>0</v>
      </c>
      <c r="B5" s="10" t="s">
        <v>100</v>
      </c>
      <c r="C5" s="11" t="s">
        <v>101</v>
      </c>
      <c r="D5" s="39">
        <v>2082079.4</v>
      </c>
      <c r="E5" s="39">
        <v>225066.96</v>
      </c>
      <c r="F5" s="39">
        <v>218569.97</v>
      </c>
      <c r="G5" s="39">
        <v>6496.99</v>
      </c>
      <c r="H5" s="40">
        <v>2088576.39</v>
      </c>
    </row>
    <row r="6" spans="1:8" x14ac:dyDescent="0.35">
      <c r="A6" s="101">
        <f t="shared" si="0"/>
        <v>0</v>
      </c>
      <c r="B6" s="12" t="s">
        <v>102</v>
      </c>
      <c r="C6" s="13" t="s">
        <v>103</v>
      </c>
      <c r="D6" s="39">
        <v>1726523.83</v>
      </c>
      <c r="E6" s="39">
        <v>224538.28</v>
      </c>
      <c r="F6" s="39">
        <v>206930.18</v>
      </c>
      <c r="G6" s="39">
        <v>17608.099999999999</v>
      </c>
      <c r="H6" s="40">
        <v>1744131.93</v>
      </c>
    </row>
    <row r="7" spans="1:8" x14ac:dyDescent="0.35">
      <c r="A7" s="101">
        <f t="shared" si="0"/>
        <v>0</v>
      </c>
      <c r="B7" s="14" t="s">
        <v>104</v>
      </c>
      <c r="C7" s="15" t="s">
        <v>105</v>
      </c>
      <c r="D7" s="39">
        <v>93261.73</v>
      </c>
      <c r="E7" s="39">
        <v>203797.86</v>
      </c>
      <c r="F7" s="39">
        <v>186487.22</v>
      </c>
      <c r="G7" s="39">
        <v>17310.64</v>
      </c>
      <c r="H7" s="40">
        <v>110572.37</v>
      </c>
    </row>
    <row r="8" spans="1:8" x14ac:dyDescent="0.35">
      <c r="A8" s="100" t="str">
        <f t="shared" si="0"/>
        <v>C</v>
      </c>
      <c r="B8" s="16" t="s">
        <v>106</v>
      </c>
      <c r="C8" s="15" t="s">
        <v>107</v>
      </c>
      <c r="D8" s="39">
        <v>93261.73</v>
      </c>
      <c r="E8" s="39">
        <v>203797.86</v>
      </c>
      <c r="F8" s="39">
        <v>186487.22</v>
      </c>
      <c r="G8" s="39">
        <v>17310.64</v>
      </c>
      <c r="H8" s="40">
        <v>110572.37</v>
      </c>
    </row>
    <row r="9" spans="1:8" x14ac:dyDescent="0.35">
      <c r="A9" s="101">
        <f t="shared" si="0"/>
        <v>0</v>
      </c>
      <c r="B9" s="17" t="s">
        <v>108</v>
      </c>
      <c r="C9" s="15" t="s">
        <v>107</v>
      </c>
      <c r="D9" s="39">
        <v>93261.73</v>
      </c>
      <c r="E9" s="39">
        <v>203797.86</v>
      </c>
      <c r="F9" s="39">
        <v>186487.22</v>
      </c>
      <c r="G9" s="39">
        <v>17310.64</v>
      </c>
      <c r="H9" s="40">
        <v>110572.37</v>
      </c>
    </row>
    <row r="10" spans="1:8" x14ac:dyDescent="0.35">
      <c r="A10" s="100" t="str">
        <f t="shared" si="0"/>
        <v>1</v>
      </c>
      <c r="B10" s="37">
        <v>11131050</v>
      </c>
      <c r="C10" s="15" t="s">
        <v>1</v>
      </c>
      <c r="D10" s="39">
        <v>20105.37</v>
      </c>
      <c r="E10" s="39">
        <v>31639.79</v>
      </c>
      <c r="F10" s="39">
        <v>39448.949999999997</v>
      </c>
      <c r="G10" s="39">
        <v>-7809.16</v>
      </c>
      <c r="H10" s="40">
        <v>12296.21</v>
      </c>
    </row>
    <row r="11" spans="1:8" x14ac:dyDescent="0.35">
      <c r="A11" s="100" t="str">
        <f t="shared" si="0"/>
        <v>1</v>
      </c>
      <c r="B11" s="37">
        <v>11131090</v>
      </c>
      <c r="C11" s="15" t="s">
        <v>64</v>
      </c>
      <c r="D11" s="39">
        <v>73155.360000000001</v>
      </c>
      <c r="E11" s="39">
        <v>25574.79</v>
      </c>
      <c r="F11" s="39">
        <v>199.13</v>
      </c>
      <c r="G11" s="39">
        <v>25375.66</v>
      </c>
      <c r="H11" s="40">
        <v>98531.02</v>
      </c>
    </row>
    <row r="12" spans="1:8" x14ac:dyDescent="0.35">
      <c r="A12" s="100" t="str">
        <f t="shared" si="0"/>
        <v>1</v>
      </c>
      <c r="B12" s="37">
        <v>11132050</v>
      </c>
      <c r="C12" s="15" t="s">
        <v>1</v>
      </c>
      <c r="D12" s="41">
        <v>0</v>
      </c>
      <c r="E12" s="39">
        <v>31639.79</v>
      </c>
      <c r="F12" s="39">
        <v>31639.79</v>
      </c>
      <c r="G12" s="41">
        <v>0</v>
      </c>
      <c r="H12" s="42">
        <v>0</v>
      </c>
    </row>
    <row r="13" spans="1:8" x14ac:dyDescent="0.35">
      <c r="A13" s="100" t="str">
        <f t="shared" si="0"/>
        <v>1</v>
      </c>
      <c r="B13" s="37">
        <v>11132090</v>
      </c>
      <c r="C13" s="15" t="s">
        <v>64</v>
      </c>
      <c r="D13" s="41">
        <v>0</v>
      </c>
      <c r="E13" s="39">
        <v>36207.589999999997</v>
      </c>
      <c r="F13" s="39">
        <v>36463.449999999997</v>
      </c>
      <c r="G13" s="39">
        <v>-255.86</v>
      </c>
      <c r="H13" s="40">
        <v>-255.86</v>
      </c>
    </row>
    <row r="14" spans="1:8" x14ac:dyDescent="0.35">
      <c r="A14" s="100" t="str">
        <f t="shared" si="0"/>
        <v>1</v>
      </c>
      <c r="B14" s="37">
        <v>11133050</v>
      </c>
      <c r="C14" s="15" t="s">
        <v>2</v>
      </c>
      <c r="D14" s="39">
        <v>1</v>
      </c>
      <c r="E14" s="39">
        <v>78735.899999999994</v>
      </c>
      <c r="F14" s="39">
        <v>78735.899999999994</v>
      </c>
      <c r="G14" s="41">
        <v>0</v>
      </c>
      <c r="H14" s="40">
        <v>1</v>
      </c>
    </row>
    <row r="15" spans="1:8" x14ac:dyDescent="0.35">
      <c r="A15" s="100">
        <f t="shared" si="0"/>
        <v>0</v>
      </c>
      <c r="B15" s="14" t="s">
        <v>109</v>
      </c>
      <c r="C15" s="15" t="s">
        <v>110</v>
      </c>
      <c r="D15" s="39">
        <v>621246.46</v>
      </c>
      <c r="E15" s="39">
        <v>7276.93</v>
      </c>
      <c r="F15" s="39">
        <v>20192.96</v>
      </c>
      <c r="G15" s="39">
        <v>-12916.03</v>
      </c>
      <c r="H15" s="40">
        <v>608330.43000000005</v>
      </c>
    </row>
    <row r="16" spans="1:8" x14ac:dyDescent="0.35">
      <c r="A16" s="100" t="str">
        <f t="shared" si="0"/>
        <v>C</v>
      </c>
      <c r="B16" s="16" t="s">
        <v>111</v>
      </c>
      <c r="C16" s="15" t="s">
        <v>112</v>
      </c>
      <c r="D16" s="39">
        <v>621246.46</v>
      </c>
      <c r="E16" s="39">
        <v>7276.93</v>
      </c>
      <c r="F16" s="39">
        <v>20192.96</v>
      </c>
      <c r="G16" s="39">
        <v>-12916.03</v>
      </c>
      <c r="H16" s="40">
        <v>608330.43000000005</v>
      </c>
    </row>
    <row r="17" spans="1:8" x14ac:dyDescent="0.35">
      <c r="A17" s="101">
        <f t="shared" si="0"/>
        <v>0</v>
      </c>
      <c r="B17" s="17" t="s">
        <v>113</v>
      </c>
      <c r="C17" s="15" t="s">
        <v>114</v>
      </c>
      <c r="D17" s="39">
        <v>621246.46</v>
      </c>
      <c r="E17" s="39">
        <v>7276.93</v>
      </c>
      <c r="F17" s="39">
        <v>20192.96</v>
      </c>
      <c r="G17" s="39">
        <v>-12916.03</v>
      </c>
      <c r="H17" s="40">
        <v>608330.43000000005</v>
      </c>
    </row>
    <row r="18" spans="1:8" x14ac:dyDescent="0.35">
      <c r="A18" s="100">
        <f t="shared" si="0"/>
        <v>0</v>
      </c>
      <c r="B18" s="37" t="s">
        <v>115</v>
      </c>
      <c r="C18" s="15" t="s">
        <v>116</v>
      </c>
      <c r="D18" s="39">
        <v>621246.46</v>
      </c>
      <c r="E18" s="39">
        <v>7276.93</v>
      </c>
      <c r="F18" s="39">
        <v>20192.96</v>
      </c>
      <c r="G18" s="39">
        <v>-12916.03</v>
      </c>
      <c r="H18" s="40">
        <v>608330.43000000005</v>
      </c>
    </row>
    <row r="19" spans="1:8" x14ac:dyDescent="0.35">
      <c r="A19" s="101">
        <f t="shared" si="0"/>
        <v>0</v>
      </c>
      <c r="B19" s="105" t="s">
        <v>117</v>
      </c>
      <c r="C19" s="15" t="s">
        <v>118</v>
      </c>
      <c r="D19" s="39">
        <v>621246.46</v>
      </c>
      <c r="E19" s="39">
        <v>7276.93</v>
      </c>
      <c r="F19" s="39">
        <v>20192.96</v>
      </c>
      <c r="G19" s="39">
        <v>-12916.03</v>
      </c>
      <c r="H19" s="40">
        <v>608330.43000000005</v>
      </c>
    </row>
    <row r="20" spans="1:8" x14ac:dyDescent="0.35">
      <c r="A20" s="101" t="str">
        <f t="shared" si="0"/>
        <v>1</v>
      </c>
      <c r="B20" s="106">
        <v>11240001</v>
      </c>
      <c r="C20" s="15" t="s">
        <v>3</v>
      </c>
      <c r="D20" s="39">
        <v>621246.46</v>
      </c>
      <c r="E20" s="39">
        <v>7276.93</v>
      </c>
      <c r="F20" s="39">
        <v>20192.96</v>
      </c>
      <c r="G20" s="39">
        <v>-12916.03</v>
      </c>
      <c r="H20" s="40">
        <v>608330.43000000005</v>
      </c>
    </row>
    <row r="21" spans="1:8" x14ac:dyDescent="0.35">
      <c r="A21" s="101">
        <f t="shared" si="0"/>
        <v>0</v>
      </c>
      <c r="B21" s="14" t="s">
        <v>119</v>
      </c>
      <c r="C21" s="15" t="s">
        <v>120</v>
      </c>
      <c r="D21" s="41">
        <v>0</v>
      </c>
      <c r="E21" s="39">
        <v>250</v>
      </c>
      <c r="F21" s="39">
        <v>250</v>
      </c>
      <c r="G21" s="41">
        <v>0</v>
      </c>
      <c r="H21" s="42">
        <v>0</v>
      </c>
    </row>
    <row r="22" spans="1:8" x14ac:dyDescent="0.35">
      <c r="A22" s="101" t="str">
        <f t="shared" si="0"/>
        <v>C</v>
      </c>
      <c r="B22" s="16" t="s">
        <v>121</v>
      </c>
      <c r="C22" s="15" t="s">
        <v>122</v>
      </c>
      <c r="D22" s="41">
        <v>0</v>
      </c>
      <c r="E22" s="39">
        <v>250</v>
      </c>
      <c r="F22" s="39">
        <v>250</v>
      </c>
      <c r="G22" s="41">
        <v>0</v>
      </c>
      <c r="H22" s="42">
        <v>0</v>
      </c>
    </row>
    <row r="23" spans="1:8" x14ac:dyDescent="0.35">
      <c r="A23" s="100">
        <f t="shared" si="0"/>
        <v>0</v>
      </c>
      <c r="B23" s="17" t="s">
        <v>123</v>
      </c>
      <c r="C23" s="15" t="s">
        <v>124</v>
      </c>
      <c r="D23" s="41">
        <v>0</v>
      </c>
      <c r="E23" s="39">
        <v>250</v>
      </c>
      <c r="F23" s="39">
        <v>250</v>
      </c>
      <c r="G23" s="41">
        <v>0</v>
      </c>
      <c r="H23" s="42">
        <v>0</v>
      </c>
    </row>
    <row r="24" spans="1:8" x14ac:dyDescent="0.35">
      <c r="A24" s="101" t="str">
        <f t="shared" si="0"/>
        <v>1</v>
      </c>
      <c r="B24" s="37">
        <v>11391004</v>
      </c>
      <c r="C24" s="15" t="s">
        <v>83</v>
      </c>
      <c r="D24" s="41">
        <v>0</v>
      </c>
      <c r="E24" s="39">
        <v>250</v>
      </c>
      <c r="F24" s="39">
        <v>250</v>
      </c>
      <c r="G24" s="41">
        <v>0</v>
      </c>
      <c r="H24" s="42">
        <v>0</v>
      </c>
    </row>
    <row r="25" spans="1:8" x14ac:dyDescent="0.35">
      <c r="A25" s="100">
        <f t="shared" si="0"/>
        <v>0</v>
      </c>
      <c r="B25" s="14" t="s">
        <v>125</v>
      </c>
      <c r="C25" s="15" t="s">
        <v>126</v>
      </c>
      <c r="D25" s="39">
        <v>1012015.64</v>
      </c>
      <c r="E25" s="39">
        <v>13213.49</v>
      </c>
      <c r="F25" s="41">
        <v>0</v>
      </c>
      <c r="G25" s="39">
        <v>13213.49</v>
      </c>
      <c r="H25" s="40">
        <v>1025229.13</v>
      </c>
    </row>
    <row r="26" spans="1:8" x14ac:dyDescent="0.35">
      <c r="A26" s="101" t="str">
        <f t="shared" si="0"/>
        <v>C</v>
      </c>
      <c r="B26" s="16" t="s">
        <v>127</v>
      </c>
      <c r="C26" s="15" t="s">
        <v>128</v>
      </c>
      <c r="D26" s="39">
        <v>151237.01</v>
      </c>
      <c r="E26" s="39">
        <v>4605.8</v>
      </c>
      <c r="F26" s="41">
        <v>0</v>
      </c>
      <c r="G26" s="39">
        <v>4605.8</v>
      </c>
      <c r="H26" s="40">
        <v>155842.81</v>
      </c>
    </row>
    <row r="27" spans="1:8" x14ac:dyDescent="0.35">
      <c r="A27" s="101">
        <f t="shared" si="0"/>
        <v>0</v>
      </c>
      <c r="B27" s="17" t="s">
        <v>129</v>
      </c>
      <c r="C27" s="15" t="s">
        <v>130</v>
      </c>
      <c r="D27" s="39">
        <v>151237.01</v>
      </c>
      <c r="E27" s="39">
        <v>4605.8</v>
      </c>
      <c r="F27" s="41">
        <v>0</v>
      </c>
      <c r="G27" s="39">
        <v>4605.8</v>
      </c>
      <c r="H27" s="40">
        <v>155842.81</v>
      </c>
    </row>
    <row r="28" spans="1:8" x14ac:dyDescent="0.35">
      <c r="A28" s="101" t="str">
        <f t="shared" si="0"/>
        <v>1</v>
      </c>
      <c r="B28" s="37">
        <v>11610099</v>
      </c>
      <c r="C28" s="15" t="s">
        <v>6</v>
      </c>
      <c r="D28" s="39">
        <v>151237.01</v>
      </c>
      <c r="E28" s="39">
        <v>4605.8</v>
      </c>
      <c r="F28" s="41">
        <v>0</v>
      </c>
      <c r="G28" s="39">
        <v>4605.8</v>
      </c>
      <c r="H28" s="40">
        <v>155842.81</v>
      </c>
    </row>
    <row r="29" spans="1:8" x14ac:dyDescent="0.35">
      <c r="A29" s="100" t="str">
        <f t="shared" si="0"/>
        <v>C</v>
      </c>
      <c r="B29" s="16" t="s">
        <v>131</v>
      </c>
      <c r="C29" s="15" t="s">
        <v>132</v>
      </c>
      <c r="D29" s="39">
        <v>860778.63</v>
      </c>
      <c r="E29" s="39">
        <v>8607.69</v>
      </c>
      <c r="F29" s="41">
        <v>0</v>
      </c>
      <c r="G29" s="39">
        <v>8607.69</v>
      </c>
      <c r="H29" s="40">
        <v>869386.32</v>
      </c>
    </row>
    <row r="30" spans="1:8" x14ac:dyDescent="0.35">
      <c r="A30" s="101">
        <f t="shared" si="0"/>
        <v>0</v>
      </c>
      <c r="B30" s="17" t="s">
        <v>133</v>
      </c>
      <c r="C30" s="15" t="s">
        <v>134</v>
      </c>
      <c r="D30" s="39">
        <v>103313.68</v>
      </c>
      <c r="E30" s="39">
        <v>1070.1099999999999</v>
      </c>
      <c r="F30" s="41">
        <v>0</v>
      </c>
      <c r="G30" s="39">
        <v>1070.1099999999999</v>
      </c>
      <c r="H30" s="40">
        <v>104383.79</v>
      </c>
    </row>
    <row r="31" spans="1:8" x14ac:dyDescent="0.35">
      <c r="A31" s="101">
        <f t="shared" si="0"/>
        <v>0</v>
      </c>
      <c r="B31" s="37" t="s">
        <v>135</v>
      </c>
      <c r="C31" s="15" t="s">
        <v>136</v>
      </c>
      <c r="D31" s="39">
        <v>103313.68</v>
      </c>
      <c r="E31" s="39">
        <v>1070.1099999999999</v>
      </c>
      <c r="F31" s="41">
        <v>0</v>
      </c>
      <c r="G31" s="39">
        <v>1070.1099999999999</v>
      </c>
      <c r="H31" s="40">
        <v>104383.79</v>
      </c>
    </row>
    <row r="32" spans="1:8" x14ac:dyDescent="0.35">
      <c r="A32" s="100" t="str">
        <f t="shared" si="0"/>
        <v>1</v>
      </c>
      <c r="B32" s="105">
        <v>11641001</v>
      </c>
      <c r="C32" s="15" t="s">
        <v>54</v>
      </c>
      <c r="D32" s="39">
        <v>103313.68</v>
      </c>
      <c r="E32" s="39">
        <v>1070.1099999999999</v>
      </c>
      <c r="F32" s="41">
        <v>0</v>
      </c>
      <c r="G32" s="39">
        <v>1070.1099999999999</v>
      </c>
      <c r="H32" s="40">
        <v>104383.79</v>
      </c>
    </row>
    <row r="33" spans="1:8" x14ac:dyDescent="0.35">
      <c r="A33" s="101">
        <f t="shared" si="0"/>
        <v>0</v>
      </c>
      <c r="B33" s="17" t="s">
        <v>137</v>
      </c>
      <c r="C33" s="15" t="s">
        <v>138</v>
      </c>
      <c r="D33" s="39">
        <v>757464.95</v>
      </c>
      <c r="E33" s="39">
        <v>7537.58</v>
      </c>
      <c r="F33" s="41">
        <v>0</v>
      </c>
      <c r="G33" s="39">
        <v>7537.58</v>
      </c>
      <c r="H33" s="40">
        <v>765002.53</v>
      </c>
    </row>
    <row r="34" spans="1:8" x14ac:dyDescent="0.35">
      <c r="A34" s="100">
        <f t="shared" si="0"/>
        <v>0</v>
      </c>
      <c r="B34" s="37" t="s">
        <v>139</v>
      </c>
      <c r="C34" s="15" t="s">
        <v>140</v>
      </c>
      <c r="D34" s="39">
        <v>757464.95</v>
      </c>
      <c r="E34" s="39">
        <v>7537.58</v>
      </c>
      <c r="F34" s="41">
        <v>0</v>
      </c>
      <c r="G34" s="39">
        <v>7537.58</v>
      </c>
      <c r="H34" s="40">
        <v>765002.53</v>
      </c>
    </row>
    <row r="35" spans="1:8" x14ac:dyDescent="0.35">
      <c r="A35" s="101" t="str">
        <f t="shared" si="0"/>
        <v>1</v>
      </c>
      <c r="B35" s="105">
        <v>11642001</v>
      </c>
      <c r="C35" s="15" t="s">
        <v>46</v>
      </c>
      <c r="D35" s="39">
        <v>757464.95</v>
      </c>
      <c r="E35" s="39">
        <v>7537.58</v>
      </c>
      <c r="F35" s="41">
        <v>0</v>
      </c>
      <c r="G35" s="39">
        <v>7537.58</v>
      </c>
      <c r="H35" s="40">
        <v>765002.53</v>
      </c>
    </row>
    <row r="36" spans="1:8" x14ac:dyDescent="0.35">
      <c r="A36" s="100">
        <f t="shared" si="0"/>
        <v>0</v>
      </c>
      <c r="B36" s="12" t="s">
        <v>141</v>
      </c>
      <c r="C36" s="13" t="s">
        <v>142</v>
      </c>
      <c r="D36" s="39">
        <v>355555.57</v>
      </c>
      <c r="E36" s="39">
        <v>528.67999999999995</v>
      </c>
      <c r="F36" s="39">
        <v>11639.79</v>
      </c>
      <c r="G36" s="39">
        <v>-11111.11</v>
      </c>
      <c r="H36" s="40">
        <v>344444.46</v>
      </c>
    </row>
    <row r="37" spans="1:8" x14ac:dyDescent="0.35">
      <c r="A37" s="101">
        <f t="shared" si="0"/>
        <v>0</v>
      </c>
      <c r="B37" s="14" t="s">
        <v>143</v>
      </c>
      <c r="C37" s="15" t="s">
        <v>144</v>
      </c>
      <c r="D37" s="39">
        <v>355555.57</v>
      </c>
      <c r="E37" s="39">
        <v>528.67999999999995</v>
      </c>
      <c r="F37" s="39">
        <v>11639.79</v>
      </c>
      <c r="G37" s="39">
        <v>-11111.11</v>
      </c>
      <c r="H37" s="40">
        <v>344444.46</v>
      </c>
    </row>
    <row r="38" spans="1:8" x14ac:dyDescent="0.35">
      <c r="A38" s="101" t="str">
        <f t="shared" si="0"/>
        <v>C</v>
      </c>
      <c r="B38" s="16" t="s">
        <v>145</v>
      </c>
      <c r="C38" s="15" t="s">
        <v>126</v>
      </c>
      <c r="D38" s="39">
        <v>355555.57</v>
      </c>
      <c r="E38" s="39">
        <v>528.67999999999995</v>
      </c>
      <c r="F38" s="39">
        <v>11639.79</v>
      </c>
      <c r="G38" s="39">
        <v>-11111.11</v>
      </c>
      <c r="H38" s="40">
        <v>344444.46</v>
      </c>
    </row>
    <row r="39" spans="1:8" x14ac:dyDescent="0.35">
      <c r="A39" s="100">
        <f t="shared" si="0"/>
        <v>0</v>
      </c>
      <c r="B39" s="17" t="s">
        <v>146</v>
      </c>
      <c r="C39" s="15" t="s">
        <v>128</v>
      </c>
      <c r="D39" s="39">
        <v>355555.57</v>
      </c>
      <c r="E39" s="39">
        <v>528.67999999999995</v>
      </c>
      <c r="F39" s="39">
        <v>11639.79</v>
      </c>
      <c r="G39" s="39">
        <v>-11111.11</v>
      </c>
      <c r="H39" s="40">
        <v>344444.46</v>
      </c>
    </row>
    <row r="40" spans="1:8" x14ac:dyDescent="0.35">
      <c r="A40" s="101">
        <f t="shared" si="0"/>
        <v>0</v>
      </c>
      <c r="B40" s="37" t="s">
        <v>147</v>
      </c>
      <c r="C40" s="15" t="s">
        <v>128</v>
      </c>
      <c r="D40" s="39">
        <v>355555.57</v>
      </c>
      <c r="E40" s="39">
        <v>528.67999999999995</v>
      </c>
      <c r="F40" s="39">
        <v>11639.79</v>
      </c>
      <c r="G40" s="39">
        <v>-11111.11</v>
      </c>
      <c r="H40" s="40">
        <v>344444.46</v>
      </c>
    </row>
    <row r="41" spans="1:8" x14ac:dyDescent="0.35">
      <c r="A41" s="101" t="str">
        <f t="shared" si="0"/>
        <v>1</v>
      </c>
      <c r="B41" s="105">
        <v>12610001</v>
      </c>
      <c r="C41" s="15" t="s">
        <v>12</v>
      </c>
      <c r="D41" s="39">
        <v>355555.57</v>
      </c>
      <c r="E41" s="39">
        <v>528.67999999999995</v>
      </c>
      <c r="F41" s="39">
        <v>11639.79</v>
      </c>
      <c r="G41" s="39">
        <v>-11111.11</v>
      </c>
      <c r="H41" s="40">
        <v>344444.46</v>
      </c>
    </row>
    <row r="42" spans="1:8" x14ac:dyDescent="0.35">
      <c r="A42" s="100">
        <f t="shared" si="0"/>
        <v>0</v>
      </c>
      <c r="B42" s="14" t="s">
        <v>148</v>
      </c>
      <c r="C42" s="15" t="s">
        <v>149</v>
      </c>
      <c r="D42" s="41">
        <v>0</v>
      </c>
      <c r="E42" s="41">
        <v>0</v>
      </c>
      <c r="F42" s="41">
        <v>0</v>
      </c>
      <c r="G42" s="41">
        <v>0</v>
      </c>
      <c r="H42" s="42">
        <v>0</v>
      </c>
    </row>
    <row r="43" spans="1:8" x14ac:dyDescent="0.35">
      <c r="A43" s="101" t="str">
        <f t="shared" si="0"/>
        <v>C</v>
      </c>
      <c r="B43" s="16" t="s">
        <v>150</v>
      </c>
      <c r="C43" s="15" t="s">
        <v>151</v>
      </c>
      <c r="D43" s="41">
        <v>0</v>
      </c>
      <c r="E43" s="41">
        <v>0</v>
      </c>
      <c r="F43" s="41">
        <v>0</v>
      </c>
      <c r="G43" s="41">
        <v>0</v>
      </c>
      <c r="H43" s="42">
        <v>0</v>
      </c>
    </row>
    <row r="44" spans="1:8" x14ac:dyDescent="0.35">
      <c r="A44" s="100">
        <f t="shared" si="0"/>
        <v>0</v>
      </c>
      <c r="B44" s="17" t="s">
        <v>152</v>
      </c>
      <c r="C44" s="15" t="s">
        <v>153</v>
      </c>
      <c r="D44" s="39">
        <v>16679.39</v>
      </c>
      <c r="E44" s="41">
        <v>0</v>
      </c>
      <c r="F44" s="41">
        <v>0</v>
      </c>
      <c r="G44" s="41">
        <v>0</v>
      </c>
      <c r="H44" s="40">
        <v>16679.39</v>
      </c>
    </row>
    <row r="45" spans="1:8" x14ac:dyDescent="0.35">
      <c r="A45" s="101">
        <f t="shared" si="0"/>
        <v>0</v>
      </c>
      <c r="B45" s="37" t="s">
        <v>154</v>
      </c>
      <c r="C45" s="15" t="s">
        <v>155</v>
      </c>
      <c r="D45" s="39">
        <v>16679.39</v>
      </c>
      <c r="E45" s="41">
        <v>0</v>
      </c>
      <c r="F45" s="41">
        <v>0</v>
      </c>
      <c r="G45" s="41">
        <v>0</v>
      </c>
      <c r="H45" s="40">
        <v>16679.39</v>
      </c>
    </row>
    <row r="46" spans="1:8" x14ac:dyDescent="0.35">
      <c r="A46" s="100" t="str">
        <f t="shared" si="0"/>
        <v>1</v>
      </c>
      <c r="B46" s="105">
        <v>14221001</v>
      </c>
      <c r="C46" s="15" t="s">
        <v>47</v>
      </c>
      <c r="D46" s="39">
        <v>16679.39</v>
      </c>
      <c r="E46" s="41">
        <v>0</v>
      </c>
      <c r="F46" s="41">
        <v>0</v>
      </c>
      <c r="G46" s="41">
        <v>0</v>
      </c>
      <c r="H46" s="40">
        <v>16679.39</v>
      </c>
    </row>
    <row r="47" spans="1:8" x14ac:dyDescent="0.35">
      <c r="A47" s="101">
        <f t="shared" si="0"/>
        <v>0</v>
      </c>
      <c r="B47" s="17" t="s">
        <v>156</v>
      </c>
      <c r="C47" s="15" t="s">
        <v>48</v>
      </c>
      <c r="D47" s="39">
        <v>6147</v>
      </c>
      <c r="E47" s="41">
        <v>0</v>
      </c>
      <c r="F47" s="41">
        <v>0</v>
      </c>
      <c r="G47" s="41">
        <v>0</v>
      </c>
      <c r="H47" s="40">
        <v>6147</v>
      </c>
    </row>
    <row r="48" spans="1:8" x14ac:dyDescent="0.35">
      <c r="A48" s="101" t="str">
        <f t="shared" si="0"/>
        <v>1</v>
      </c>
      <c r="B48" s="37">
        <v>14222001</v>
      </c>
      <c r="C48" s="15" t="s">
        <v>48</v>
      </c>
      <c r="D48" s="39">
        <v>6147</v>
      </c>
      <c r="E48" s="41">
        <v>0</v>
      </c>
      <c r="F48" s="41">
        <v>0</v>
      </c>
      <c r="G48" s="41">
        <v>0</v>
      </c>
      <c r="H48" s="40">
        <v>6147</v>
      </c>
    </row>
    <row r="49" spans="1:8" x14ac:dyDescent="0.35">
      <c r="A49" s="100">
        <f t="shared" si="0"/>
        <v>0</v>
      </c>
      <c r="B49" s="17" t="s">
        <v>157</v>
      </c>
      <c r="C49" s="15" t="s">
        <v>158</v>
      </c>
      <c r="D49" s="39">
        <v>-22826.39</v>
      </c>
      <c r="E49" s="41">
        <v>0</v>
      </c>
      <c r="F49" s="41">
        <v>0</v>
      </c>
      <c r="G49" s="41">
        <v>0</v>
      </c>
      <c r="H49" s="40">
        <v>-22826.39</v>
      </c>
    </row>
    <row r="50" spans="1:8" x14ac:dyDescent="0.35">
      <c r="A50" s="101">
        <f t="shared" si="0"/>
        <v>0</v>
      </c>
      <c r="B50" s="37" t="s">
        <v>159</v>
      </c>
      <c r="C50" s="15" t="s">
        <v>158</v>
      </c>
      <c r="D50" s="39">
        <v>-22826.39</v>
      </c>
      <c r="E50" s="41">
        <v>0</v>
      </c>
      <c r="F50" s="41">
        <v>0</v>
      </c>
      <c r="G50" s="41">
        <v>0</v>
      </c>
      <c r="H50" s="40">
        <v>-22826.39</v>
      </c>
    </row>
    <row r="51" spans="1:8" x14ac:dyDescent="0.35">
      <c r="A51" s="101" t="str">
        <f t="shared" si="0"/>
        <v>1</v>
      </c>
      <c r="B51" s="105">
        <v>14229001</v>
      </c>
      <c r="C51" s="15" t="s">
        <v>49</v>
      </c>
      <c r="D51" s="39">
        <v>-16679.39</v>
      </c>
      <c r="E51" s="41">
        <v>0</v>
      </c>
      <c r="F51" s="41">
        <v>0</v>
      </c>
      <c r="G51" s="41">
        <v>0</v>
      </c>
      <c r="H51" s="40">
        <v>-16679.39</v>
      </c>
    </row>
    <row r="52" spans="1:8" x14ac:dyDescent="0.35">
      <c r="A52" s="101" t="str">
        <f t="shared" si="0"/>
        <v>1</v>
      </c>
      <c r="B52" s="105">
        <v>14229003</v>
      </c>
      <c r="C52" s="15" t="s">
        <v>50</v>
      </c>
      <c r="D52" s="39">
        <v>-6147</v>
      </c>
      <c r="E52" s="41">
        <v>0</v>
      </c>
      <c r="F52" s="41">
        <v>0</v>
      </c>
      <c r="G52" s="41">
        <v>0</v>
      </c>
      <c r="H52" s="40">
        <v>-6147</v>
      </c>
    </row>
    <row r="53" spans="1:8" x14ac:dyDescent="0.35">
      <c r="A53" s="101">
        <f t="shared" si="0"/>
        <v>0</v>
      </c>
      <c r="B53" s="10" t="s">
        <v>160</v>
      </c>
      <c r="C53" s="11" t="s">
        <v>161</v>
      </c>
      <c r="D53" s="39">
        <v>-2765185.53</v>
      </c>
      <c r="E53" s="39">
        <v>149463.29</v>
      </c>
      <c r="F53" s="39">
        <v>128082.46</v>
      </c>
      <c r="G53" s="39">
        <v>21380.83</v>
      </c>
      <c r="H53" s="40">
        <v>-2743804.7</v>
      </c>
    </row>
    <row r="54" spans="1:8" x14ac:dyDescent="0.35">
      <c r="A54" s="100">
        <f t="shared" si="0"/>
        <v>0</v>
      </c>
      <c r="B54" s="12" t="s">
        <v>162</v>
      </c>
      <c r="C54" s="13" t="s">
        <v>103</v>
      </c>
      <c r="D54" s="39">
        <v>-151969.24</v>
      </c>
      <c r="E54" s="39">
        <v>149463.29</v>
      </c>
      <c r="F54" s="39">
        <v>128082.46</v>
      </c>
      <c r="G54" s="39">
        <v>21380.83</v>
      </c>
      <c r="H54" s="40">
        <v>-130588.41</v>
      </c>
    </row>
    <row r="55" spans="1:8" x14ac:dyDescent="0.35">
      <c r="A55" s="101">
        <f t="shared" si="0"/>
        <v>0</v>
      </c>
      <c r="B55" s="14" t="s">
        <v>163</v>
      </c>
      <c r="C55" s="15" t="s">
        <v>164</v>
      </c>
      <c r="D55" s="39">
        <v>-151969.24</v>
      </c>
      <c r="E55" s="39">
        <v>149463.29</v>
      </c>
      <c r="F55" s="39">
        <v>128082.46</v>
      </c>
      <c r="G55" s="39">
        <v>21380.83</v>
      </c>
      <c r="H55" s="40">
        <v>-130588.41</v>
      </c>
    </row>
    <row r="56" spans="1:8" x14ac:dyDescent="0.35">
      <c r="A56" s="100" t="str">
        <f t="shared" si="0"/>
        <v>C</v>
      </c>
      <c r="B56" s="16" t="s">
        <v>165</v>
      </c>
      <c r="C56" s="15" t="s">
        <v>166</v>
      </c>
      <c r="D56" s="39">
        <v>-155762.34</v>
      </c>
      <c r="E56" s="39">
        <v>144167.84</v>
      </c>
      <c r="F56" s="39">
        <v>122734.62</v>
      </c>
      <c r="G56" s="39">
        <v>21433.22</v>
      </c>
      <c r="H56" s="40">
        <v>-134329.12</v>
      </c>
    </row>
    <row r="57" spans="1:8" x14ac:dyDescent="0.35">
      <c r="A57" s="101">
        <f t="shared" si="0"/>
        <v>0</v>
      </c>
      <c r="B57" s="17" t="s">
        <v>167</v>
      </c>
      <c r="C57" s="15" t="s">
        <v>168</v>
      </c>
      <c r="D57" s="39">
        <v>-110619.34</v>
      </c>
      <c r="E57" s="39">
        <v>101643.87</v>
      </c>
      <c r="F57" s="39">
        <v>116832.42</v>
      </c>
      <c r="G57" s="39">
        <v>-15188.55</v>
      </c>
      <c r="H57" s="40">
        <v>-125807.89</v>
      </c>
    </row>
    <row r="58" spans="1:8" x14ac:dyDescent="0.35">
      <c r="A58" s="101" t="str">
        <f t="shared" si="0"/>
        <v>2</v>
      </c>
      <c r="B58" s="37">
        <v>21111001</v>
      </c>
      <c r="C58" s="15" t="s">
        <v>13</v>
      </c>
      <c r="D58" s="39">
        <v>-110619.34</v>
      </c>
      <c r="E58" s="39">
        <v>40901.519999999997</v>
      </c>
      <c r="F58" s="39">
        <v>56090.07</v>
      </c>
      <c r="G58" s="39">
        <v>-15188.55</v>
      </c>
      <c r="H58" s="40">
        <v>-125807.89</v>
      </c>
    </row>
    <row r="59" spans="1:8" x14ac:dyDescent="0.35">
      <c r="A59" s="101" t="str">
        <f t="shared" si="0"/>
        <v>2</v>
      </c>
      <c r="B59" s="37">
        <v>21111002</v>
      </c>
      <c r="C59" s="15" t="s">
        <v>41</v>
      </c>
      <c r="D59" s="41">
        <v>0</v>
      </c>
      <c r="E59" s="39">
        <v>60742.35</v>
      </c>
      <c r="F59" s="39">
        <v>60742.35</v>
      </c>
      <c r="G59" s="41">
        <v>0</v>
      </c>
      <c r="H59" s="42">
        <v>0</v>
      </c>
    </row>
    <row r="60" spans="1:8" x14ac:dyDescent="0.35">
      <c r="A60" s="100">
        <f t="shared" si="0"/>
        <v>0</v>
      </c>
      <c r="B60" s="17" t="s">
        <v>169</v>
      </c>
      <c r="C60" s="15" t="s">
        <v>170</v>
      </c>
      <c r="D60" s="39">
        <v>-45143</v>
      </c>
      <c r="E60" s="39">
        <v>42523.97</v>
      </c>
      <c r="F60" s="39">
        <v>5902.2</v>
      </c>
      <c r="G60" s="39">
        <v>36621.769999999997</v>
      </c>
      <c r="H60" s="40">
        <v>-8521.23</v>
      </c>
    </row>
    <row r="61" spans="1:8" x14ac:dyDescent="0.35">
      <c r="A61" s="101">
        <f t="shared" si="0"/>
        <v>0</v>
      </c>
      <c r="B61" s="37" t="s">
        <v>171</v>
      </c>
      <c r="C61" s="15" t="s">
        <v>172</v>
      </c>
      <c r="D61" s="39">
        <v>-45143</v>
      </c>
      <c r="E61" s="39">
        <v>42523.97</v>
      </c>
      <c r="F61" s="39">
        <v>5902.2</v>
      </c>
      <c r="G61" s="39">
        <v>36621.769999999997</v>
      </c>
      <c r="H61" s="40">
        <v>-8521.23</v>
      </c>
    </row>
    <row r="62" spans="1:8" x14ac:dyDescent="0.35">
      <c r="A62" s="100" t="str">
        <f t="shared" si="0"/>
        <v>2</v>
      </c>
      <c r="B62" s="105">
        <v>21111099</v>
      </c>
      <c r="C62" s="15" t="s">
        <v>44</v>
      </c>
      <c r="D62" s="39">
        <v>-45143</v>
      </c>
      <c r="E62" s="39">
        <v>42523.97</v>
      </c>
      <c r="F62" s="39">
        <v>5902.2</v>
      </c>
      <c r="G62" s="39">
        <v>36621.769999999997</v>
      </c>
      <c r="H62" s="40">
        <v>-8521.23</v>
      </c>
    </row>
    <row r="63" spans="1:8" x14ac:dyDescent="0.35">
      <c r="A63" s="100" t="str">
        <f t="shared" si="0"/>
        <v>C</v>
      </c>
      <c r="B63" s="16" t="s">
        <v>173</v>
      </c>
      <c r="C63" s="15" t="s">
        <v>174</v>
      </c>
      <c r="D63" s="39">
        <v>-1002.82</v>
      </c>
      <c r="E63" s="39">
        <v>5295.45</v>
      </c>
      <c r="F63" s="39">
        <v>2347.7800000000002</v>
      </c>
      <c r="G63" s="39">
        <v>2947.67</v>
      </c>
      <c r="H63" s="40">
        <v>1944.85</v>
      </c>
    </row>
    <row r="64" spans="1:8" x14ac:dyDescent="0.35">
      <c r="A64" s="101">
        <f t="shared" si="0"/>
        <v>0</v>
      </c>
      <c r="B64" s="17" t="s">
        <v>175</v>
      </c>
      <c r="C64" s="15" t="s">
        <v>176</v>
      </c>
      <c r="D64" s="41">
        <v>0</v>
      </c>
      <c r="E64" s="41">
        <v>0</v>
      </c>
      <c r="F64" s="39">
        <v>814.21</v>
      </c>
      <c r="G64" s="39">
        <v>-814.21</v>
      </c>
      <c r="H64" s="40">
        <v>-814.21</v>
      </c>
    </row>
    <row r="65" spans="1:8" x14ac:dyDescent="0.35">
      <c r="A65" s="101" t="str">
        <f t="shared" si="0"/>
        <v>2</v>
      </c>
      <c r="B65" s="37">
        <v>21131104</v>
      </c>
      <c r="C65" s="15" t="s">
        <v>66</v>
      </c>
      <c r="D65" s="41">
        <v>0</v>
      </c>
      <c r="E65" s="41">
        <v>0</v>
      </c>
      <c r="F65" s="39">
        <v>814.21</v>
      </c>
      <c r="G65" s="39">
        <v>-814.21</v>
      </c>
      <c r="H65" s="40">
        <v>-814.21</v>
      </c>
    </row>
    <row r="66" spans="1:8" x14ac:dyDescent="0.35">
      <c r="A66" s="101">
        <f t="shared" si="0"/>
        <v>0</v>
      </c>
      <c r="B66" s="17" t="s">
        <v>177</v>
      </c>
      <c r="C66" s="15" t="s">
        <v>178</v>
      </c>
      <c r="D66" s="39">
        <v>-1002.82</v>
      </c>
      <c r="E66" s="39">
        <v>5295.45</v>
      </c>
      <c r="F66" s="39">
        <v>1533.57</v>
      </c>
      <c r="G66" s="39">
        <v>3761.88</v>
      </c>
      <c r="H66" s="40">
        <v>2759.06</v>
      </c>
    </row>
    <row r="67" spans="1:8" x14ac:dyDescent="0.35">
      <c r="A67" s="100" t="str">
        <f t="shared" si="0"/>
        <v>2</v>
      </c>
      <c r="B67" s="37">
        <v>21131601</v>
      </c>
      <c r="C67" s="15" t="s">
        <v>14</v>
      </c>
      <c r="D67" s="39">
        <v>-848.69</v>
      </c>
      <c r="E67" s="39">
        <v>4405.0600000000004</v>
      </c>
      <c r="F67" s="41">
        <v>0</v>
      </c>
      <c r="G67" s="39">
        <v>4405.0600000000004</v>
      </c>
      <c r="H67" s="40">
        <v>3556.37</v>
      </c>
    </row>
    <row r="68" spans="1:8" x14ac:dyDescent="0.35">
      <c r="A68" s="101" t="str">
        <f t="shared" ref="A68:A131" si="1">IF(LEN(B68)=8,LEFT(B68,1),0)</f>
        <v>2</v>
      </c>
      <c r="B68" s="37">
        <v>21131602</v>
      </c>
      <c r="C68" s="15" t="s">
        <v>15</v>
      </c>
      <c r="D68" s="39">
        <v>-154.13</v>
      </c>
      <c r="E68" s="39">
        <v>890.39</v>
      </c>
      <c r="F68" s="41">
        <v>0</v>
      </c>
      <c r="G68" s="39">
        <v>890.39</v>
      </c>
      <c r="H68" s="40">
        <v>736.26</v>
      </c>
    </row>
    <row r="69" spans="1:8" x14ac:dyDescent="0.35">
      <c r="A69" s="101" t="str">
        <f t="shared" si="1"/>
        <v>2</v>
      </c>
      <c r="B69" s="37">
        <v>21131701</v>
      </c>
      <c r="C69" s="15" t="s">
        <v>67</v>
      </c>
      <c r="D69" s="41">
        <v>0</v>
      </c>
      <c r="E69" s="41">
        <v>0</v>
      </c>
      <c r="F69" s="39">
        <v>1533.57</v>
      </c>
      <c r="G69" s="39">
        <v>-1533.57</v>
      </c>
      <c r="H69" s="40">
        <v>-1533.57</v>
      </c>
    </row>
    <row r="70" spans="1:8" x14ac:dyDescent="0.35">
      <c r="A70" s="100" t="str">
        <f t="shared" si="1"/>
        <v>C</v>
      </c>
      <c r="B70" s="16" t="s">
        <v>179</v>
      </c>
      <c r="C70" s="15" t="s">
        <v>180</v>
      </c>
      <c r="D70" s="39">
        <v>4795.92</v>
      </c>
      <c r="E70" s="41">
        <v>0</v>
      </c>
      <c r="F70" s="39">
        <v>3000.06</v>
      </c>
      <c r="G70" s="39">
        <v>-3000.06</v>
      </c>
      <c r="H70" s="40">
        <v>1795.86</v>
      </c>
    </row>
    <row r="71" spans="1:8" x14ac:dyDescent="0.35">
      <c r="A71" s="101">
        <f t="shared" si="1"/>
        <v>0</v>
      </c>
      <c r="B71" s="17" t="s">
        <v>181</v>
      </c>
      <c r="C71" s="15" t="s">
        <v>182</v>
      </c>
      <c r="D71" s="39">
        <v>3944.55</v>
      </c>
      <c r="E71" s="41">
        <v>0</v>
      </c>
      <c r="F71" s="39">
        <v>1147.0999999999999</v>
      </c>
      <c r="G71" s="39">
        <v>-1147.0999999999999</v>
      </c>
      <c r="H71" s="40">
        <v>2797.45</v>
      </c>
    </row>
    <row r="72" spans="1:8" x14ac:dyDescent="0.35">
      <c r="A72" s="100">
        <f t="shared" si="1"/>
        <v>0</v>
      </c>
      <c r="B72" s="37" t="s">
        <v>183</v>
      </c>
      <c r="C72" s="15" t="s">
        <v>182</v>
      </c>
      <c r="D72" s="39">
        <v>-5369.45</v>
      </c>
      <c r="E72" s="41">
        <v>0</v>
      </c>
      <c r="F72" s="39">
        <v>1147.0999999999999</v>
      </c>
      <c r="G72" s="39">
        <v>-1147.0999999999999</v>
      </c>
      <c r="H72" s="40">
        <v>-6516.55</v>
      </c>
    </row>
    <row r="73" spans="1:8" x14ac:dyDescent="0.35">
      <c r="A73" s="100" t="str">
        <f t="shared" si="1"/>
        <v>2</v>
      </c>
      <c r="B73" s="105">
        <v>21131101</v>
      </c>
      <c r="C73" s="15" t="s">
        <v>37</v>
      </c>
      <c r="D73" s="39">
        <v>-5369.45</v>
      </c>
      <c r="E73" s="41">
        <v>0</v>
      </c>
      <c r="F73" s="39">
        <v>1147.0999999999999</v>
      </c>
      <c r="G73" s="39">
        <v>-1147.0999999999999</v>
      </c>
      <c r="H73" s="40">
        <v>-6516.55</v>
      </c>
    </row>
    <row r="74" spans="1:8" x14ac:dyDescent="0.35">
      <c r="A74" s="101">
        <f t="shared" si="1"/>
        <v>0</v>
      </c>
      <c r="B74" s="37" t="s">
        <v>184</v>
      </c>
      <c r="C74" s="15" t="s">
        <v>185</v>
      </c>
      <c r="D74" s="39">
        <v>9314</v>
      </c>
      <c r="E74" s="41">
        <v>0</v>
      </c>
      <c r="F74" s="41">
        <v>0</v>
      </c>
      <c r="G74" s="41">
        <v>0</v>
      </c>
      <c r="H74" s="40">
        <v>9314</v>
      </c>
    </row>
    <row r="75" spans="1:8" x14ac:dyDescent="0.35">
      <c r="A75" s="100" t="str">
        <f t="shared" si="1"/>
        <v>2</v>
      </c>
      <c r="B75" s="105">
        <v>21131102</v>
      </c>
      <c r="C75" s="15" t="s">
        <v>58</v>
      </c>
      <c r="D75" s="39">
        <v>9314</v>
      </c>
      <c r="E75" s="41">
        <v>0</v>
      </c>
      <c r="F75" s="41">
        <v>0</v>
      </c>
      <c r="G75" s="41">
        <v>0</v>
      </c>
      <c r="H75" s="40">
        <v>9314</v>
      </c>
    </row>
    <row r="76" spans="1:8" x14ac:dyDescent="0.35">
      <c r="A76" s="101">
        <f t="shared" si="1"/>
        <v>0</v>
      </c>
      <c r="B76" s="17" t="s">
        <v>186</v>
      </c>
      <c r="C76" s="15" t="s">
        <v>140</v>
      </c>
      <c r="D76" s="39">
        <v>851.37</v>
      </c>
      <c r="E76" s="41">
        <v>0</v>
      </c>
      <c r="F76" s="39">
        <v>1852.96</v>
      </c>
      <c r="G76" s="39">
        <v>-1852.96</v>
      </c>
      <c r="H76" s="40">
        <v>-1001.59</v>
      </c>
    </row>
    <row r="77" spans="1:8" x14ac:dyDescent="0.35">
      <c r="A77" s="100">
        <f t="shared" si="1"/>
        <v>0</v>
      </c>
      <c r="B77" s="37" t="s">
        <v>187</v>
      </c>
      <c r="C77" s="15" t="s">
        <v>140</v>
      </c>
      <c r="D77" s="39">
        <v>-3221.67</v>
      </c>
      <c r="E77" s="41">
        <v>0</v>
      </c>
      <c r="F77" s="39">
        <v>1852.96</v>
      </c>
      <c r="G77" s="39">
        <v>-1852.96</v>
      </c>
      <c r="H77" s="40">
        <v>-5074.63</v>
      </c>
    </row>
    <row r="78" spans="1:8" x14ac:dyDescent="0.35">
      <c r="A78" s="101" t="str">
        <f t="shared" si="1"/>
        <v>2</v>
      </c>
      <c r="B78" s="105">
        <v>21131201</v>
      </c>
      <c r="C78" s="15" t="s">
        <v>38</v>
      </c>
      <c r="D78" s="39">
        <v>-3221.67</v>
      </c>
      <c r="E78" s="41">
        <v>0</v>
      </c>
      <c r="F78" s="39">
        <v>1852.96</v>
      </c>
      <c r="G78" s="39">
        <v>-1852.96</v>
      </c>
      <c r="H78" s="40">
        <v>-5074.63</v>
      </c>
    </row>
    <row r="79" spans="1:8" x14ac:dyDescent="0.35">
      <c r="A79" s="101">
        <f t="shared" si="1"/>
        <v>0</v>
      </c>
      <c r="B79" s="37" t="s">
        <v>188</v>
      </c>
      <c r="C79" s="15" t="s">
        <v>189</v>
      </c>
      <c r="D79" s="39">
        <v>4073.04</v>
      </c>
      <c r="E79" s="41">
        <v>0</v>
      </c>
      <c r="F79" s="41">
        <v>0</v>
      </c>
      <c r="G79" s="41">
        <v>0</v>
      </c>
      <c r="H79" s="40">
        <v>4073.04</v>
      </c>
    </row>
    <row r="80" spans="1:8" x14ac:dyDescent="0.35">
      <c r="A80" s="101" t="str">
        <f t="shared" si="1"/>
        <v>2</v>
      </c>
      <c r="B80" s="105">
        <v>21131202</v>
      </c>
      <c r="C80" s="15" t="s">
        <v>59</v>
      </c>
      <c r="D80" s="39">
        <v>4073.04</v>
      </c>
      <c r="E80" s="41">
        <v>0</v>
      </c>
      <c r="F80" s="41">
        <v>0</v>
      </c>
      <c r="G80" s="41">
        <v>0</v>
      </c>
      <c r="H80" s="40">
        <v>4073.04</v>
      </c>
    </row>
    <row r="81" spans="1:8" x14ac:dyDescent="0.35">
      <c r="A81" s="100">
        <f t="shared" si="1"/>
        <v>0</v>
      </c>
      <c r="B81" s="12" t="s">
        <v>190</v>
      </c>
      <c r="C81" s="13" t="s">
        <v>191</v>
      </c>
      <c r="D81" s="39">
        <v>-2613216.29</v>
      </c>
      <c r="E81" s="41">
        <v>0</v>
      </c>
      <c r="F81" s="41">
        <v>0</v>
      </c>
      <c r="G81" s="41">
        <v>0</v>
      </c>
      <c r="H81" s="40">
        <v>-2613216.29</v>
      </c>
    </row>
    <row r="82" spans="1:8" x14ac:dyDescent="0.35">
      <c r="A82" s="101">
        <f t="shared" si="1"/>
        <v>0</v>
      </c>
      <c r="B82" s="14" t="s">
        <v>192</v>
      </c>
      <c r="C82" s="15" t="s">
        <v>193</v>
      </c>
      <c r="D82" s="39">
        <v>-2613216.29</v>
      </c>
      <c r="E82" s="41">
        <v>0</v>
      </c>
      <c r="F82" s="41">
        <v>0</v>
      </c>
      <c r="G82" s="41">
        <v>0</v>
      </c>
      <c r="H82" s="40">
        <v>-2613216.29</v>
      </c>
    </row>
    <row r="83" spans="1:8" x14ac:dyDescent="0.35">
      <c r="A83" s="100" t="str">
        <f t="shared" si="1"/>
        <v>C</v>
      </c>
      <c r="B83" s="16" t="s">
        <v>194</v>
      </c>
      <c r="C83" s="15" t="s">
        <v>195</v>
      </c>
      <c r="D83" s="39">
        <v>-1707264</v>
      </c>
      <c r="E83" s="41">
        <v>0</v>
      </c>
      <c r="F83" s="41">
        <v>0</v>
      </c>
      <c r="G83" s="41">
        <v>0</v>
      </c>
      <c r="H83" s="40">
        <v>-1707264</v>
      </c>
    </row>
    <row r="84" spans="1:8" x14ac:dyDescent="0.35">
      <c r="A84" s="100">
        <f t="shared" si="1"/>
        <v>0</v>
      </c>
      <c r="B84" s="17" t="s">
        <v>196</v>
      </c>
      <c r="C84" s="15" t="s">
        <v>197</v>
      </c>
      <c r="D84" s="39">
        <v>-1707264</v>
      </c>
      <c r="E84" s="41">
        <v>0</v>
      </c>
      <c r="F84" s="41">
        <v>0</v>
      </c>
      <c r="G84" s="41">
        <v>0</v>
      </c>
      <c r="H84" s="40">
        <v>-1707264</v>
      </c>
    </row>
    <row r="85" spans="1:8" x14ac:dyDescent="0.35">
      <c r="A85" s="100">
        <f t="shared" si="1"/>
        <v>0</v>
      </c>
      <c r="B85" s="37" t="s">
        <v>198</v>
      </c>
      <c r="C85" s="15" t="s">
        <v>51</v>
      </c>
      <c r="D85" s="39">
        <v>-1707264</v>
      </c>
      <c r="E85" s="41">
        <v>0</v>
      </c>
      <c r="F85" s="41">
        <v>0</v>
      </c>
      <c r="G85" s="41">
        <v>0</v>
      </c>
      <c r="H85" s="40">
        <v>-1707264</v>
      </c>
    </row>
    <row r="86" spans="1:8" x14ac:dyDescent="0.35">
      <c r="A86" s="101" t="str">
        <f t="shared" si="1"/>
        <v>2</v>
      </c>
      <c r="B86" s="105">
        <v>24111001</v>
      </c>
      <c r="C86" s="15" t="s">
        <v>51</v>
      </c>
      <c r="D86" s="39">
        <v>-1707264</v>
      </c>
      <c r="E86" s="41">
        <v>0</v>
      </c>
      <c r="F86" s="41">
        <v>0</v>
      </c>
      <c r="G86" s="41">
        <v>0</v>
      </c>
      <c r="H86" s="40">
        <v>-1707264</v>
      </c>
    </row>
    <row r="87" spans="1:8" x14ac:dyDescent="0.35">
      <c r="A87" s="100" t="str">
        <f t="shared" si="1"/>
        <v>C</v>
      </c>
      <c r="B87" s="16" t="s">
        <v>199</v>
      </c>
      <c r="C87" s="15" t="s">
        <v>200</v>
      </c>
      <c r="D87" s="39">
        <v>-905952.29</v>
      </c>
      <c r="E87" s="41">
        <v>0</v>
      </c>
      <c r="F87" s="41">
        <v>0</v>
      </c>
      <c r="G87" s="41">
        <v>0</v>
      </c>
      <c r="H87" s="40">
        <v>-905952.29</v>
      </c>
    </row>
    <row r="88" spans="1:8" x14ac:dyDescent="0.35">
      <c r="A88" s="101">
        <f t="shared" si="1"/>
        <v>0</v>
      </c>
      <c r="B88" s="17" t="s">
        <v>201</v>
      </c>
      <c r="C88" s="15" t="s">
        <v>202</v>
      </c>
      <c r="D88" s="39">
        <v>-905952.29</v>
      </c>
      <c r="E88" s="41">
        <v>0</v>
      </c>
      <c r="F88" s="41">
        <v>0</v>
      </c>
      <c r="G88" s="41">
        <v>0</v>
      </c>
      <c r="H88" s="40">
        <v>-905952.29</v>
      </c>
    </row>
    <row r="89" spans="1:8" x14ac:dyDescent="0.35">
      <c r="A89" s="101" t="str">
        <f t="shared" si="1"/>
        <v>2</v>
      </c>
      <c r="B89" s="37">
        <v>24180004</v>
      </c>
      <c r="C89" s="15" t="s">
        <v>17</v>
      </c>
      <c r="D89" s="39">
        <v>-905952.29</v>
      </c>
      <c r="E89" s="41">
        <v>0</v>
      </c>
      <c r="F89" s="41">
        <v>0</v>
      </c>
      <c r="G89" s="41">
        <v>0</v>
      </c>
      <c r="H89" s="40">
        <v>-905952.29</v>
      </c>
    </row>
    <row r="90" spans="1:8" x14ac:dyDescent="0.35">
      <c r="A90" s="100">
        <f t="shared" si="1"/>
        <v>0</v>
      </c>
      <c r="B90" s="10" t="s">
        <v>203</v>
      </c>
      <c r="C90" s="11" t="s">
        <v>204</v>
      </c>
      <c r="D90" s="39">
        <v>46259.89</v>
      </c>
      <c r="E90" s="39">
        <v>115991.42</v>
      </c>
      <c r="F90" s="39">
        <v>115670.71</v>
      </c>
      <c r="G90" s="39">
        <v>320.70999999999998</v>
      </c>
      <c r="H90" s="40">
        <v>46580.6</v>
      </c>
    </row>
    <row r="91" spans="1:8" x14ac:dyDescent="0.35">
      <c r="A91" s="100">
        <f t="shared" si="1"/>
        <v>0</v>
      </c>
      <c r="B91" s="12" t="s">
        <v>205</v>
      </c>
      <c r="C91" s="13" t="s">
        <v>206</v>
      </c>
      <c r="D91" s="39">
        <v>20627.22</v>
      </c>
      <c r="E91" s="39">
        <v>56644.55</v>
      </c>
      <c r="F91" s="39">
        <v>43417.41</v>
      </c>
      <c r="G91" s="39">
        <v>13227.14</v>
      </c>
      <c r="H91" s="40">
        <v>33854.36</v>
      </c>
    </row>
    <row r="92" spans="1:8" x14ac:dyDescent="0.35">
      <c r="A92" s="101">
        <f t="shared" si="1"/>
        <v>0</v>
      </c>
      <c r="B92" s="14" t="s">
        <v>207</v>
      </c>
      <c r="C92" s="15" t="s">
        <v>208</v>
      </c>
      <c r="D92" s="39">
        <v>20627.22</v>
      </c>
      <c r="E92" s="39">
        <v>56644.55</v>
      </c>
      <c r="F92" s="39">
        <v>43417.41</v>
      </c>
      <c r="G92" s="39">
        <v>13227.14</v>
      </c>
      <c r="H92" s="40">
        <v>33854.36</v>
      </c>
    </row>
    <row r="93" spans="1:8" x14ac:dyDescent="0.35">
      <c r="A93" s="100" t="str">
        <f t="shared" si="1"/>
        <v>C</v>
      </c>
      <c r="B93" s="16" t="s">
        <v>209</v>
      </c>
      <c r="C93" s="15" t="s">
        <v>210</v>
      </c>
      <c r="D93" s="39">
        <v>-11896.75</v>
      </c>
      <c r="E93" s="41">
        <v>0</v>
      </c>
      <c r="F93" s="39">
        <v>4605.8</v>
      </c>
      <c r="G93" s="39">
        <v>-4605.8</v>
      </c>
      <c r="H93" s="40">
        <v>-16502.55</v>
      </c>
    </row>
    <row r="94" spans="1:8" x14ac:dyDescent="0.35">
      <c r="A94" s="101">
        <f t="shared" si="1"/>
        <v>0</v>
      </c>
      <c r="B94" s="17" t="s">
        <v>211</v>
      </c>
      <c r="C94" s="15" t="s">
        <v>212</v>
      </c>
      <c r="D94" s="39">
        <v>-11896.75</v>
      </c>
      <c r="E94" s="41">
        <v>0</v>
      </c>
      <c r="F94" s="39">
        <v>4605.8</v>
      </c>
      <c r="G94" s="39">
        <v>-4605.8</v>
      </c>
      <c r="H94" s="40">
        <v>-16502.55</v>
      </c>
    </row>
    <row r="95" spans="1:8" x14ac:dyDescent="0.35">
      <c r="A95" s="100">
        <f t="shared" si="1"/>
        <v>0</v>
      </c>
      <c r="B95" s="37" t="s">
        <v>213</v>
      </c>
      <c r="C95" s="15" t="s">
        <v>214</v>
      </c>
      <c r="D95" s="39">
        <v>-11896.75</v>
      </c>
      <c r="E95" s="41">
        <v>0</v>
      </c>
      <c r="F95" s="39">
        <v>4605.8</v>
      </c>
      <c r="G95" s="39">
        <v>-4605.8</v>
      </c>
      <c r="H95" s="40">
        <v>-16502.55</v>
      </c>
    </row>
    <row r="96" spans="1:8" x14ac:dyDescent="0.35">
      <c r="A96" s="100">
        <f t="shared" si="1"/>
        <v>0</v>
      </c>
      <c r="B96" s="105" t="s">
        <v>215</v>
      </c>
      <c r="C96" s="15" t="s">
        <v>216</v>
      </c>
      <c r="D96" s="39">
        <v>-11896.75</v>
      </c>
      <c r="E96" s="41">
        <v>0</v>
      </c>
      <c r="F96" s="39">
        <v>4605.8</v>
      </c>
      <c r="G96" s="39">
        <v>-4605.8</v>
      </c>
      <c r="H96" s="40">
        <v>-16502.55</v>
      </c>
    </row>
    <row r="97" spans="1:8" x14ac:dyDescent="0.35">
      <c r="A97" s="101" t="str">
        <f>IF(LEN(B97)=8,LEFT(B97,1),0)</f>
        <v>3</v>
      </c>
      <c r="B97" s="106">
        <v>35199998</v>
      </c>
      <c r="C97" s="15" t="s">
        <v>18</v>
      </c>
      <c r="D97" s="39">
        <v>-11896.75</v>
      </c>
      <c r="E97" s="41">
        <v>0</v>
      </c>
      <c r="F97" s="39">
        <v>4605.8</v>
      </c>
      <c r="G97" s="39">
        <v>-4605.8</v>
      </c>
      <c r="H97" s="40">
        <v>-16502.55</v>
      </c>
    </row>
    <row r="98" spans="1:8" x14ac:dyDescent="0.35">
      <c r="A98" s="100" t="str">
        <f t="shared" si="1"/>
        <v>C</v>
      </c>
      <c r="B98" s="16" t="s">
        <v>217</v>
      </c>
      <c r="C98" s="15" t="s">
        <v>218</v>
      </c>
      <c r="D98" s="39">
        <v>32523.97</v>
      </c>
      <c r="E98" s="39">
        <v>56644.55</v>
      </c>
      <c r="F98" s="39">
        <v>38811.61</v>
      </c>
      <c r="G98" s="39">
        <v>17832.939999999999</v>
      </c>
      <c r="H98" s="40">
        <v>50356.91</v>
      </c>
    </row>
    <row r="99" spans="1:8" x14ac:dyDescent="0.35">
      <c r="A99" s="101">
        <f t="shared" si="1"/>
        <v>0</v>
      </c>
      <c r="B99" s="17" t="s">
        <v>219</v>
      </c>
      <c r="C99" s="15" t="s">
        <v>220</v>
      </c>
      <c r="D99" s="39">
        <v>32523.97</v>
      </c>
      <c r="E99" s="39">
        <v>56644.55</v>
      </c>
      <c r="F99" s="39">
        <v>38811.61</v>
      </c>
      <c r="G99" s="39">
        <v>17832.939999999999</v>
      </c>
      <c r="H99" s="40">
        <v>50356.91</v>
      </c>
    </row>
    <row r="100" spans="1:8" x14ac:dyDescent="0.35">
      <c r="A100" s="100">
        <f t="shared" si="1"/>
        <v>0</v>
      </c>
      <c r="B100" s="37" t="s">
        <v>221</v>
      </c>
      <c r="C100" s="15" t="s">
        <v>222</v>
      </c>
      <c r="D100" s="39">
        <v>32523.97</v>
      </c>
      <c r="E100" s="39">
        <v>56644.55</v>
      </c>
      <c r="F100" s="39">
        <v>38811.61</v>
      </c>
      <c r="G100" s="39">
        <v>17832.939999999999</v>
      </c>
      <c r="H100" s="40">
        <v>50356.91</v>
      </c>
    </row>
    <row r="101" spans="1:8" x14ac:dyDescent="0.35">
      <c r="A101" s="101">
        <f t="shared" si="1"/>
        <v>0</v>
      </c>
      <c r="B101" s="105" t="s">
        <v>223</v>
      </c>
      <c r="C101" s="15" t="s">
        <v>216</v>
      </c>
      <c r="D101" s="39">
        <v>32523.97</v>
      </c>
      <c r="E101" s="39">
        <v>56644.55</v>
      </c>
      <c r="F101" s="39">
        <v>38811.61</v>
      </c>
      <c r="G101" s="39">
        <v>17832.939999999999</v>
      </c>
      <c r="H101" s="40">
        <v>50356.91</v>
      </c>
    </row>
    <row r="102" spans="1:8" x14ac:dyDescent="0.35">
      <c r="A102" s="100" t="str">
        <f t="shared" si="1"/>
        <v>4</v>
      </c>
      <c r="B102" s="106">
        <v>44189011</v>
      </c>
      <c r="C102" s="15" t="s">
        <v>94</v>
      </c>
      <c r="D102" s="39">
        <v>22980</v>
      </c>
      <c r="E102" s="39">
        <v>35840</v>
      </c>
      <c r="F102" s="39">
        <v>22980</v>
      </c>
      <c r="G102" s="39">
        <v>12860</v>
      </c>
      <c r="H102" s="40">
        <v>35840</v>
      </c>
    </row>
    <row r="103" spans="1:8" x14ac:dyDescent="0.35">
      <c r="A103" s="101" t="str">
        <f t="shared" si="1"/>
        <v>4</v>
      </c>
      <c r="B103" s="106">
        <v>44189012</v>
      </c>
      <c r="C103" s="15" t="s">
        <v>224</v>
      </c>
      <c r="D103" s="41">
        <v>0</v>
      </c>
      <c r="E103" s="39">
        <v>14902.35</v>
      </c>
      <c r="F103" s="39">
        <v>6287.64</v>
      </c>
      <c r="G103" s="39">
        <v>8614.7099999999991</v>
      </c>
      <c r="H103" s="40">
        <v>8614.7099999999991</v>
      </c>
    </row>
    <row r="104" spans="1:8" x14ac:dyDescent="0.35">
      <c r="A104" s="100" t="str">
        <f t="shared" si="1"/>
        <v>4</v>
      </c>
      <c r="B104" s="106">
        <v>44189013</v>
      </c>
      <c r="C104" s="15" t="s">
        <v>70</v>
      </c>
      <c r="D104" s="39">
        <v>9543.9699999999993</v>
      </c>
      <c r="E104" s="39">
        <v>5902.2</v>
      </c>
      <c r="F104" s="39">
        <v>9543.9699999999993</v>
      </c>
      <c r="G104" s="39">
        <v>-3641.77</v>
      </c>
      <c r="H104" s="40">
        <v>5902.2</v>
      </c>
    </row>
    <row r="105" spans="1:8" x14ac:dyDescent="0.35">
      <c r="A105" s="101">
        <f t="shared" si="1"/>
        <v>0</v>
      </c>
      <c r="B105" s="12" t="s">
        <v>225</v>
      </c>
      <c r="C105" s="13" t="s">
        <v>226</v>
      </c>
      <c r="D105" s="39">
        <v>17678.64</v>
      </c>
      <c r="E105" s="39">
        <v>56346.81</v>
      </c>
      <c r="F105" s="39">
        <v>55840</v>
      </c>
      <c r="G105" s="39">
        <v>506.81</v>
      </c>
      <c r="H105" s="40">
        <v>18185.45</v>
      </c>
    </row>
    <row r="106" spans="1:8" x14ac:dyDescent="0.35">
      <c r="A106" s="100">
        <f t="shared" si="1"/>
        <v>0</v>
      </c>
      <c r="B106" s="14" t="s">
        <v>227</v>
      </c>
      <c r="C106" s="15" t="s">
        <v>228</v>
      </c>
      <c r="D106" s="39">
        <v>10000</v>
      </c>
      <c r="E106" s="39">
        <v>55840</v>
      </c>
      <c r="F106" s="39">
        <v>55840</v>
      </c>
      <c r="G106" s="41">
        <v>0</v>
      </c>
      <c r="H106" s="40">
        <v>10000</v>
      </c>
    </row>
    <row r="107" spans="1:8" x14ac:dyDescent="0.35">
      <c r="A107" s="101" t="str">
        <f t="shared" si="1"/>
        <v>C</v>
      </c>
      <c r="B107" s="16" t="s">
        <v>229</v>
      </c>
      <c r="C107" s="15" t="s">
        <v>228</v>
      </c>
      <c r="D107" s="39">
        <v>10000</v>
      </c>
      <c r="E107" s="39">
        <v>55840</v>
      </c>
      <c r="F107" s="39">
        <v>55840</v>
      </c>
      <c r="G107" s="41">
        <v>0</v>
      </c>
      <c r="H107" s="40">
        <v>10000</v>
      </c>
    </row>
    <row r="108" spans="1:8" x14ac:dyDescent="0.35">
      <c r="A108" s="101">
        <f t="shared" si="1"/>
        <v>0</v>
      </c>
      <c r="B108" s="17" t="s">
        <v>230</v>
      </c>
      <c r="C108" s="15" t="s">
        <v>231</v>
      </c>
      <c r="D108" s="39">
        <v>10000</v>
      </c>
      <c r="E108" s="39">
        <v>55840</v>
      </c>
      <c r="F108" s="39">
        <v>55840</v>
      </c>
      <c r="G108" s="41">
        <v>0</v>
      </c>
      <c r="H108" s="40">
        <v>10000</v>
      </c>
    </row>
    <row r="109" spans="1:8" x14ac:dyDescent="0.35">
      <c r="A109" s="101">
        <f t="shared" si="1"/>
        <v>0</v>
      </c>
      <c r="B109" s="37" t="s">
        <v>232</v>
      </c>
      <c r="C109" s="15" t="s">
        <v>220</v>
      </c>
      <c r="D109" s="39">
        <v>10000</v>
      </c>
      <c r="E109" s="39">
        <v>55840</v>
      </c>
      <c r="F109" s="39">
        <v>55840</v>
      </c>
      <c r="G109" s="41">
        <v>0</v>
      </c>
      <c r="H109" s="40">
        <v>10000</v>
      </c>
    </row>
    <row r="110" spans="1:8" x14ac:dyDescent="0.35">
      <c r="A110" s="101" t="str">
        <f t="shared" si="1"/>
        <v>4</v>
      </c>
      <c r="B110" s="105">
        <v>46211014</v>
      </c>
      <c r="C110" s="15" t="s">
        <v>233</v>
      </c>
      <c r="D110" s="41">
        <v>0</v>
      </c>
      <c r="E110" s="39">
        <v>35840</v>
      </c>
      <c r="F110" s="39">
        <v>35840</v>
      </c>
      <c r="G110" s="41">
        <v>0</v>
      </c>
      <c r="H110" s="42">
        <v>0</v>
      </c>
    </row>
    <row r="111" spans="1:8" x14ac:dyDescent="0.35">
      <c r="A111" s="100" t="str">
        <f t="shared" si="1"/>
        <v>4</v>
      </c>
      <c r="B111" s="105">
        <v>46211016</v>
      </c>
      <c r="C111" s="15" t="s">
        <v>234</v>
      </c>
      <c r="D111" s="41">
        <v>0</v>
      </c>
      <c r="E111" s="39">
        <v>10000</v>
      </c>
      <c r="F111" s="39">
        <v>10000</v>
      </c>
      <c r="G111" s="41">
        <v>0</v>
      </c>
      <c r="H111" s="42">
        <v>0</v>
      </c>
    </row>
    <row r="112" spans="1:8" x14ac:dyDescent="0.35">
      <c r="A112" s="101" t="str">
        <f t="shared" si="1"/>
        <v>4</v>
      </c>
      <c r="B112" s="105">
        <v>46211017</v>
      </c>
      <c r="C112" s="15" t="s">
        <v>56</v>
      </c>
      <c r="D112" s="39">
        <v>10000</v>
      </c>
      <c r="E112" s="39">
        <v>10000</v>
      </c>
      <c r="F112" s="39">
        <v>10000</v>
      </c>
      <c r="G112" s="41">
        <v>0</v>
      </c>
      <c r="H112" s="40">
        <v>10000</v>
      </c>
    </row>
    <row r="113" spans="1:8" x14ac:dyDescent="0.35">
      <c r="A113" s="101">
        <f t="shared" si="1"/>
        <v>0</v>
      </c>
      <c r="B113" s="14" t="s">
        <v>235</v>
      </c>
      <c r="C113" s="15" t="s">
        <v>236</v>
      </c>
      <c r="D113" s="39">
        <v>596.63</v>
      </c>
      <c r="E113" s="39">
        <v>280.13</v>
      </c>
      <c r="F113" s="41">
        <v>0</v>
      </c>
      <c r="G113" s="39">
        <v>280.13</v>
      </c>
      <c r="H113" s="40">
        <v>876.76</v>
      </c>
    </row>
    <row r="114" spans="1:8" x14ac:dyDescent="0.35">
      <c r="A114" s="100" t="str">
        <f t="shared" si="1"/>
        <v>C</v>
      </c>
      <c r="B114" s="16" t="s">
        <v>237</v>
      </c>
      <c r="C114" s="15" t="s">
        <v>236</v>
      </c>
      <c r="D114" s="39">
        <v>596.63</v>
      </c>
      <c r="E114" s="39">
        <v>280.13</v>
      </c>
      <c r="F114" s="41">
        <v>0</v>
      </c>
      <c r="G114" s="39">
        <v>280.13</v>
      </c>
      <c r="H114" s="40">
        <v>876.76</v>
      </c>
    </row>
    <row r="115" spans="1:8" x14ac:dyDescent="0.35">
      <c r="A115" s="101">
        <f t="shared" si="1"/>
        <v>0</v>
      </c>
      <c r="B115" s="17" t="s">
        <v>238</v>
      </c>
      <c r="C115" s="15" t="s">
        <v>239</v>
      </c>
      <c r="D115" s="39">
        <v>596.63</v>
      </c>
      <c r="E115" s="39">
        <v>280.13</v>
      </c>
      <c r="F115" s="41">
        <v>0</v>
      </c>
      <c r="G115" s="39">
        <v>280.13</v>
      </c>
      <c r="H115" s="40">
        <v>876.76</v>
      </c>
    </row>
    <row r="116" spans="1:8" x14ac:dyDescent="0.35">
      <c r="A116" s="100">
        <f t="shared" si="1"/>
        <v>0</v>
      </c>
      <c r="B116" s="37" t="s">
        <v>240</v>
      </c>
      <c r="C116" s="15" t="s">
        <v>241</v>
      </c>
      <c r="D116" s="39">
        <v>596.63</v>
      </c>
      <c r="E116" s="39">
        <v>280.13</v>
      </c>
      <c r="F116" s="41">
        <v>0</v>
      </c>
      <c r="G116" s="39">
        <v>280.13</v>
      </c>
      <c r="H116" s="40">
        <v>876.76</v>
      </c>
    </row>
    <row r="117" spans="1:8" x14ac:dyDescent="0.35">
      <c r="A117" s="101" t="str">
        <f t="shared" si="1"/>
        <v>4</v>
      </c>
      <c r="B117" s="105">
        <v>46312006</v>
      </c>
      <c r="C117" s="15" t="s">
        <v>22</v>
      </c>
      <c r="D117" s="39">
        <v>596.63</v>
      </c>
      <c r="E117" s="39">
        <v>280.13</v>
      </c>
      <c r="F117" s="41">
        <v>0</v>
      </c>
      <c r="G117" s="39">
        <v>280.13</v>
      </c>
      <c r="H117" s="40">
        <v>876.76</v>
      </c>
    </row>
    <row r="118" spans="1:8" x14ac:dyDescent="0.35">
      <c r="A118" s="101">
        <f t="shared" si="1"/>
        <v>0</v>
      </c>
      <c r="B118" s="14" t="s">
        <v>242</v>
      </c>
      <c r="C118" s="15" t="s">
        <v>243</v>
      </c>
      <c r="D118" s="39">
        <v>7040.71</v>
      </c>
      <c r="E118" s="39">
        <v>226.68</v>
      </c>
      <c r="F118" s="41">
        <v>0</v>
      </c>
      <c r="G118" s="39">
        <v>226.68</v>
      </c>
      <c r="H118" s="40">
        <v>7267.39</v>
      </c>
    </row>
    <row r="119" spans="1:8" x14ac:dyDescent="0.35">
      <c r="A119" s="101" t="str">
        <f t="shared" si="1"/>
        <v>C</v>
      </c>
      <c r="B119" s="16" t="s">
        <v>244</v>
      </c>
      <c r="C119" s="15" t="s">
        <v>243</v>
      </c>
      <c r="D119" s="39">
        <v>7040.71</v>
      </c>
      <c r="E119" s="39">
        <v>226.68</v>
      </c>
      <c r="F119" s="41">
        <v>0</v>
      </c>
      <c r="G119" s="39">
        <v>226.68</v>
      </c>
      <c r="H119" s="40">
        <v>7267.39</v>
      </c>
    </row>
    <row r="120" spans="1:8" x14ac:dyDescent="0.35">
      <c r="A120" s="100">
        <f t="shared" si="1"/>
        <v>0</v>
      </c>
      <c r="B120" s="17" t="s">
        <v>245</v>
      </c>
      <c r="C120" s="15" t="s">
        <v>246</v>
      </c>
      <c r="D120" s="39">
        <v>5874.67</v>
      </c>
      <c r="E120" s="41">
        <v>0</v>
      </c>
      <c r="F120" s="41">
        <v>0</v>
      </c>
      <c r="G120" s="41">
        <v>0</v>
      </c>
      <c r="H120" s="40">
        <v>5874.67</v>
      </c>
    </row>
    <row r="121" spans="1:8" x14ac:dyDescent="0.35">
      <c r="A121" s="101">
        <f t="shared" si="1"/>
        <v>0</v>
      </c>
      <c r="B121" s="37" t="s">
        <v>247</v>
      </c>
      <c r="C121" s="15" t="s">
        <v>248</v>
      </c>
      <c r="D121" s="39">
        <v>5874.67</v>
      </c>
      <c r="E121" s="41">
        <v>0</v>
      </c>
      <c r="F121" s="41">
        <v>0</v>
      </c>
      <c r="G121" s="41">
        <v>0</v>
      </c>
      <c r="H121" s="40">
        <v>5874.67</v>
      </c>
    </row>
    <row r="122" spans="1:8" x14ac:dyDescent="0.35">
      <c r="A122" s="101">
        <f t="shared" si="1"/>
        <v>0</v>
      </c>
      <c r="B122" s="105" t="s">
        <v>249</v>
      </c>
      <c r="C122" s="15" t="s">
        <v>23</v>
      </c>
      <c r="D122" s="39">
        <v>4878.3900000000003</v>
      </c>
      <c r="E122" s="41">
        <v>0</v>
      </c>
      <c r="F122" s="41">
        <v>0</v>
      </c>
      <c r="G122" s="41">
        <v>0</v>
      </c>
      <c r="H122" s="40">
        <v>4878.3900000000003</v>
      </c>
    </row>
    <row r="123" spans="1:8" x14ac:dyDescent="0.35">
      <c r="A123" s="101" t="str">
        <f t="shared" si="1"/>
        <v>4</v>
      </c>
      <c r="B123" s="106">
        <v>46511001</v>
      </c>
      <c r="C123" s="15" t="s">
        <v>23</v>
      </c>
      <c r="D123" s="39">
        <v>4878.3900000000003</v>
      </c>
      <c r="E123" s="41">
        <v>0</v>
      </c>
      <c r="F123" s="41">
        <v>0</v>
      </c>
      <c r="G123" s="41">
        <v>0</v>
      </c>
      <c r="H123" s="40">
        <v>4878.3900000000003</v>
      </c>
    </row>
    <row r="124" spans="1:8" x14ac:dyDescent="0.35">
      <c r="A124" s="100">
        <f t="shared" si="1"/>
        <v>0</v>
      </c>
      <c r="B124" s="105" t="s">
        <v>250</v>
      </c>
      <c r="C124" s="15" t="s">
        <v>251</v>
      </c>
      <c r="D124" s="39">
        <v>996.28</v>
      </c>
      <c r="E124" s="41">
        <v>0</v>
      </c>
      <c r="F124" s="41">
        <v>0</v>
      </c>
      <c r="G124" s="41">
        <v>0</v>
      </c>
      <c r="H124" s="40">
        <v>996.28</v>
      </c>
    </row>
    <row r="125" spans="1:8" x14ac:dyDescent="0.35">
      <c r="A125" s="101" t="str">
        <f t="shared" si="1"/>
        <v>4</v>
      </c>
      <c r="B125" s="106">
        <v>46511002</v>
      </c>
      <c r="C125" s="15" t="s">
        <v>24</v>
      </c>
      <c r="D125" s="39">
        <v>996.28</v>
      </c>
      <c r="E125" s="41">
        <v>0</v>
      </c>
      <c r="F125" s="41">
        <v>0</v>
      </c>
      <c r="G125" s="41">
        <v>0</v>
      </c>
      <c r="H125" s="40">
        <v>996.28</v>
      </c>
    </row>
    <row r="126" spans="1:8" x14ac:dyDescent="0.35">
      <c r="A126" s="101">
        <f t="shared" si="1"/>
        <v>0</v>
      </c>
      <c r="B126" s="17" t="s">
        <v>252</v>
      </c>
      <c r="C126" s="15" t="s">
        <v>253</v>
      </c>
      <c r="D126" s="39">
        <v>1166.04</v>
      </c>
      <c r="E126" s="39">
        <v>226.68</v>
      </c>
      <c r="F126" s="41">
        <v>0</v>
      </c>
      <c r="G126" s="39">
        <v>226.68</v>
      </c>
      <c r="H126" s="40">
        <v>1392.72</v>
      </c>
    </row>
    <row r="127" spans="1:8" x14ac:dyDescent="0.35">
      <c r="A127" s="100">
        <f t="shared" si="1"/>
        <v>0</v>
      </c>
      <c r="B127" s="37" t="s">
        <v>254</v>
      </c>
      <c r="C127" s="15" t="s">
        <v>255</v>
      </c>
      <c r="D127" s="39">
        <v>1166.04</v>
      </c>
      <c r="E127" s="39">
        <v>226.68</v>
      </c>
      <c r="F127" s="41">
        <v>0</v>
      </c>
      <c r="G127" s="39">
        <v>226.68</v>
      </c>
      <c r="H127" s="40">
        <v>1392.72</v>
      </c>
    </row>
    <row r="128" spans="1:8" x14ac:dyDescent="0.35">
      <c r="A128" s="101" t="str">
        <f t="shared" si="1"/>
        <v>4</v>
      </c>
      <c r="B128" s="105">
        <v>46540007</v>
      </c>
      <c r="C128" s="15" t="s">
        <v>45</v>
      </c>
      <c r="D128" s="39">
        <v>1166.04</v>
      </c>
      <c r="E128" s="39">
        <v>226.68</v>
      </c>
      <c r="F128" s="41">
        <v>0</v>
      </c>
      <c r="G128" s="39">
        <v>226.68</v>
      </c>
      <c r="H128" s="40">
        <v>1392.72</v>
      </c>
    </row>
    <row r="129" spans="1:8" x14ac:dyDescent="0.35">
      <c r="A129" s="100">
        <f t="shared" si="1"/>
        <v>0</v>
      </c>
      <c r="B129" s="14" t="s">
        <v>256</v>
      </c>
      <c r="C129" s="15" t="s">
        <v>257</v>
      </c>
      <c r="D129" s="39">
        <v>41.3</v>
      </c>
      <c r="E129" s="41">
        <v>0</v>
      </c>
      <c r="F129" s="41">
        <v>0</v>
      </c>
      <c r="G129" s="41">
        <v>0</v>
      </c>
      <c r="H129" s="40">
        <v>41.3</v>
      </c>
    </row>
    <row r="130" spans="1:8" x14ac:dyDescent="0.35">
      <c r="A130" s="100" t="str">
        <f t="shared" si="1"/>
        <v>C</v>
      </c>
      <c r="B130" s="16" t="s">
        <v>258</v>
      </c>
      <c r="C130" s="15" t="s">
        <v>226</v>
      </c>
      <c r="D130" s="39">
        <v>41.3</v>
      </c>
      <c r="E130" s="41">
        <v>0</v>
      </c>
      <c r="F130" s="41">
        <v>0</v>
      </c>
      <c r="G130" s="41">
        <v>0</v>
      </c>
      <c r="H130" s="40">
        <v>41.3</v>
      </c>
    </row>
    <row r="131" spans="1:8" x14ac:dyDescent="0.35">
      <c r="A131" s="101">
        <f t="shared" si="1"/>
        <v>0</v>
      </c>
      <c r="B131" s="17" t="s">
        <v>259</v>
      </c>
      <c r="C131" s="15" t="s">
        <v>260</v>
      </c>
      <c r="D131" s="39">
        <v>41.3</v>
      </c>
      <c r="E131" s="41">
        <v>0</v>
      </c>
      <c r="F131" s="41">
        <v>0</v>
      </c>
      <c r="G131" s="41">
        <v>0</v>
      </c>
      <c r="H131" s="40">
        <v>41.3</v>
      </c>
    </row>
    <row r="132" spans="1:8" x14ac:dyDescent="0.35">
      <c r="A132" s="101">
        <f t="shared" ref="A132:A195" si="2">IF(LEN(B132)=8,LEFT(B132,1),0)</f>
        <v>0</v>
      </c>
      <c r="B132" s="37" t="s">
        <v>261</v>
      </c>
      <c r="C132" s="15" t="s">
        <v>262</v>
      </c>
      <c r="D132" s="39">
        <v>41.3</v>
      </c>
      <c r="E132" s="41">
        <v>0</v>
      </c>
      <c r="F132" s="41">
        <v>0</v>
      </c>
      <c r="G132" s="41">
        <v>0</v>
      </c>
      <c r="H132" s="40">
        <v>41.3</v>
      </c>
    </row>
    <row r="133" spans="1:8" x14ac:dyDescent="0.35">
      <c r="A133" s="100" t="str">
        <f t="shared" si="2"/>
        <v>4</v>
      </c>
      <c r="B133" s="105">
        <v>46920003</v>
      </c>
      <c r="C133" s="15" t="s">
        <v>26</v>
      </c>
      <c r="D133" s="39">
        <v>41.3</v>
      </c>
      <c r="E133" s="41">
        <v>0</v>
      </c>
      <c r="F133" s="41">
        <v>0</v>
      </c>
      <c r="G133" s="41">
        <v>0</v>
      </c>
      <c r="H133" s="40">
        <v>41.3</v>
      </c>
    </row>
    <row r="134" spans="1:8" x14ac:dyDescent="0.35">
      <c r="A134" s="101">
        <f t="shared" si="2"/>
        <v>0</v>
      </c>
      <c r="B134" s="12" t="s">
        <v>263</v>
      </c>
      <c r="C134" s="13" t="s">
        <v>264</v>
      </c>
      <c r="D134" s="39">
        <v>-637.09</v>
      </c>
      <c r="E134" s="41">
        <v>0</v>
      </c>
      <c r="F134" s="39">
        <v>16413.3</v>
      </c>
      <c r="G134" s="39">
        <v>-16413.3</v>
      </c>
      <c r="H134" s="40">
        <v>-17050.39</v>
      </c>
    </row>
    <row r="135" spans="1:8" x14ac:dyDescent="0.35">
      <c r="A135" s="101">
        <f t="shared" si="2"/>
        <v>0</v>
      </c>
      <c r="B135" s="14" t="s">
        <v>265</v>
      </c>
      <c r="C135" s="15" t="s">
        <v>36</v>
      </c>
      <c r="D135" s="39">
        <v>-1465.97</v>
      </c>
      <c r="E135" s="41">
        <v>0</v>
      </c>
      <c r="F135" s="39">
        <v>16413.3</v>
      </c>
      <c r="G135" s="39">
        <v>-16413.3</v>
      </c>
      <c r="H135" s="40">
        <v>-17879.27</v>
      </c>
    </row>
    <row r="136" spans="1:8" x14ac:dyDescent="0.35">
      <c r="A136" s="100" t="str">
        <f t="shared" si="2"/>
        <v>C</v>
      </c>
      <c r="B136" s="16" t="s">
        <v>266</v>
      </c>
      <c r="C136" s="15" t="s">
        <v>267</v>
      </c>
      <c r="D136" s="39">
        <v>-1465.97</v>
      </c>
      <c r="E136" s="41">
        <v>0</v>
      </c>
      <c r="F136" s="39">
        <v>16413.3</v>
      </c>
      <c r="G136" s="39">
        <v>-16413.3</v>
      </c>
      <c r="H136" s="40">
        <v>-17879.27</v>
      </c>
    </row>
    <row r="137" spans="1:8" x14ac:dyDescent="0.35">
      <c r="A137" s="100">
        <f t="shared" si="2"/>
        <v>0</v>
      </c>
      <c r="B137" s="17" t="s">
        <v>268</v>
      </c>
      <c r="C137" s="15" t="s">
        <v>269</v>
      </c>
      <c r="D137" s="39">
        <v>-15365.78</v>
      </c>
      <c r="E137" s="41">
        <v>0</v>
      </c>
      <c r="F137" s="39">
        <v>8607.69</v>
      </c>
      <c r="G137" s="39">
        <v>-8607.69</v>
      </c>
      <c r="H137" s="40">
        <v>-23973.47</v>
      </c>
    </row>
    <row r="138" spans="1:8" x14ac:dyDescent="0.35">
      <c r="A138" s="101">
        <f t="shared" si="2"/>
        <v>0</v>
      </c>
      <c r="B138" s="37" t="s">
        <v>270</v>
      </c>
      <c r="C138" s="15" t="s">
        <v>271</v>
      </c>
      <c r="D138" s="39">
        <v>-15365.78</v>
      </c>
      <c r="E138" s="41">
        <v>0</v>
      </c>
      <c r="F138" s="39">
        <v>8607.69</v>
      </c>
      <c r="G138" s="39">
        <v>-8607.69</v>
      </c>
      <c r="H138" s="40">
        <v>-23973.47</v>
      </c>
    </row>
    <row r="139" spans="1:8" x14ac:dyDescent="0.35">
      <c r="A139" s="100" t="str">
        <f t="shared" si="2"/>
        <v>3</v>
      </c>
      <c r="B139" s="105">
        <v>36910001</v>
      </c>
      <c r="C139" s="15" t="s">
        <v>20</v>
      </c>
      <c r="D139" s="39">
        <v>-15365.78</v>
      </c>
      <c r="E139" s="41">
        <v>0</v>
      </c>
      <c r="F139" s="39">
        <v>8607.69</v>
      </c>
      <c r="G139" s="39">
        <v>-8607.69</v>
      </c>
      <c r="H139" s="40">
        <v>-23973.47</v>
      </c>
    </row>
    <row r="140" spans="1:8" x14ac:dyDescent="0.35">
      <c r="A140" s="101">
        <f t="shared" si="2"/>
        <v>0</v>
      </c>
      <c r="B140" s="17" t="s">
        <v>272</v>
      </c>
      <c r="C140" s="15" t="s">
        <v>273</v>
      </c>
      <c r="D140" s="39">
        <v>-12352.67</v>
      </c>
      <c r="E140" s="41">
        <v>0</v>
      </c>
      <c r="F140" s="39">
        <v>7276.93</v>
      </c>
      <c r="G140" s="39">
        <v>-7276.93</v>
      </c>
      <c r="H140" s="40">
        <v>-19629.599999999999</v>
      </c>
    </row>
    <row r="141" spans="1:8" x14ac:dyDescent="0.35">
      <c r="A141" s="100">
        <f t="shared" si="2"/>
        <v>0</v>
      </c>
      <c r="B141" s="37" t="s">
        <v>274</v>
      </c>
      <c r="C141" s="15" t="s">
        <v>275</v>
      </c>
      <c r="D141" s="39">
        <v>-12352.67</v>
      </c>
      <c r="E141" s="41">
        <v>0</v>
      </c>
      <c r="F141" s="39">
        <v>7276.93</v>
      </c>
      <c r="G141" s="39">
        <v>-7276.93</v>
      </c>
      <c r="H141" s="40">
        <v>-19629.599999999999</v>
      </c>
    </row>
    <row r="142" spans="1:8" x14ac:dyDescent="0.35">
      <c r="A142" s="100">
        <f t="shared" si="2"/>
        <v>0</v>
      </c>
      <c r="B142" s="105" t="s">
        <v>276</v>
      </c>
      <c r="C142" s="15" t="s">
        <v>277</v>
      </c>
      <c r="D142" s="39">
        <v>-12352.67</v>
      </c>
      <c r="E142" s="41">
        <v>0</v>
      </c>
      <c r="F142" s="39">
        <v>7276.93</v>
      </c>
      <c r="G142" s="39">
        <v>-7276.93</v>
      </c>
      <c r="H142" s="40">
        <v>-19629.599999999999</v>
      </c>
    </row>
    <row r="143" spans="1:8" x14ac:dyDescent="0.35">
      <c r="A143" s="101">
        <f t="shared" si="2"/>
        <v>0</v>
      </c>
      <c r="B143" s="106" t="s">
        <v>278</v>
      </c>
      <c r="C143" s="15" t="s">
        <v>279</v>
      </c>
      <c r="D143" s="39">
        <v>-12352.67</v>
      </c>
      <c r="E143" s="41">
        <v>0</v>
      </c>
      <c r="F143" s="39">
        <v>7276.93</v>
      </c>
      <c r="G143" s="39">
        <v>-7276.93</v>
      </c>
      <c r="H143" s="40">
        <v>-19629.599999999999</v>
      </c>
    </row>
    <row r="144" spans="1:8" x14ac:dyDescent="0.35">
      <c r="A144" s="101" t="str">
        <f t="shared" si="2"/>
        <v>3</v>
      </c>
      <c r="B144" s="107">
        <v>36114001</v>
      </c>
      <c r="C144" s="15" t="s">
        <v>19</v>
      </c>
      <c r="D144" s="39">
        <v>-12352.67</v>
      </c>
      <c r="E144" s="41">
        <v>0</v>
      </c>
      <c r="F144" s="39">
        <v>7276.93</v>
      </c>
      <c r="G144" s="39">
        <v>-7276.93</v>
      </c>
      <c r="H144" s="40">
        <v>-19629.599999999999</v>
      </c>
    </row>
    <row r="145" spans="1:8" x14ac:dyDescent="0.35">
      <c r="A145" s="100">
        <f t="shared" si="2"/>
        <v>0</v>
      </c>
      <c r="B145" s="17" t="s">
        <v>280</v>
      </c>
      <c r="C145" s="15" t="s">
        <v>36</v>
      </c>
      <c r="D145" s="39">
        <v>26252.48</v>
      </c>
      <c r="E145" s="41">
        <v>0</v>
      </c>
      <c r="F145" s="39">
        <v>528.67999999999995</v>
      </c>
      <c r="G145" s="39">
        <v>-528.67999999999995</v>
      </c>
      <c r="H145" s="40">
        <v>25723.8</v>
      </c>
    </row>
    <row r="146" spans="1:8" x14ac:dyDescent="0.35">
      <c r="A146" s="100">
        <f t="shared" si="2"/>
        <v>0</v>
      </c>
      <c r="B146" s="37" t="s">
        <v>281</v>
      </c>
      <c r="C146" s="15" t="s">
        <v>214</v>
      </c>
      <c r="D146" s="39">
        <v>26252.48</v>
      </c>
      <c r="E146" s="41">
        <v>0</v>
      </c>
      <c r="F146" s="39">
        <v>528.67999999999995</v>
      </c>
      <c r="G146" s="39">
        <v>-528.67999999999995</v>
      </c>
      <c r="H146" s="40">
        <v>25723.8</v>
      </c>
    </row>
    <row r="147" spans="1:8" x14ac:dyDescent="0.35">
      <c r="A147" s="101" t="str">
        <f t="shared" si="2"/>
        <v>3</v>
      </c>
      <c r="B147" s="105">
        <v>36990099</v>
      </c>
      <c r="C147" s="15" t="s">
        <v>21</v>
      </c>
      <c r="D147" s="39">
        <v>26252.48</v>
      </c>
      <c r="E147" s="41">
        <v>0</v>
      </c>
      <c r="F147" s="39">
        <v>528.67999999999995</v>
      </c>
      <c r="G147" s="39">
        <v>-528.67999999999995</v>
      </c>
      <c r="H147" s="40">
        <v>25723.8</v>
      </c>
    </row>
    <row r="148" spans="1:8" x14ac:dyDescent="0.35">
      <c r="A148" s="101">
        <f t="shared" si="2"/>
        <v>0</v>
      </c>
      <c r="B148" s="14" t="s">
        <v>282</v>
      </c>
      <c r="C148" s="15" t="s">
        <v>283</v>
      </c>
      <c r="D148" s="39">
        <v>828.88</v>
      </c>
      <c r="E148" s="41">
        <v>0</v>
      </c>
      <c r="F148" s="41">
        <v>0</v>
      </c>
      <c r="G148" s="41">
        <v>0</v>
      </c>
      <c r="H148" s="40">
        <v>828.88</v>
      </c>
    </row>
    <row r="149" spans="1:8" x14ac:dyDescent="0.35">
      <c r="A149" s="101" t="str">
        <f t="shared" si="2"/>
        <v>C</v>
      </c>
      <c r="B149" s="16" t="s">
        <v>284</v>
      </c>
      <c r="C149" s="15" t="s">
        <v>285</v>
      </c>
      <c r="D149" s="39">
        <v>828.88</v>
      </c>
      <c r="E149" s="41">
        <v>0</v>
      </c>
      <c r="F149" s="41">
        <v>0</v>
      </c>
      <c r="G149" s="41">
        <v>0</v>
      </c>
      <c r="H149" s="40">
        <v>828.88</v>
      </c>
    </row>
    <row r="150" spans="1:8" x14ac:dyDescent="0.35">
      <c r="A150" s="100">
        <f t="shared" si="2"/>
        <v>0</v>
      </c>
      <c r="B150" s="17" t="s">
        <v>286</v>
      </c>
      <c r="C150" s="15" t="s">
        <v>283</v>
      </c>
      <c r="D150" s="39">
        <v>828.88</v>
      </c>
      <c r="E150" s="41">
        <v>0</v>
      </c>
      <c r="F150" s="41">
        <v>0</v>
      </c>
      <c r="G150" s="41">
        <v>0</v>
      </c>
      <c r="H150" s="40">
        <v>828.88</v>
      </c>
    </row>
    <row r="151" spans="1:8" x14ac:dyDescent="0.35">
      <c r="A151" s="101">
        <f t="shared" si="2"/>
        <v>0</v>
      </c>
      <c r="B151" s="37" t="s">
        <v>287</v>
      </c>
      <c r="C151" s="15" t="s">
        <v>222</v>
      </c>
      <c r="D151" s="39">
        <v>828.88</v>
      </c>
      <c r="E151" s="41">
        <v>0</v>
      </c>
      <c r="F151" s="41">
        <v>0</v>
      </c>
      <c r="G151" s="41">
        <v>0</v>
      </c>
      <c r="H151" s="40">
        <v>828.88</v>
      </c>
    </row>
    <row r="152" spans="1:8" x14ac:dyDescent="0.35">
      <c r="A152" s="101" t="str">
        <f t="shared" si="2"/>
        <v>4</v>
      </c>
      <c r="B152" s="105">
        <v>45990005</v>
      </c>
      <c r="C152" s="15" t="s">
        <v>84</v>
      </c>
      <c r="D152" s="39">
        <v>828.88</v>
      </c>
      <c r="E152" s="41">
        <v>0</v>
      </c>
      <c r="F152" s="41">
        <v>0</v>
      </c>
      <c r="G152" s="41">
        <v>0</v>
      </c>
      <c r="H152" s="40">
        <v>828.88</v>
      </c>
    </row>
    <row r="153" spans="1:8" x14ac:dyDescent="0.35">
      <c r="A153" s="101">
        <f t="shared" si="2"/>
        <v>0</v>
      </c>
      <c r="B153" s="12" t="s">
        <v>288</v>
      </c>
      <c r="C153" s="13" t="s">
        <v>289</v>
      </c>
      <c r="D153" s="39">
        <v>8591.1200000000008</v>
      </c>
      <c r="E153" s="39">
        <v>3000.06</v>
      </c>
      <c r="F153" s="41">
        <v>0</v>
      </c>
      <c r="G153" s="39">
        <v>3000.06</v>
      </c>
      <c r="H153" s="40">
        <v>11591.18</v>
      </c>
    </row>
    <row r="154" spans="1:8" x14ac:dyDescent="0.35">
      <c r="A154" s="100">
        <f t="shared" si="2"/>
        <v>0</v>
      </c>
      <c r="B154" s="14" t="s">
        <v>290</v>
      </c>
      <c r="C154" s="15" t="s">
        <v>180</v>
      </c>
      <c r="D154" s="39">
        <v>8591.1200000000008</v>
      </c>
      <c r="E154" s="39">
        <v>3000.06</v>
      </c>
      <c r="F154" s="41">
        <v>0</v>
      </c>
      <c r="G154" s="39">
        <v>3000.06</v>
      </c>
      <c r="H154" s="40">
        <v>11591.18</v>
      </c>
    </row>
    <row r="155" spans="1:8" x14ac:dyDescent="0.35">
      <c r="A155" s="101" t="str">
        <f t="shared" si="2"/>
        <v>C</v>
      </c>
      <c r="B155" s="16" t="s">
        <v>291</v>
      </c>
      <c r="C155" s="15" t="s">
        <v>180</v>
      </c>
      <c r="D155" s="39">
        <v>8591.1200000000008</v>
      </c>
      <c r="E155" s="39">
        <v>3000.06</v>
      </c>
      <c r="F155" s="41">
        <v>0</v>
      </c>
      <c r="G155" s="39">
        <v>3000.06</v>
      </c>
      <c r="H155" s="40">
        <v>11591.18</v>
      </c>
    </row>
    <row r="156" spans="1:8" x14ac:dyDescent="0.35">
      <c r="A156" s="101">
        <f t="shared" si="2"/>
        <v>0</v>
      </c>
      <c r="B156" s="17" t="s">
        <v>292</v>
      </c>
      <c r="C156" s="15" t="s">
        <v>180</v>
      </c>
      <c r="D156" s="39">
        <v>8591.1200000000008</v>
      </c>
      <c r="E156" s="39">
        <v>3000.06</v>
      </c>
      <c r="F156" s="41">
        <v>0</v>
      </c>
      <c r="G156" s="39">
        <v>3000.06</v>
      </c>
      <c r="H156" s="40">
        <v>11591.18</v>
      </c>
    </row>
    <row r="157" spans="1:8" x14ac:dyDescent="0.35">
      <c r="A157" s="100">
        <f t="shared" si="2"/>
        <v>0</v>
      </c>
      <c r="B157" s="37" t="s">
        <v>293</v>
      </c>
      <c r="C157" s="15" t="s">
        <v>182</v>
      </c>
      <c r="D157" s="39">
        <v>5369.45</v>
      </c>
      <c r="E157" s="39">
        <v>1147.0999999999999</v>
      </c>
      <c r="F157" s="41">
        <v>0</v>
      </c>
      <c r="G157" s="39">
        <v>1147.0999999999999</v>
      </c>
      <c r="H157" s="40">
        <v>6516.55</v>
      </c>
    </row>
    <row r="158" spans="1:8" x14ac:dyDescent="0.35">
      <c r="A158" s="101" t="str">
        <f t="shared" si="2"/>
        <v>5</v>
      </c>
      <c r="B158" s="105">
        <v>51110001</v>
      </c>
      <c r="C158" s="15" t="s">
        <v>52</v>
      </c>
      <c r="D158" s="39">
        <v>5369.45</v>
      </c>
      <c r="E158" s="39">
        <v>1147.0999999999999</v>
      </c>
      <c r="F158" s="41">
        <v>0</v>
      </c>
      <c r="G158" s="39">
        <v>1147.0999999999999</v>
      </c>
      <c r="H158" s="40">
        <v>6516.55</v>
      </c>
    </row>
    <row r="159" spans="1:8" x14ac:dyDescent="0.35">
      <c r="A159" s="100">
        <f t="shared" si="2"/>
        <v>0</v>
      </c>
      <c r="B159" s="37" t="s">
        <v>294</v>
      </c>
      <c r="C159" s="15" t="s">
        <v>140</v>
      </c>
      <c r="D159" s="39">
        <v>3221.67</v>
      </c>
      <c r="E159" s="39">
        <v>1852.96</v>
      </c>
      <c r="F159" s="41">
        <v>0</v>
      </c>
      <c r="G159" s="39">
        <v>1852.96</v>
      </c>
      <c r="H159" s="40">
        <v>5074.63</v>
      </c>
    </row>
    <row r="160" spans="1:8" x14ac:dyDescent="0.35">
      <c r="A160" s="100" t="str">
        <f t="shared" si="2"/>
        <v>5</v>
      </c>
      <c r="B160" s="105">
        <v>51110002</v>
      </c>
      <c r="C160" s="15" t="s">
        <v>53</v>
      </c>
      <c r="D160" s="39">
        <v>3221.67</v>
      </c>
      <c r="E160" s="39">
        <v>1852.96</v>
      </c>
      <c r="F160" s="41">
        <v>0</v>
      </c>
      <c r="G160" s="39">
        <v>1852.96</v>
      </c>
      <c r="H160" s="40">
        <v>5074.63</v>
      </c>
    </row>
    <row r="161" spans="1:8" x14ac:dyDescent="0.35">
      <c r="A161" s="101">
        <f t="shared" si="2"/>
        <v>0</v>
      </c>
      <c r="B161" s="18" t="s">
        <v>295</v>
      </c>
      <c r="C161" s="19" t="s">
        <v>295</v>
      </c>
      <c r="D161" s="39">
        <v>636846.24</v>
      </c>
      <c r="E161" s="39">
        <v>108989.64</v>
      </c>
      <c r="F161" s="39">
        <v>137188.17000000001</v>
      </c>
      <c r="G161" s="39">
        <v>-28198.53</v>
      </c>
      <c r="H161" s="40">
        <v>608647.71</v>
      </c>
    </row>
    <row r="162" spans="1:8" x14ac:dyDescent="0.35">
      <c r="A162" s="101" t="str">
        <f t="shared" si="2"/>
        <v>1</v>
      </c>
      <c r="B162" s="10">
        <v>11311011</v>
      </c>
      <c r="C162" s="11" t="s">
        <v>4</v>
      </c>
      <c r="D162" s="41">
        <v>0</v>
      </c>
      <c r="E162" s="39">
        <v>4605.8</v>
      </c>
      <c r="F162" s="39">
        <v>4605.8</v>
      </c>
      <c r="G162" s="41">
        <v>0</v>
      </c>
      <c r="H162" s="42">
        <v>0</v>
      </c>
    </row>
    <row r="163" spans="1:8" x14ac:dyDescent="0.35">
      <c r="A163" s="101" t="str">
        <f t="shared" si="2"/>
        <v>1</v>
      </c>
      <c r="B163" s="10">
        <v>11311094</v>
      </c>
      <c r="C163" s="11" t="s">
        <v>65</v>
      </c>
      <c r="D163" s="39">
        <v>18422</v>
      </c>
      <c r="E163" s="39">
        <v>33783</v>
      </c>
      <c r="F163" s="39">
        <v>27111.5</v>
      </c>
      <c r="G163" s="39">
        <v>6671.5</v>
      </c>
      <c r="H163" s="40">
        <v>25093.5</v>
      </c>
    </row>
    <row r="164" spans="1:8" x14ac:dyDescent="0.35">
      <c r="A164" s="101" t="str">
        <f t="shared" si="2"/>
        <v>1</v>
      </c>
      <c r="B164" s="10">
        <v>11641008</v>
      </c>
      <c r="C164" s="11" t="s">
        <v>7</v>
      </c>
      <c r="D164" s="39">
        <v>443505.9</v>
      </c>
      <c r="E164" s="39">
        <v>192.96</v>
      </c>
      <c r="F164" s="41">
        <v>0</v>
      </c>
      <c r="G164" s="39">
        <v>192.96</v>
      </c>
      <c r="H164" s="40">
        <v>443698.86</v>
      </c>
    </row>
    <row r="165" spans="1:8" x14ac:dyDescent="0.35">
      <c r="A165" s="100" t="str">
        <f t="shared" si="2"/>
        <v>1</v>
      </c>
      <c r="B165" s="10">
        <v>11641009</v>
      </c>
      <c r="C165" s="11" t="s">
        <v>8</v>
      </c>
      <c r="D165" s="39">
        <v>95447.86</v>
      </c>
      <c r="E165" s="39">
        <v>370.8</v>
      </c>
      <c r="F165" s="41">
        <v>0</v>
      </c>
      <c r="G165" s="39">
        <v>370.8</v>
      </c>
      <c r="H165" s="40">
        <v>95818.66</v>
      </c>
    </row>
    <row r="166" spans="1:8" x14ac:dyDescent="0.35">
      <c r="A166" s="101" t="str">
        <f t="shared" si="2"/>
        <v>1</v>
      </c>
      <c r="B166" s="10">
        <v>11642005</v>
      </c>
      <c r="C166" s="11" t="s">
        <v>9</v>
      </c>
      <c r="D166" s="39">
        <v>65673.34</v>
      </c>
      <c r="E166" s="39">
        <v>255.65</v>
      </c>
      <c r="F166" s="41">
        <v>0</v>
      </c>
      <c r="G166" s="39">
        <v>255.65</v>
      </c>
      <c r="H166" s="40">
        <v>65928.990000000005</v>
      </c>
    </row>
    <row r="167" spans="1:8" x14ac:dyDescent="0.35">
      <c r="A167" s="101" t="str">
        <f t="shared" si="2"/>
        <v>1</v>
      </c>
      <c r="B167" s="10">
        <v>11644004</v>
      </c>
      <c r="C167" s="11" t="s">
        <v>10</v>
      </c>
      <c r="D167" s="39">
        <v>15622.97</v>
      </c>
      <c r="E167" s="39">
        <v>166.18</v>
      </c>
      <c r="F167" s="39">
        <v>890.39</v>
      </c>
      <c r="G167" s="39">
        <v>-724.21</v>
      </c>
      <c r="H167" s="40">
        <v>14898.76</v>
      </c>
    </row>
    <row r="168" spans="1:8" x14ac:dyDescent="0.35">
      <c r="A168" s="100" t="str">
        <f t="shared" si="2"/>
        <v>1</v>
      </c>
      <c r="B168" s="10">
        <v>11644005</v>
      </c>
      <c r="C168" s="11" t="s">
        <v>11</v>
      </c>
      <c r="D168" s="39">
        <v>73616.91</v>
      </c>
      <c r="E168" s="39">
        <v>766.94</v>
      </c>
      <c r="F168" s="39">
        <v>4405.0600000000004</v>
      </c>
      <c r="G168" s="39">
        <v>-3638.12</v>
      </c>
      <c r="H168" s="40">
        <v>69978.789999999994</v>
      </c>
    </row>
    <row r="169" spans="1:8" x14ac:dyDescent="0.35">
      <c r="A169" s="101" t="str">
        <f t="shared" si="2"/>
        <v>2</v>
      </c>
      <c r="B169" s="10">
        <v>21133102</v>
      </c>
      <c r="C169" s="11" t="s">
        <v>16</v>
      </c>
      <c r="D169" s="39">
        <v>-1977.66</v>
      </c>
      <c r="E169" s="39">
        <v>2247.04</v>
      </c>
      <c r="F169" s="39">
        <v>1881.96</v>
      </c>
      <c r="G169" s="39">
        <v>365.08</v>
      </c>
      <c r="H169" s="40">
        <v>-1612.58</v>
      </c>
    </row>
    <row r="170" spans="1:8" x14ac:dyDescent="0.35">
      <c r="A170" s="100" t="str">
        <f t="shared" si="2"/>
        <v>3</v>
      </c>
      <c r="B170" s="10">
        <v>35199995</v>
      </c>
      <c r="C170" s="11" t="s">
        <v>68</v>
      </c>
      <c r="D170" s="39">
        <v>-77699.5</v>
      </c>
      <c r="E170" s="39">
        <v>483</v>
      </c>
      <c r="F170" s="39">
        <v>34033</v>
      </c>
      <c r="G170" s="39">
        <v>-33550</v>
      </c>
      <c r="H170" s="40">
        <v>-111249.5</v>
      </c>
    </row>
    <row r="171" spans="1:8" x14ac:dyDescent="0.35">
      <c r="A171" s="101" t="str">
        <f t="shared" si="2"/>
        <v>4</v>
      </c>
      <c r="B171" s="10">
        <v>46530007</v>
      </c>
      <c r="C171" s="11" t="s">
        <v>25</v>
      </c>
      <c r="D171" s="39">
        <v>4234.42</v>
      </c>
      <c r="E171" s="39">
        <v>1881.96</v>
      </c>
      <c r="F171" s="39">
        <v>24.15</v>
      </c>
      <c r="G171" s="39">
        <v>1857.81</v>
      </c>
      <c r="H171" s="40">
        <v>6092.23</v>
      </c>
    </row>
    <row r="172" spans="1:8" x14ac:dyDescent="0.35">
      <c r="A172" s="100" t="str">
        <f t="shared" si="2"/>
        <v>7</v>
      </c>
      <c r="B172" s="10">
        <v>70000000</v>
      </c>
      <c r="C172" s="11" t="s">
        <v>27</v>
      </c>
      <c r="D172" s="41">
        <v>0</v>
      </c>
      <c r="E172" s="39">
        <v>64236.31</v>
      </c>
      <c r="F172" s="39">
        <v>64236.31</v>
      </c>
      <c r="G172" s="41">
        <v>0</v>
      </c>
      <c r="H172" s="42">
        <v>0</v>
      </c>
    </row>
    <row r="173" spans="1:8" x14ac:dyDescent="0.35">
      <c r="A173" s="101">
        <f t="shared" si="2"/>
        <v>0</v>
      </c>
    </row>
    <row r="174" spans="1:8" x14ac:dyDescent="0.35">
      <c r="A174" s="101">
        <f t="shared" si="2"/>
        <v>0</v>
      </c>
    </row>
    <row r="175" spans="1:8" x14ac:dyDescent="0.35">
      <c r="A175" s="100">
        <f t="shared" si="2"/>
        <v>0</v>
      </c>
    </row>
    <row r="176" spans="1:8" x14ac:dyDescent="0.35">
      <c r="A176" s="100">
        <f t="shared" si="2"/>
        <v>0</v>
      </c>
    </row>
    <row r="177" spans="1:1" x14ac:dyDescent="0.35">
      <c r="A177" s="101">
        <f t="shared" si="2"/>
        <v>0</v>
      </c>
    </row>
    <row r="178" spans="1:1" x14ac:dyDescent="0.35">
      <c r="A178" s="101">
        <f t="shared" si="2"/>
        <v>0</v>
      </c>
    </row>
    <row r="179" spans="1:1" x14ac:dyDescent="0.35">
      <c r="A179" s="100">
        <f t="shared" si="2"/>
        <v>0</v>
      </c>
    </row>
    <row r="180" spans="1:1" x14ac:dyDescent="0.35">
      <c r="A180" s="101">
        <f t="shared" si="2"/>
        <v>0</v>
      </c>
    </row>
    <row r="181" spans="1:1" x14ac:dyDescent="0.35">
      <c r="A181" s="101">
        <f t="shared" si="2"/>
        <v>0</v>
      </c>
    </row>
    <row r="182" spans="1:1" x14ac:dyDescent="0.35">
      <c r="A182" s="100">
        <f t="shared" si="2"/>
        <v>0</v>
      </c>
    </row>
    <row r="183" spans="1:1" x14ac:dyDescent="0.35">
      <c r="A183" s="101">
        <f t="shared" si="2"/>
        <v>0</v>
      </c>
    </row>
    <row r="184" spans="1:1" x14ac:dyDescent="0.35">
      <c r="A184" s="101">
        <f t="shared" si="2"/>
        <v>0</v>
      </c>
    </row>
    <row r="185" spans="1:1" x14ac:dyDescent="0.35">
      <c r="A185" s="100">
        <f t="shared" si="2"/>
        <v>0</v>
      </c>
    </row>
    <row r="186" spans="1:1" x14ac:dyDescent="0.35">
      <c r="A186" s="101">
        <f t="shared" si="2"/>
        <v>0</v>
      </c>
    </row>
    <row r="187" spans="1:1" x14ac:dyDescent="0.35">
      <c r="A187" s="101">
        <f t="shared" si="2"/>
        <v>0</v>
      </c>
    </row>
    <row r="188" spans="1:1" x14ac:dyDescent="0.35">
      <c r="A188" s="100">
        <f t="shared" si="2"/>
        <v>0</v>
      </c>
    </row>
    <row r="189" spans="1:1" x14ac:dyDescent="0.35">
      <c r="A189" s="100">
        <f t="shared" si="2"/>
        <v>0</v>
      </c>
    </row>
    <row r="190" spans="1:1" x14ac:dyDescent="0.35">
      <c r="A190" s="101">
        <f t="shared" si="2"/>
        <v>0</v>
      </c>
    </row>
    <row r="191" spans="1:1" x14ac:dyDescent="0.35">
      <c r="A191" s="101">
        <f t="shared" si="2"/>
        <v>0</v>
      </c>
    </row>
    <row r="192" spans="1:1" x14ac:dyDescent="0.35">
      <c r="A192" s="100">
        <f t="shared" si="2"/>
        <v>0</v>
      </c>
    </row>
    <row r="193" spans="1:1" x14ac:dyDescent="0.35">
      <c r="A193" s="101">
        <f t="shared" si="2"/>
        <v>0</v>
      </c>
    </row>
    <row r="194" spans="1:1" x14ac:dyDescent="0.35">
      <c r="A194" s="101">
        <f t="shared" si="2"/>
        <v>0</v>
      </c>
    </row>
    <row r="195" spans="1:1" x14ac:dyDescent="0.35">
      <c r="A195" s="100">
        <f t="shared" si="2"/>
        <v>0</v>
      </c>
    </row>
    <row r="196" spans="1:1" x14ac:dyDescent="0.35">
      <c r="A196" s="101">
        <f t="shared" ref="A196:A259" si="3">IF(LEN(B196)=8,LEFT(B196,1),0)</f>
        <v>0</v>
      </c>
    </row>
    <row r="197" spans="1:1" x14ac:dyDescent="0.35">
      <c r="A197" s="100">
        <f t="shared" si="3"/>
        <v>0</v>
      </c>
    </row>
    <row r="198" spans="1:1" x14ac:dyDescent="0.35">
      <c r="A198" s="101">
        <f t="shared" si="3"/>
        <v>0</v>
      </c>
    </row>
    <row r="199" spans="1:1" x14ac:dyDescent="0.35">
      <c r="A199" s="101">
        <f t="shared" si="3"/>
        <v>0</v>
      </c>
    </row>
    <row r="200" spans="1:1" x14ac:dyDescent="0.35">
      <c r="A200" s="101">
        <f t="shared" si="3"/>
        <v>0</v>
      </c>
    </row>
    <row r="201" spans="1:1" x14ac:dyDescent="0.35">
      <c r="A201" s="100">
        <f t="shared" si="3"/>
        <v>0</v>
      </c>
    </row>
    <row r="202" spans="1:1" x14ac:dyDescent="0.35">
      <c r="A202" s="101">
        <f t="shared" si="3"/>
        <v>0</v>
      </c>
    </row>
    <row r="203" spans="1:1" x14ac:dyDescent="0.35">
      <c r="A203" s="101">
        <f t="shared" si="3"/>
        <v>0</v>
      </c>
    </row>
    <row r="204" spans="1:1" x14ac:dyDescent="0.35">
      <c r="A204" s="100">
        <f t="shared" si="3"/>
        <v>0</v>
      </c>
    </row>
    <row r="205" spans="1:1" x14ac:dyDescent="0.35">
      <c r="A205" s="101">
        <f t="shared" si="3"/>
        <v>0</v>
      </c>
    </row>
    <row r="206" spans="1:1" x14ac:dyDescent="0.35">
      <c r="A206" s="100">
        <f t="shared" si="3"/>
        <v>0</v>
      </c>
    </row>
    <row r="207" spans="1:1" x14ac:dyDescent="0.35">
      <c r="A207" s="101">
        <f t="shared" si="3"/>
        <v>0</v>
      </c>
    </row>
    <row r="208" spans="1:1" x14ac:dyDescent="0.35">
      <c r="A208" s="100">
        <f t="shared" si="3"/>
        <v>0</v>
      </c>
    </row>
    <row r="209" spans="1:1" x14ac:dyDescent="0.35">
      <c r="A209" s="101">
        <f t="shared" si="3"/>
        <v>0</v>
      </c>
    </row>
    <row r="210" spans="1:1" x14ac:dyDescent="0.35">
      <c r="A210" s="101">
        <f t="shared" si="3"/>
        <v>0</v>
      </c>
    </row>
    <row r="211" spans="1:1" x14ac:dyDescent="0.35">
      <c r="A211" s="100">
        <f t="shared" si="3"/>
        <v>0</v>
      </c>
    </row>
    <row r="212" spans="1:1" x14ac:dyDescent="0.35">
      <c r="A212" s="101">
        <f t="shared" si="3"/>
        <v>0</v>
      </c>
    </row>
    <row r="213" spans="1:1" x14ac:dyDescent="0.35">
      <c r="A213" s="100">
        <f t="shared" si="3"/>
        <v>0</v>
      </c>
    </row>
    <row r="214" spans="1:1" x14ac:dyDescent="0.35">
      <c r="A214" s="101">
        <f t="shared" si="3"/>
        <v>0</v>
      </c>
    </row>
    <row r="215" spans="1:1" x14ac:dyDescent="0.35">
      <c r="A215" s="101">
        <f t="shared" si="3"/>
        <v>0</v>
      </c>
    </row>
    <row r="216" spans="1:1" x14ac:dyDescent="0.35">
      <c r="A216" s="101">
        <f t="shared" si="3"/>
        <v>0</v>
      </c>
    </row>
    <row r="217" spans="1:1" x14ac:dyDescent="0.35">
      <c r="A217" s="100">
        <f t="shared" si="3"/>
        <v>0</v>
      </c>
    </row>
    <row r="218" spans="1:1" x14ac:dyDescent="0.35">
      <c r="A218" s="101">
        <f t="shared" si="3"/>
        <v>0</v>
      </c>
    </row>
    <row r="219" spans="1:1" x14ac:dyDescent="0.35">
      <c r="A219" s="100">
        <f t="shared" si="3"/>
        <v>0</v>
      </c>
    </row>
    <row r="220" spans="1:1" x14ac:dyDescent="0.35">
      <c r="A220" s="101">
        <f t="shared" si="3"/>
        <v>0</v>
      </c>
    </row>
    <row r="221" spans="1:1" x14ac:dyDescent="0.35">
      <c r="A221" s="101">
        <f t="shared" si="3"/>
        <v>0</v>
      </c>
    </row>
    <row r="222" spans="1:1" x14ac:dyDescent="0.35">
      <c r="A222" s="100">
        <f t="shared" si="3"/>
        <v>0</v>
      </c>
    </row>
    <row r="223" spans="1:1" x14ac:dyDescent="0.35">
      <c r="A223" s="101">
        <f t="shared" si="3"/>
        <v>0</v>
      </c>
    </row>
    <row r="224" spans="1:1" x14ac:dyDescent="0.35">
      <c r="A224" s="100">
        <f t="shared" si="3"/>
        <v>0</v>
      </c>
    </row>
    <row r="225" spans="1:1" x14ac:dyDescent="0.35">
      <c r="A225" s="100">
        <f t="shared" si="3"/>
        <v>0</v>
      </c>
    </row>
    <row r="226" spans="1:1" x14ac:dyDescent="0.35">
      <c r="A226" s="100">
        <f t="shared" si="3"/>
        <v>0</v>
      </c>
    </row>
    <row r="227" spans="1:1" x14ac:dyDescent="0.35">
      <c r="A227" s="101">
        <f t="shared" si="3"/>
        <v>0</v>
      </c>
    </row>
    <row r="228" spans="1:1" x14ac:dyDescent="0.35">
      <c r="A228" s="100">
        <f t="shared" si="3"/>
        <v>0</v>
      </c>
    </row>
    <row r="229" spans="1:1" x14ac:dyDescent="0.35">
      <c r="A229" s="101">
        <f t="shared" si="3"/>
        <v>0</v>
      </c>
    </row>
    <row r="230" spans="1:1" x14ac:dyDescent="0.35">
      <c r="A230" s="100">
        <f t="shared" si="3"/>
        <v>0</v>
      </c>
    </row>
    <row r="231" spans="1:1" x14ac:dyDescent="0.35">
      <c r="A231" s="101">
        <f t="shared" si="3"/>
        <v>0</v>
      </c>
    </row>
    <row r="232" spans="1:1" x14ac:dyDescent="0.35">
      <c r="A232" s="100">
        <f t="shared" si="3"/>
        <v>0</v>
      </c>
    </row>
    <row r="233" spans="1:1" x14ac:dyDescent="0.35">
      <c r="A233" s="101">
        <f t="shared" si="3"/>
        <v>0</v>
      </c>
    </row>
    <row r="234" spans="1:1" x14ac:dyDescent="0.35">
      <c r="A234" s="101">
        <f t="shared" si="3"/>
        <v>0</v>
      </c>
    </row>
    <row r="235" spans="1:1" x14ac:dyDescent="0.35">
      <c r="A235" s="100">
        <f t="shared" si="3"/>
        <v>0</v>
      </c>
    </row>
    <row r="236" spans="1:1" x14ac:dyDescent="0.35">
      <c r="A236" s="101">
        <f t="shared" si="3"/>
        <v>0</v>
      </c>
    </row>
    <row r="237" spans="1:1" x14ac:dyDescent="0.35">
      <c r="A237" s="100">
        <f t="shared" si="3"/>
        <v>0</v>
      </c>
    </row>
    <row r="238" spans="1:1" x14ac:dyDescent="0.35">
      <c r="A238" s="101">
        <f t="shared" si="3"/>
        <v>0</v>
      </c>
    </row>
    <row r="239" spans="1:1" x14ac:dyDescent="0.35">
      <c r="A239" s="101">
        <f t="shared" si="3"/>
        <v>0</v>
      </c>
    </row>
    <row r="240" spans="1:1" x14ac:dyDescent="0.35">
      <c r="A240" s="100">
        <f t="shared" si="3"/>
        <v>0</v>
      </c>
    </row>
    <row r="241" spans="1:1" x14ac:dyDescent="0.35">
      <c r="A241" s="101">
        <f t="shared" si="3"/>
        <v>0</v>
      </c>
    </row>
    <row r="242" spans="1:1" x14ac:dyDescent="0.35">
      <c r="A242" s="101">
        <f t="shared" si="3"/>
        <v>0</v>
      </c>
    </row>
    <row r="243" spans="1:1" x14ac:dyDescent="0.35">
      <c r="A243" s="100">
        <f t="shared" si="3"/>
        <v>0</v>
      </c>
    </row>
    <row r="244" spans="1:1" x14ac:dyDescent="0.35">
      <c r="A244" s="100">
        <f t="shared" si="3"/>
        <v>0</v>
      </c>
    </row>
    <row r="245" spans="1:1" x14ac:dyDescent="0.35">
      <c r="A245" s="100">
        <f t="shared" si="3"/>
        <v>0</v>
      </c>
    </row>
    <row r="246" spans="1:1" x14ac:dyDescent="0.35">
      <c r="A246" s="101">
        <f t="shared" si="3"/>
        <v>0</v>
      </c>
    </row>
    <row r="247" spans="1:1" x14ac:dyDescent="0.35">
      <c r="A247" s="101">
        <f t="shared" si="3"/>
        <v>0</v>
      </c>
    </row>
    <row r="248" spans="1:1" x14ac:dyDescent="0.35">
      <c r="A248" s="101">
        <f t="shared" si="3"/>
        <v>0</v>
      </c>
    </row>
    <row r="249" spans="1:1" x14ac:dyDescent="0.35">
      <c r="A249" s="101">
        <f t="shared" si="3"/>
        <v>0</v>
      </c>
    </row>
    <row r="250" spans="1:1" x14ac:dyDescent="0.35">
      <c r="A250" s="100">
        <f t="shared" si="3"/>
        <v>0</v>
      </c>
    </row>
    <row r="251" spans="1:1" x14ac:dyDescent="0.35">
      <c r="A251" s="101">
        <f t="shared" si="3"/>
        <v>0</v>
      </c>
    </row>
    <row r="252" spans="1:1" x14ac:dyDescent="0.35">
      <c r="A252" s="100">
        <f t="shared" si="3"/>
        <v>0</v>
      </c>
    </row>
    <row r="253" spans="1:1" x14ac:dyDescent="0.35">
      <c r="A253" s="101">
        <f t="shared" si="3"/>
        <v>0</v>
      </c>
    </row>
    <row r="254" spans="1:1" x14ac:dyDescent="0.35">
      <c r="A254" s="100">
        <f t="shared" si="3"/>
        <v>0</v>
      </c>
    </row>
    <row r="255" spans="1:1" x14ac:dyDescent="0.35">
      <c r="A255" s="100">
        <f t="shared" si="3"/>
        <v>0</v>
      </c>
    </row>
    <row r="256" spans="1:1" x14ac:dyDescent="0.35">
      <c r="A256" s="101">
        <f t="shared" si="3"/>
        <v>0</v>
      </c>
    </row>
    <row r="257" spans="1:1" x14ac:dyDescent="0.35">
      <c r="A257" s="101">
        <f t="shared" si="3"/>
        <v>0</v>
      </c>
    </row>
    <row r="258" spans="1:1" x14ac:dyDescent="0.35">
      <c r="A258" s="100">
        <f t="shared" si="3"/>
        <v>0</v>
      </c>
    </row>
    <row r="259" spans="1:1" x14ac:dyDescent="0.35">
      <c r="A259" s="101">
        <f t="shared" si="3"/>
        <v>0</v>
      </c>
    </row>
    <row r="260" spans="1:1" x14ac:dyDescent="0.35">
      <c r="A260" s="101">
        <f t="shared" ref="A260:A323" si="4">IF(LEN(B260)=8,LEFT(B260,1),0)</f>
        <v>0</v>
      </c>
    </row>
    <row r="261" spans="1:1" x14ac:dyDescent="0.35">
      <c r="A261" s="100">
        <f t="shared" si="4"/>
        <v>0</v>
      </c>
    </row>
    <row r="262" spans="1:1" x14ac:dyDescent="0.35">
      <c r="A262" s="101">
        <f t="shared" si="4"/>
        <v>0</v>
      </c>
    </row>
    <row r="263" spans="1:1" x14ac:dyDescent="0.35">
      <c r="A263" s="101">
        <f t="shared" si="4"/>
        <v>0</v>
      </c>
    </row>
    <row r="264" spans="1:1" x14ac:dyDescent="0.35">
      <c r="A264" s="100">
        <f t="shared" si="4"/>
        <v>0</v>
      </c>
    </row>
    <row r="265" spans="1:1" x14ac:dyDescent="0.35">
      <c r="A265" s="101">
        <f t="shared" si="4"/>
        <v>0</v>
      </c>
    </row>
    <row r="266" spans="1:1" x14ac:dyDescent="0.35">
      <c r="A266" s="100">
        <f t="shared" si="4"/>
        <v>0</v>
      </c>
    </row>
    <row r="267" spans="1:1" x14ac:dyDescent="0.35">
      <c r="A267" s="101">
        <f t="shared" si="4"/>
        <v>0</v>
      </c>
    </row>
    <row r="268" spans="1:1" x14ac:dyDescent="0.35">
      <c r="A268" s="100">
        <f t="shared" si="4"/>
        <v>0</v>
      </c>
    </row>
    <row r="269" spans="1:1" x14ac:dyDescent="0.35">
      <c r="A269" s="100">
        <f t="shared" si="4"/>
        <v>0</v>
      </c>
    </row>
    <row r="270" spans="1:1" x14ac:dyDescent="0.35">
      <c r="A270" s="100">
        <f t="shared" si="4"/>
        <v>0</v>
      </c>
    </row>
    <row r="271" spans="1:1" x14ac:dyDescent="0.35">
      <c r="A271" s="100">
        <f t="shared" si="4"/>
        <v>0</v>
      </c>
    </row>
    <row r="272" spans="1:1" x14ac:dyDescent="0.35">
      <c r="A272" s="100">
        <f t="shared" si="4"/>
        <v>0</v>
      </c>
    </row>
    <row r="273" spans="1:1" x14ac:dyDescent="0.35">
      <c r="A273" s="100">
        <f t="shared" si="4"/>
        <v>0</v>
      </c>
    </row>
    <row r="274" spans="1:1" x14ac:dyDescent="0.35">
      <c r="A274" s="100">
        <f t="shared" si="4"/>
        <v>0</v>
      </c>
    </row>
    <row r="275" spans="1:1" x14ac:dyDescent="0.35">
      <c r="A275" s="100">
        <f t="shared" si="4"/>
        <v>0</v>
      </c>
    </row>
    <row r="276" spans="1:1" x14ac:dyDescent="0.35">
      <c r="A276" s="100">
        <f t="shared" si="4"/>
        <v>0</v>
      </c>
    </row>
    <row r="277" spans="1:1" x14ac:dyDescent="0.35">
      <c r="A277" s="100">
        <f t="shared" si="4"/>
        <v>0</v>
      </c>
    </row>
    <row r="278" spans="1:1" x14ac:dyDescent="0.35">
      <c r="A278" s="100">
        <f t="shared" si="4"/>
        <v>0</v>
      </c>
    </row>
    <row r="279" spans="1:1" x14ac:dyDescent="0.35">
      <c r="A279" s="100">
        <f t="shared" si="4"/>
        <v>0</v>
      </c>
    </row>
    <row r="280" spans="1:1" x14ac:dyDescent="0.35">
      <c r="A280" s="100">
        <f t="shared" si="4"/>
        <v>0</v>
      </c>
    </row>
    <row r="281" spans="1:1" x14ac:dyDescent="0.35">
      <c r="A281" s="100">
        <f t="shared" si="4"/>
        <v>0</v>
      </c>
    </row>
    <row r="282" spans="1:1" x14ac:dyDescent="0.35">
      <c r="A282" s="100">
        <f t="shared" si="4"/>
        <v>0</v>
      </c>
    </row>
    <row r="283" spans="1:1" x14ac:dyDescent="0.35">
      <c r="A283" s="100">
        <f t="shared" si="4"/>
        <v>0</v>
      </c>
    </row>
    <row r="284" spans="1:1" x14ac:dyDescent="0.35">
      <c r="A284" s="100">
        <f t="shared" si="4"/>
        <v>0</v>
      </c>
    </row>
    <row r="285" spans="1:1" x14ac:dyDescent="0.35">
      <c r="A285" s="100">
        <f t="shared" si="4"/>
        <v>0</v>
      </c>
    </row>
    <row r="286" spans="1:1" x14ac:dyDescent="0.35">
      <c r="A286" s="100">
        <f t="shared" si="4"/>
        <v>0</v>
      </c>
    </row>
    <row r="287" spans="1:1" x14ac:dyDescent="0.35">
      <c r="A287" s="100">
        <f t="shared" si="4"/>
        <v>0</v>
      </c>
    </row>
    <row r="288" spans="1:1" x14ac:dyDescent="0.35">
      <c r="A288" s="100">
        <f t="shared" si="4"/>
        <v>0</v>
      </c>
    </row>
    <row r="289" spans="1:1" x14ac:dyDescent="0.35">
      <c r="A289" s="100">
        <f t="shared" si="4"/>
        <v>0</v>
      </c>
    </row>
    <row r="290" spans="1:1" x14ac:dyDescent="0.35">
      <c r="A290" s="100">
        <f t="shared" si="4"/>
        <v>0</v>
      </c>
    </row>
    <row r="291" spans="1:1" x14ac:dyDescent="0.35">
      <c r="A291" s="100">
        <f t="shared" si="4"/>
        <v>0</v>
      </c>
    </row>
    <row r="292" spans="1:1" x14ac:dyDescent="0.35">
      <c r="A292" s="100">
        <f t="shared" si="4"/>
        <v>0</v>
      </c>
    </row>
    <row r="293" spans="1:1" x14ac:dyDescent="0.35">
      <c r="A293" s="100">
        <f t="shared" si="4"/>
        <v>0</v>
      </c>
    </row>
    <row r="294" spans="1:1" x14ac:dyDescent="0.35">
      <c r="A294" s="100">
        <f t="shared" si="4"/>
        <v>0</v>
      </c>
    </row>
    <row r="295" spans="1:1" x14ac:dyDescent="0.35">
      <c r="A295" s="100">
        <f t="shared" si="4"/>
        <v>0</v>
      </c>
    </row>
    <row r="296" spans="1:1" x14ac:dyDescent="0.35">
      <c r="A296" s="100">
        <f t="shared" si="4"/>
        <v>0</v>
      </c>
    </row>
    <row r="297" spans="1:1" x14ac:dyDescent="0.35">
      <c r="A297" s="100">
        <f t="shared" si="4"/>
        <v>0</v>
      </c>
    </row>
    <row r="298" spans="1:1" x14ac:dyDescent="0.35">
      <c r="A298" s="100">
        <f t="shared" si="4"/>
        <v>0</v>
      </c>
    </row>
    <row r="299" spans="1:1" x14ac:dyDescent="0.35">
      <c r="A299" s="100">
        <f t="shared" si="4"/>
        <v>0</v>
      </c>
    </row>
    <row r="300" spans="1:1" x14ac:dyDescent="0.35">
      <c r="A300" s="100">
        <f t="shared" si="4"/>
        <v>0</v>
      </c>
    </row>
    <row r="301" spans="1:1" x14ac:dyDescent="0.35">
      <c r="A301" s="100">
        <f t="shared" si="4"/>
        <v>0</v>
      </c>
    </row>
    <row r="302" spans="1:1" x14ac:dyDescent="0.35">
      <c r="A302" s="100">
        <f t="shared" si="4"/>
        <v>0</v>
      </c>
    </row>
    <row r="303" spans="1:1" x14ac:dyDescent="0.35">
      <c r="A303" s="100">
        <f t="shared" si="4"/>
        <v>0</v>
      </c>
    </row>
    <row r="304" spans="1:1" x14ac:dyDescent="0.35">
      <c r="A304" s="100">
        <f t="shared" si="4"/>
        <v>0</v>
      </c>
    </row>
    <row r="305" spans="1:1" x14ac:dyDescent="0.35">
      <c r="A305" s="100">
        <f t="shared" si="4"/>
        <v>0</v>
      </c>
    </row>
    <row r="306" spans="1:1" x14ac:dyDescent="0.35">
      <c r="A306" s="100">
        <f t="shared" si="4"/>
        <v>0</v>
      </c>
    </row>
    <row r="307" spans="1:1" x14ac:dyDescent="0.35">
      <c r="A307" s="100">
        <f t="shared" si="4"/>
        <v>0</v>
      </c>
    </row>
    <row r="308" spans="1:1" x14ac:dyDescent="0.35">
      <c r="A308" s="100">
        <f t="shared" si="4"/>
        <v>0</v>
      </c>
    </row>
    <row r="309" spans="1:1" x14ac:dyDescent="0.35">
      <c r="A309" s="100">
        <f t="shared" si="4"/>
        <v>0</v>
      </c>
    </row>
    <row r="310" spans="1:1" x14ac:dyDescent="0.35">
      <c r="A310" s="100">
        <f t="shared" si="4"/>
        <v>0</v>
      </c>
    </row>
    <row r="311" spans="1:1" x14ac:dyDescent="0.35">
      <c r="A311" s="100">
        <f t="shared" si="4"/>
        <v>0</v>
      </c>
    </row>
    <row r="312" spans="1:1" x14ac:dyDescent="0.35">
      <c r="A312" s="100">
        <f t="shared" si="4"/>
        <v>0</v>
      </c>
    </row>
    <row r="313" spans="1:1" x14ac:dyDescent="0.35">
      <c r="A313" s="100">
        <f t="shared" si="4"/>
        <v>0</v>
      </c>
    </row>
    <row r="314" spans="1:1" x14ac:dyDescent="0.35">
      <c r="A314" s="100">
        <f t="shared" si="4"/>
        <v>0</v>
      </c>
    </row>
    <row r="315" spans="1:1" x14ac:dyDescent="0.35">
      <c r="A315" s="100">
        <f t="shared" si="4"/>
        <v>0</v>
      </c>
    </row>
    <row r="316" spans="1:1" x14ac:dyDescent="0.35">
      <c r="A316" s="100">
        <f t="shared" si="4"/>
        <v>0</v>
      </c>
    </row>
    <row r="317" spans="1:1" x14ac:dyDescent="0.35">
      <c r="A317" s="100">
        <f t="shared" si="4"/>
        <v>0</v>
      </c>
    </row>
    <row r="318" spans="1:1" x14ac:dyDescent="0.35">
      <c r="A318" s="100">
        <f t="shared" si="4"/>
        <v>0</v>
      </c>
    </row>
    <row r="319" spans="1:1" x14ac:dyDescent="0.35">
      <c r="A319" s="100">
        <f t="shared" si="4"/>
        <v>0</v>
      </c>
    </row>
    <row r="320" spans="1:1" x14ac:dyDescent="0.35">
      <c r="A320" s="100">
        <f t="shared" si="4"/>
        <v>0</v>
      </c>
    </row>
    <row r="321" spans="1:1" x14ac:dyDescent="0.35">
      <c r="A321" s="100">
        <f t="shared" si="4"/>
        <v>0</v>
      </c>
    </row>
    <row r="322" spans="1:1" x14ac:dyDescent="0.35">
      <c r="A322" s="100">
        <f t="shared" si="4"/>
        <v>0</v>
      </c>
    </row>
    <row r="323" spans="1:1" x14ac:dyDescent="0.35">
      <c r="A323" s="100">
        <f t="shared" si="4"/>
        <v>0</v>
      </c>
    </row>
    <row r="324" spans="1:1" x14ac:dyDescent="0.35">
      <c r="A324" s="100">
        <f t="shared" ref="A324:A387" si="5">IF(LEN(B324)=8,LEFT(B324,1),0)</f>
        <v>0</v>
      </c>
    </row>
    <row r="325" spans="1:1" x14ac:dyDescent="0.35">
      <c r="A325" s="100">
        <f t="shared" si="5"/>
        <v>0</v>
      </c>
    </row>
    <row r="326" spans="1:1" x14ac:dyDescent="0.35">
      <c r="A326" s="100">
        <f t="shared" si="5"/>
        <v>0</v>
      </c>
    </row>
    <row r="327" spans="1:1" x14ac:dyDescent="0.35">
      <c r="A327" s="100">
        <f t="shared" si="5"/>
        <v>0</v>
      </c>
    </row>
    <row r="328" spans="1:1" x14ac:dyDescent="0.35">
      <c r="A328" s="100">
        <f t="shared" si="5"/>
        <v>0</v>
      </c>
    </row>
    <row r="329" spans="1:1" x14ac:dyDescent="0.35">
      <c r="A329" s="100">
        <f t="shared" si="5"/>
        <v>0</v>
      </c>
    </row>
    <row r="330" spans="1:1" x14ac:dyDescent="0.35">
      <c r="A330" s="100">
        <f t="shared" si="5"/>
        <v>0</v>
      </c>
    </row>
    <row r="331" spans="1:1" x14ac:dyDescent="0.35">
      <c r="A331" s="100">
        <f t="shared" si="5"/>
        <v>0</v>
      </c>
    </row>
    <row r="332" spans="1:1" x14ac:dyDescent="0.35">
      <c r="A332" s="100">
        <f t="shared" si="5"/>
        <v>0</v>
      </c>
    </row>
    <row r="333" spans="1:1" x14ac:dyDescent="0.35">
      <c r="A333" s="100">
        <f t="shared" si="5"/>
        <v>0</v>
      </c>
    </row>
    <row r="334" spans="1:1" x14ac:dyDescent="0.35">
      <c r="A334" s="100">
        <f t="shared" si="5"/>
        <v>0</v>
      </c>
    </row>
    <row r="335" spans="1:1" x14ac:dyDescent="0.35">
      <c r="A335" s="100">
        <f t="shared" si="5"/>
        <v>0</v>
      </c>
    </row>
    <row r="336" spans="1:1" x14ac:dyDescent="0.35">
      <c r="A336" s="100">
        <f t="shared" si="5"/>
        <v>0</v>
      </c>
    </row>
    <row r="337" spans="1:1" x14ac:dyDescent="0.35">
      <c r="A337" s="100">
        <f t="shared" si="5"/>
        <v>0</v>
      </c>
    </row>
    <row r="338" spans="1:1" x14ac:dyDescent="0.35">
      <c r="A338" s="100">
        <f t="shared" si="5"/>
        <v>0</v>
      </c>
    </row>
    <row r="339" spans="1:1" x14ac:dyDescent="0.35">
      <c r="A339" s="100">
        <f t="shared" si="5"/>
        <v>0</v>
      </c>
    </row>
    <row r="340" spans="1:1" x14ac:dyDescent="0.35">
      <c r="A340" s="100">
        <f t="shared" si="5"/>
        <v>0</v>
      </c>
    </row>
    <row r="341" spans="1:1" x14ac:dyDescent="0.35">
      <c r="A341" s="100">
        <f t="shared" si="5"/>
        <v>0</v>
      </c>
    </row>
    <row r="342" spans="1:1" x14ac:dyDescent="0.35">
      <c r="A342" s="100">
        <f t="shared" si="5"/>
        <v>0</v>
      </c>
    </row>
    <row r="343" spans="1:1" x14ac:dyDescent="0.35">
      <c r="A343" s="100">
        <f t="shared" si="5"/>
        <v>0</v>
      </c>
    </row>
    <row r="344" spans="1:1" x14ac:dyDescent="0.35">
      <c r="A344" s="100">
        <f t="shared" si="5"/>
        <v>0</v>
      </c>
    </row>
    <row r="345" spans="1:1" x14ac:dyDescent="0.35">
      <c r="A345" s="100">
        <f t="shared" si="5"/>
        <v>0</v>
      </c>
    </row>
    <row r="346" spans="1:1" x14ac:dyDescent="0.35">
      <c r="A346" s="100">
        <f t="shared" si="5"/>
        <v>0</v>
      </c>
    </row>
    <row r="347" spans="1:1" x14ac:dyDescent="0.35">
      <c r="A347" s="100">
        <f t="shared" si="5"/>
        <v>0</v>
      </c>
    </row>
    <row r="348" spans="1:1" x14ac:dyDescent="0.35">
      <c r="A348" s="100">
        <f t="shared" si="5"/>
        <v>0</v>
      </c>
    </row>
    <row r="349" spans="1:1" x14ac:dyDescent="0.35">
      <c r="A349" s="100">
        <f t="shared" si="5"/>
        <v>0</v>
      </c>
    </row>
    <row r="350" spans="1:1" x14ac:dyDescent="0.35">
      <c r="A350" s="100">
        <f t="shared" si="5"/>
        <v>0</v>
      </c>
    </row>
    <row r="351" spans="1:1" x14ac:dyDescent="0.35">
      <c r="A351" s="100">
        <f t="shared" si="5"/>
        <v>0</v>
      </c>
    </row>
    <row r="352" spans="1:1" x14ac:dyDescent="0.35">
      <c r="A352" s="100">
        <f t="shared" si="5"/>
        <v>0</v>
      </c>
    </row>
    <row r="353" spans="1:1" x14ac:dyDescent="0.35">
      <c r="A353" s="100">
        <f t="shared" si="5"/>
        <v>0</v>
      </c>
    </row>
    <row r="354" spans="1:1" x14ac:dyDescent="0.35">
      <c r="A354" s="100">
        <f t="shared" si="5"/>
        <v>0</v>
      </c>
    </row>
    <row r="355" spans="1:1" x14ac:dyDescent="0.35">
      <c r="A355" s="100">
        <f t="shared" si="5"/>
        <v>0</v>
      </c>
    </row>
    <row r="356" spans="1:1" x14ac:dyDescent="0.35">
      <c r="A356" s="100">
        <f t="shared" si="5"/>
        <v>0</v>
      </c>
    </row>
    <row r="357" spans="1:1" x14ac:dyDescent="0.35">
      <c r="A357" s="100">
        <f t="shared" si="5"/>
        <v>0</v>
      </c>
    </row>
    <row r="358" spans="1:1" x14ac:dyDescent="0.35">
      <c r="A358" s="100">
        <f t="shared" si="5"/>
        <v>0</v>
      </c>
    </row>
    <row r="359" spans="1:1" x14ac:dyDescent="0.35">
      <c r="A359" s="100">
        <f t="shared" si="5"/>
        <v>0</v>
      </c>
    </row>
    <row r="360" spans="1:1" x14ac:dyDescent="0.35">
      <c r="A360" s="100">
        <f t="shared" si="5"/>
        <v>0</v>
      </c>
    </row>
    <row r="361" spans="1:1" x14ac:dyDescent="0.35">
      <c r="A361" s="100">
        <f t="shared" si="5"/>
        <v>0</v>
      </c>
    </row>
    <row r="362" spans="1:1" x14ac:dyDescent="0.35">
      <c r="A362" s="100">
        <f t="shared" si="5"/>
        <v>0</v>
      </c>
    </row>
    <row r="363" spans="1:1" x14ac:dyDescent="0.35">
      <c r="A363" s="100">
        <f t="shared" si="5"/>
        <v>0</v>
      </c>
    </row>
    <row r="364" spans="1:1" x14ac:dyDescent="0.35">
      <c r="A364" s="100">
        <f t="shared" si="5"/>
        <v>0</v>
      </c>
    </row>
    <row r="365" spans="1:1" x14ac:dyDescent="0.35">
      <c r="A365" s="100">
        <f t="shared" si="5"/>
        <v>0</v>
      </c>
    </row>
    <row r="366" spans="1:1" x14ac:dyDescent="0.35">
      <c r="A366" s="100">
        <f t="shared" si="5"/>
        <v>0</v>
      </c>
    </row>
    <row r="367" spans="1:1" x14ac:dyDescent="0.35">
      <c r="A367" s="100">
        <f t="shared" si="5"/>
        <v>0</v>
      </c>
    </row>
    <row r="368" spans="1:1" x14ac:dyDescent="0.35">
      <c r="A368" s="100">
        <f t="shared" si="5"/>
        <v>0</v>
      </c>
    </row>
    <row r="369" spans="1:1" x14ac:dyDescent="0.35">
      <c r="A369" s="100">
        <f t="shared" si="5"/>
        <v>0</v>
      </c>
    </row>
    <row r="370" spans="1:1" x14ac:dyDescent="0.35">
      <c r="A370" s="100">
        <f t="shared" si="5"/>
        <v>0</v>
      </c>
    </row>
    <row r="371" spans="1:1" x14ac:dyDescent="0.35">
      <c r="A371" s="100">
        <f t="shared" si="5"/>
        <v>0</v>
      </c>
    </row>
    <row r="372" spans="1:1" x14ac:dyDescent="0.35">
      <c r="A372" s="100">
        <f t="shared" si="5"/>
        <v>0</v>
      </c>
    </row>
    <row r="373" spans="1:1" x14ac:dyDescent="0.35">
      <c r="A373" s="100">
        <f t="shared" si="5"/>
        <v>0</v>
      </c>
    </row>
    <row r="374" spans="1:1" x14ac:dyDescent="0.35">
      <c r="A374" s="100">
        <f t="shared" si="5"/>
        <v>0</v>
      </c>
    </row>
    <row r="375" spans="1:1" x14ac:dyDescent="0.35">
      <c r="A375" s="100">
        <f t="shared" si="5"/>
        <v>0</v>
      </c>
    </row>
    <row r="376" spans="1:1" x14ac:dyDescent="0.35">
      <c r="A376" s="100">
        <f t="shared" si="5"/>
        <v>0</v>
      </c>
    </row>
    <row r="377" spans="1:1" x14ac:dyDescent="0.35">
      <c r="A377" s="100">
        <f t="shared" si="5"/>
        <v>0</v>
      </c>
    </row>
    <row r="378" spans="1:1" x14ac:dyDescent="0.35">
      <c r="A378" s="100">
        <f t="shared" si="5"/>
        <v>0</v>
      </c>
    </row>
    <row r="379" spans="1:1" x14ac:dyDescent="0.35">
      <c r="A379" s="100">
        <f t="shared" si="5"/>
        <v>0</v>
      </c>
    </row>
    <row r="380" spans="1:1" x14ac:dyDescent="0.35">
      <c r="A380" s="100">
        <f t="shared" si="5"/>
        <v>0</v>
      </c>
    </row>
    <row r="381" spans="1:1" x14ac:dyDescent="0.35">
      <c r="A381" s="100">
        <f t="shared" si="5"/>
        <v>0</v>
      </c>
    </row>
    <row r="382" spans="1:1" x14ac:dyDescent="0.35">
      <c r="A382" s="100">
        <f t="shared" si="5"/>
        <v>0</v>
      </c>
    </row>
    <row r="383" spans="1:1" x14ac:dyDescent="0.35">
      <c r="A383" s="100">
        <f t="shared" si="5"/>
        <v>0</v>
      </c>
    </row>
    <row r="384" spans="1:1" x14ac:dyDescent="0.35">
      <c r="A384" s="100">
        <f t="shared" si="5"/>
        <v>0</v>
      </c>
    </row>
    <row r="385" spans="1:1" x14ac:dyDescent="0.35">
      <c r="A385" s="100">
        <f t="shared" si="5"/>
        <v>0</v>
      </c>
    </row>
    <row r="386" spans="1:1" x14ac:dyDescent="0.35">
      <c r="A386" s="100">
        <f t="shared" si="5"/>
        <v>0</v>
      </c>
    </row>
    <row r="387" spans="1:1" x14ac:dyDescent="0.35">
      <c r="A387" s="100">
        <f t="shared" si="5"/>
        <v>0</v>
      </c>
    </row>
    <row r="388" spans="1:1" x14ac:dyDescent="0.35">
      <c r="A388" s="100">
        <f t="shared" ref="A388:A451" si="6">IF(LEN(B388)=8,LEFT(B388,1),0)</f>
        <v>0</v>
      </c>
    </row>
    <row r="389" spans="1:1" x14ac:dyDescent="0.35">
      <c r="A389" s="100">
        <f t="shared" si="6"/>
        <v>0</v>
      </c>
    </row>
    <row r="390" spans="1:1" x14ac:dyDescent="0.35">
      <c r="A390" s="100">
        <f t="shared" si="6"/>
        <v>0</v>
      </c>
    </row>
    <row r="391" spans="1:1" x14ac:dyDescent="0.35">
      <c r="A391" s="100">
        <f t="shared" si="6"/>
        <v>0</v>
      </c>
    </row>
    <row r="392" spans="1:1" x14ac:dyDescent="0.35">
      <c r="A392" s="100">
        <f t="shared" si="6"/>
        <v>0</v>
      </c>
    </row>
    <row r="393" spans="1:1" x14ac:dyDescent="0.35">
      <c r="A393" s="100">
        <f t="shared" si="6"/>
        <v>0</v>
      </c>
    </row>
    <row r="394" spans="1:1" x14ac:dyDescent="0.35">
      <c r="A394" s="100">
        <f t="shared" si="6"/>
        <v>0</v>
      </c>
    </row>
    <row r="395" spans="1:1" x14ac:dyDescent="0.35">
      <c r="A395" s="100">
        <f t="shared" si="6"/>
        <v>0</v>
      </c>
    </row>
    <row r="396" spans="1:1" x14ac:dyDescent="0.35">
      <c r="A396" s="100">
        <f t="shared" si="6"/>
        <v>0</v>
      </c>
    </row>
    <row r="397" spans="1:1" x14ac:dyDescent="0.35">
      <c r="A397" s="100">
        <f t="shared" si="6"/>
        <v>0</v>
      </c>
    </row>
    <row r="398" spans="1:1" x14ac:dyDescent="0.35">
      <c r="A398" s="100">
        <f t="shared" si="6"/>
        <v>0</v>
      </c>
    </row>
    <row r="399" spans="1:1" x14ac:dyDescent="0.35">
      <c r="A399" s="100">
        <f t="shared" si="6"/>
        <v>0</v>
      </c>
    </row>
    <row r="400" spans="1:1" x14ac:dyDescent="0.35">
      <c r="A400" s="100">
        <f t="shared" si="6"/>
        <v>0</v>
      </c>
    </row>
    <row r="401" spans="1:1" x14ac:dyDescent="0.35">
      <c r="A401" s="100">
        <f t="shared" si="6"/>
        <v>0</v>
      </c>
    </row>
    <row r="402" spans="1:1" x14ac:dyDescent="0.35">
      <c r="A402" s="100">
        <f t="shared" si="6"/>
        <v>0</v>
      </c>
    </row>
    <row r="403" spans="1:1" x14ac:dyDescent="0.35">
      <c r="A403" s="100">
        <f t="shared" si="6"/>
        <v>0</v>
      </c>
    </row>
    <row r="404" spans="1:1" x14ac:dyDescent="0.35">
      <c r="A404" s="100">
        <f t="shared" si="6"/>
        <v>0</v>
      </c>
    </row>
    <row r="405" spans="1:1" x14ac:dyDescent="0.35">
      <c r="A405" s="100">
        <f t="shared" si="6"/>
        <v>0</v>
      </c>
    </row>
    <row r="406" spans="1:1" x14ac:dyDescent="0.35">
      <c r="A406" s="100">
        <f t="shared" si="6"/>
        <v>0</v>
      </c>
    </row>
    <row r="407" spans="1:1" x14ac:dyDescent="0.35">
      <c r="A407" s="100">
        <f t="shared" si="6"/>
        <v>0</v>
      </c>
    </row>
    <row r="408" spans="1:1" x14ac:dyDescent="0.35">
      <c r="A408" s="100">
        <f t="shared" si="6"/>
        <v>0</v>
      </c>
    </row>
    <row r="409" spans="1:1" x14ac:dyDescent="0.35">
      <c r="A409" s="100">
        <f t="shared" si="6"/>
        <v>0</v>
      </c>
    </row>
    <row r="410" spans="1:1" x14ac:dyDescent="0.35">
      <c r="A410" s="100">
        <f t="shared" si="6"/>
        <v>0</v>
      </c>
    </row>
    <row r="411" spans="1:1" x14ac:dyDescent="0.35">
      <c r="A411" s="100">
        <f t="shared" si="6"/>
        <v>0</v>
      </c>
    </row>
    <row r="412" spans="1:1" x14ac:dyDescent="0.35">
      <c r="A412" s="100">
        <f t="shared" si="6"/>
        <v>0</v>
      </c>
    </row>
    <row r="413" spans="1:1" x14ac:dyDescent="0.35">
      <c r="A413" s="100">
        <f t="shared" si="6"/>
        <v>0</v>
      </c>
    </row>
    <row r="414" spans="1:1" x14ac:dyDescent="0.35">
      <c r="A414" s="100">
        <f t="shared" si="6"/>
        <v>0</v>
      </c>
    </row>
    <row r="415" spans="1:1" x14ac:dyDescent="0.35">
      <c r="A415" s="100">
        <f t="shared" si="6"/>
        <v>0</v>
      </c>
    </row>
    <row r="416" spans="1:1" x14ac:dyDescent="0.35">
      <c r="A416" s="100">
        <f t="shared" si="6"/>
        <v>0</v>
      </c>
    </row>
    <row r="417" spans="1:1" x14ac:dyDescent="0.35">
      <c r="A417" s="100">
        <f t="shared" si="6"/>
        <v>0</v>
      </c>
    </row>
    <row r="418" spans="1:1" x14ac:dyDescent="0.35">
      <c r="A418" s="100">
        <f t="shared" si="6"/>
        <v>0</v>
      </c>
    </row>
    <row r="419" spans="1:1" x14ac:dyDescent="0.35">
      <c r="A419" s="100">
        <f t="shared" si="6"/>
        <v>0</v>
      </c>
    </row>
    <row r="420" spans="1:1" x14ac:dyDescent="0.35">
      <c r="A420" s="100">
        <f t="shared" si="6"/>
        <v>0</v>
      </c>
    </row>
    <row r="421" spans="1:1" x14ac:dyDescent="0.35">
      <c r="A421" s="100">
        <f t="shared" si="6"/>
        <v>0</v>
      </c>
    </row>
    <row r="422" spans="1:1" x14ac:dyDescent="0.35">
      <c r="A422" s="100">
        <f t="shared" si="6"/>
        <v>0</v>
      </c>
    </row>
    <row r="423" spans="1:1" x14ac:dyDescent="0.35">
      <c r="A423" s="100">
        <f t="shared" si="6"/>
        <v>0</v>
      </c>
    </row>
    <row r="424" spans="1:1" x14ac:dyDescent="0.35">
      <c r="A424" s="100">
        <f t="shared" si="6"/>
        <v>0</v>
      </c>
    </row>
    <row r="425" spans="1:1" x14ac:dyDescent="0.35">
      <c r="A425" s="100">
        <f t="shared" si="6"/>
        <v>0</v>
      </c>
    </row>
    <row r="426" spans="1:1" x14ac:dyDescent="0.35">
      <c r="A426" s="100">
        <f t="shared" si="6"/>
        <v>0</v>
      </c>
    </row>
    <row r="427" spans="1:1" x14ac:dyDescent="0.35">
      <c r="A427" s="100">
        <f t="shared" si="6"/>
        <v>0</v>
      </c>
    </row>
    <row r="428" spans="1:1" x14ac:dyDescent="0.35">
      <c r="A428" s="100">
        <f t="shared" si="6"/>
        <v>0</v>
      </c>
    </row>
    <row r="429" spans="1:1" x14ac:dyDescent="0.35">
      <c r="A429" s="100">
        <f t="shared" si="6"/>
        <v>0</v>
      </c>
    </row>
    <row r="430" spans="1:1" x14ac:dyDescent="0.35">
      <c r="A430" s="100">
        <f t="shared" si="6"/>
        <v>0</v>
      </c>
    </row>
    <row r="431" spans="1:1" x14ac:dyDescent="0.35">
      <c r="A431" s="100">
        <f t="shared" si="6"/>
        <v>0</v>
      </c>
    </row>
    <row r="432" spans="1:1" x14ac:dyDescent="0.35">
      <c r="A432" s="100">
        <f t="shared" si="6"/>
        <v>0</v>
      </c>
    </row>
    <row r="433" spans="1:1" x14ac:dyDescent="0.35">
      <c r="A433" s="100">
        <f t="shared" si="6"/>
        <v>0</v>
      </c>
    </row>
    <row r="434" spans="1:1" x14ac:dyDescent="0.35">
      <c r="A434" s="100">
        <f t="shared" si="6"/>
        <v>0</v>
      </c>
    </row>
    <row r="435" spans="1:1" x14ac:dyDescent="0.35">
      <c r="A435" s="100">
        <f t="shared" si="6"/>
        <v>0</v>
      </c>
    </row>
    <row r="436" spans="1:1" x14ac:dyDescent="0.35">
      <c r="A436" s="100">
        <f t="shared" si="6"/>
        <v>0</v>
      </c>
    </row>
    <row r="437" spans="1:1" x14ac:dyDescent="0.35">
      <c r="A437" s="100">
        <f t="shared" si="6"/>
        <v>0</v>
      </c>
    </row>
    <row r="438" spans="1:1" x14ac:dyDescent="0.35">
      <c r="A438" s="100">
        <f t="shared" si="6"/>
        <v>0</v>
      </c>
    </row>
    <row r="439" spans="1:1" x14ac:dyDescent="0.35">
      <c r="A439" s="100">
        <f t="shared" si="6"/>
        <v>0</v>
      </c>
    </row>
    <row r="440" spans="1:1" x14ac:dyDescent="0.35">
      <c r="A440" s="100">
        <f t="shared" si="6"/>
        <v>0</v>
      </c>
    </row>
    <row r="441" spans="1:1" x14ac:dyDescent="0.35">
      <c r="A441" s="100">
        <f t="shared" si="6"/>
        <v>0</v>
      </c>
    </row>
    <row r="442" spans="1:1" x14ac:dyDescent="0.35">
      <c r="A442" s="100">
        <f t="shared" si="6"/>
        <v>0</v>
      </c>
    </row>
    <row r="443" spans="1:1" x14ac:dyDescent="0.35">
      <c r="A443" s="100">
        <f t="shared" si="6"/>
        <v>0</v>
      </c>
    </row>
    <row r="444" spans="1:1" x14ac:dyDescent="0.35">
      <c r="A444" s="100">
        <f t="shared" si="6"/>
        <v>0</v>
      </c>
    </row>
    <row r="445" spans="1:1" x14ac:dyDescent="0.35">
      <c r="A445" s="100">
        <f t="shared" si="6"/>
        <v>0</v>
      </c>
    </row>
    <row r="446" spans="1:1" x14ac:dyDescent="0.35">
      <c r="A446" s="100">
        <f t="shared" si="6"/>
        <v>0</v>
      </c>
    </row>
    <row r="447" spans="1:1" x14ac:dyDescent="0.35">
      <c r="A447" s="100">
        <f t="shared" si="6"/>
        <v>0</v>
      </c>
    </row>
    <row r="448" spans="1:1" x14ac:dyDescent="0.35">
      <c r="A448" s="100">
        <f t="shared" si="6"/>
        <v>0</v>
      </c>
    </row>
    <row r="449" spans="1:1" x14ac:dyDescent="0.35">
      <c r="A449" s="100">
        <f t="shared" si="6"/>
        <v>0</v>
      </c>
    </row>
    <row r="450" spans="1:1" x14ac:dyDescent="0.35">
      <c r="A450" s="100">
        <f t="shared" si="6"/>
        <v>0</v>
      </c>
    </row>
    <row r="451" spans="1:1" x14ac:dyDescent="0.35">
      <c r="A451" s="100">
        <f t="shared" si="6"/>
        <v>0</v>
      </c>
    </row>
    <row r="452" spans="1:1" x14ac:dyDescent="0.35">
      <c r="A452" s="100">
        <f t="shared" ref="A452:A515" si="7">IF(LEN(B452)=8,LEFT(B452,1),0)</f>
        <v>0</v>
      </c>
    </row>
    <row r="453" spans="1:1" x14ac:dyDescent="0.35">
      <c r="A453" s="100">
        <f t="shared" si="7"/>
        <v>0</v>
      </c>
    </row>
    <row r="454" spans="1:1" x14ac:dyDescent="0.35">
      <c r="A454" s="100">
        <f t="shared" si="7"/>
        <v>0</v>
      </c>
    </row>
    <row r="455" spans="1:1" x14ac:dyDescent="0.35">
      <c r="A455" s="100">
        <f t="shared" si="7"/>
        <v>0</v>
      </c>
    </row>
    <row r="456" spans="1:1" x14ac:dyDescent="0.35">
      <c r="A456" s="100">
        <f t="shared" si="7"/>
        <v>0</v>
      </c>
    </row>
    <row r="457" spans="1:1" x14ac:dyDescent="0.35">
      <c r="A457" s="100">
        <f t="shared" si="7"/>
        <v>0</v>
      </c>
    </row>
    <row r="458" spans="1:1" x14ac:dyDescent="0.35">
      <c r="A458" s="100">
        <f t="shared" si="7"/>
        <v>0</v>
      </c>
    </row>
    <row r="459" spans="1:1" x14ac:dyDescent="0.35">
      <c r="A459" s="100">
        <f t="shared" si="7"/>
        <v>0</v>
      </c>
    </row>
    <row r="460" spans="1:1" x14ac:dyDescent="0.35">
      <c r="A460" s="100">
        <f t="shared" si="7"/>
        <v>0</v>
      </c>
    </row>
    <row r="461" spans="1:1" x14ac:dyDescent="0.35">
      <c r="A461" s="100">
        <f t="shared" si="7"/>
        <v>0</v>
      </c>
    </row>
    <row r="462" spans="1:1" x14ac:dyDescent="0.35">
      <c r="A462" s="100">
        <f t="shared" si="7"/>
        <v>0</v>
      </c>
    </row>
    <row r="463" spans="1:1" x14ac:dyDescent="0.35">
      <c r="A463" s="100">
        <f t="shared" si="7"/>
        <v>0</v>
      </c>
    </row>
    <row r="464" spans="1:1" x14ac:dyDescent="0.35">
      <c r="A464" s="100">
        <f t="shared" si="7"/>
        <v>0</v>
      </c>
    </row>
    <row r="465" spans="1:1" x14ac:dyDescent="0.35">
      <c r="A465" s="100">
        <f t="shared" si="7"/>
        <v>0</v>
      </c>
    </row>
    <row r="466" spans="1:1" x14ac:dyDescent="0.35">
      <c r="A466" s="100">
        <f t="shared" si="7"/>
        <v>0</v>
      </c>
    </row>
    <row r="467" spans="1:1" x14ac:dyDescent="0.35">
      <c r="A467" s="100">
        <f t="shared" si="7"/>
        <v>0</v>
      </c>
    </row>
    <row r="468" spans="1:1" x14ac:dyDescent="0.35">
      <c r="A468" s="100">
        <f t="shared" si="7"/>
        <v>0</v>
      </c>
    </row>
    <row r="469" spans="1:1" x14ac:dyDescent="0.35">
      <c r="A469" s="100">
        <f t="shared" si="7"/>
        <v>0</v>
      </c>
    </row>
    <row r="470" spans="1:1" x14ac:dyDescent="0.35">
      <c r="A470" s="100">
        <f t="shared" si="7"/>
        <v>0</v>
      </c>
    </row>
    <row r="471" spans="1:1" x14ac:dyDescent="0.35">
      <c r="A471" s="100">
        <f t="shared" si="7"/>
        <v>0</v>
      </c>
    </row>
    <row r="472" spans="1:1" x14ac:dyDescent="0.35">
      <c r="A472" s="100">
        <f t="shared" si="7"/>
        <v>0</v>
      </c>
    </row>
    <row r="473" spans="1:1" x14ac:dyDescent="0.35">
      <c r="A473" s="100">
        <f t="shared" si="7"/>
        <v>0</v>
      </c>
    </row>
    <row r="474" spans="1:1" x14ac:dyDescent="0.35">
      <c r="A474" s="100">
        <f t="shared" si="7"/>
        <v>0</v>
      </c>
    </row>
    <row r="475" spans="1:1" x14ac:dyDescent="0.35">
      <c r="A475" s="100">
        <f t="shared" si="7"/>
        <v>0</v>
      </c>
    </row>
    <row r="476" spans="1:1" x14ac:dyDescent="0.35">
      <c r="A476" s="100">
        <f t="shared" si="7"/>
        <v>0</v>
      </c>
    </row>
    <row r="477" spans="1:1" x14ac:dyDescent="0.35">
      <c r="A477" s="100">
        <f t="shared" si="7"/>
        <v>0</v>
      </c>
    </row>
    <row r="478" spans="1:1" x14ac:dyDescent="0.35">
      <c r="A478" s="100">
        <f t="shared" si="7"/>
        <v>0</v>
      </c>
    </row>
    <row r="479" spans="1:1" x14ac:dyDescent="0.35">
      <c r="A479" s="100">
        <f t="shared" si="7"/>
        <v>0</v>
      </c>
    </row>
    <row r="480" spans="1:1" x14ac:dyDescent="0.35">
      <c r="A480" s="100">
        <f t="shared" si="7"/>
        <v>0</v>
      </c>
    </row>
    <row r="481" spans="1:1" x14ac:dyDescent="0.35">
      <c r="A481" s="100">
        <f t="shared" si="7"/>
        <v>0</v>
      </c>
    </row>
    <row r="482" spans="1:1" x14ac:dyDescent="0.35">
      <c r="A482" s="100">
        <f t="shared" si="7"/>
        <v>0</v>
      </c>
    </row>
    <row r="483" spans="1:1" x14ac:dyDescent="0.35">
      <c r="A483" s="100">
        <f t="shared" si="7"/>
        <v>0</v>
      </c>
    </row>
    <row r="484" spans="1:1" x14ac:dyDescent="0.35">
      <c r="A484" s="100">
        <f t="shared" si="7"/>
        <v>0</v>
      </c>
    </row>
    <row r="485" spans="1:1" x14ac:dyDescent="0.35">
      <c r="A485" s="100">
        <f t="shared" si="7"/>
        <v>0</v>
      </c>
    </row>
    <row r="486" spans="1:1" x14ac:dyDescent="0.35">
      <c r="A486" s="100">
        <f t="shared" si="7"/>
        <v>0</v>
      </c>
    </row>
    <row r="487" spans="1:1" x14ac:dyDescent="0.35">
      <c r="A487" s="100">
        <f t="shared" si="7"/>
        <v>0</v>
      </c>
    </row>
    <row r="488" spans="1:1" x14ac:dyDescent="0.35">
      <c r="A488" s="100">
        <f t="shared" si="7"/>
        <v>0</v>
      </c>
    </row>
    <row r="489" spans="1:1" x14ac:dyDescent="0.35">
      <c r="A489" s="100">
        <f t="shared" si="7"/>
        <v>0</v>
      </c>
    </row>
    <row r="490" spans="1:1" x14ac:dyDescent="0.35">
      <c r="A490" s="100">
        <f t="shared" si="7"/>
        <v>0</v>
      </c>
    </row>
    <row r="491" spans="1:1" x14ac:dyDescent="0.35">
      <c r="A491" s="100">
        <f t="shared" si="7"/>
        <v>0</v>
      </c>
    </row>
    <row r="492" spans="1:1" x14ac:dyDescent="0.35">
      <c r="A492" s="100">
        <f t="shared" si="7"/>
        <v>0</v>
      </c>
    </row>
    <row r="493" spans="1:1" x14ac:dyDescent="0.35">
      <c r="A493" s="100">
        <f t="shared" si="7"/>
        <v>0</v>
      </c>
    </row>
    <row r="494" spans="1:1" x14ac:dyDescent="0.35">
      <c r="A494" s="100">
        <f t="shared" si="7"/>
        <v>0</v>
      </c>
    </row>
    <row r="495" spans="1:1" x14ac:dyDescent="0.35">
      <c r="A495" s="100">
        <f t="shared" si="7"/>
        <v>0</v>
      </c>
    </row>
    <row r="496" spans="1:1" x14ac:dyDescent="0.35">
      <c r="A496" s="100">
        <f t="shared" si="7"/>
        <v>0</v>
      </c>
    </row>
    <row r="497" spans="1:1" x14ac:dyDescent="0.35">
      <c r="A497" s="100">
        <f t="shared" si="7"/>
        <v>0</v>
      </c>
    </row>
    <row r="498" spans="1:1" x14ac:dyDescent="0.35">
      <c r="A498" s="100">
        <f t="shared" si="7"/>
        <v>0</v>
      </c>
    </row>
    <row r="499" spans="1:1" x14ac:dyDescent="0.35">
      <c r="A499" s="100">
        <f t="shared" si="7"/>
        <v>0</v>
      </c>
    </row>
    <row r="500" spans="1:1" x14ac:dyDescent="0.35">
      <c r="A500" s="100">
        <f t="shared" si="7"/>
        <v>0</v>
      </c>
    </row>
    <row r="501" spans="1:1" x14ac:dyDescent="0.35">
      <c r="A501" s="100">
        <f t="shared" si="7"/>
        <v>0</v>
      </c>
    </row>
    <row r="502" spans="1:1" x14ac:dyDescent="0.35">
      <c r="A502" s="100">
        <f t="shared" si="7"/>
        <v>0</v>
      </c>
    </row>
    <row r="503" spans="1:1" x14ac:dyDescent="0.35">
      <c r="A503" s="100">
        <f t="shared" si="7"/>
        <v>0</v>
      </c>
    </row>
    <row r="504" spans="1:1" x14ac:dyDescent="0.35">
      <c r="A504" s="100">
        <f t="shared" si="7"/>
        <v>0</v>
      </c>
    </row>
    <row r="505" spans="1:1" x14ac:dyDescent="0.35">
      <c r="A505" s="100">
        <f t="shared" si="7"/>
        <v>0</v>
      </c>
    </row>
    <row r="506" spans="1:1" x14ac:dyDescent="0.35">
      <c r="A506" s="100">
        <f t="shared" si="7"/>
        <v>0</v>
      </c>
    </row>
    <row r="507" spans="1:1" x14ac:dyDescent="0.35">
      <c r="A507" s="100">
        <f t="shared" si="7"/>
        <v>0</v>
      </c>
    </row>
    <row r="508" spans="1:1" x14ac:dyDescent="0.35">
      <c r="A508" s="100">
        <f t="shared" si="7"/>
        <v>0</v>
      </c>
    </row>
    <row r="509" spans="1:1" x14ac:dyDescent="0.35">
      <c r="A509" s="100">
        <f t="shared" si="7"/>
        <v>0</v>
      </c>
    </row>
    <row r="510" spans="1:1" x14ac:dyDescent="0.35">
      <c r="A510" s="100">
        <f t="shared" si="7"/>
        <v>0</v>
      </c>
    </row>
    <row r="511" spans="1:1" x14ac:dyDescent="0.35">
      <c r="A511" s="100">
        <f t="shared" si="7"/>
        <v>0</v>
      </c>
    </row>
    <row r="512" spans="1:1" x14ac:dyDescent="0.35">
      <c r="A512" s="100">
        <f t="shared" si="7"/>
        <v>0</v>
      </c>
    </row>
    <row r="513" spans="1:1" x14ac:dyDescent="0.35">
      <c r="A513" s="100">
        <f t="shared" si="7"/>
        <v>0</v>
      </c>
    </row>
    <row r="514" spans="1:1" x14ac:dyDescent="0.35">
      <c r="A514" s="100">
        <f t="shared" si="7"/>
        <v>0</v>
      </c>
    </row>
    <row r="515" spans="1:1" x14ac:dyDescent="0.35">
      <c r="A515" s="100">
        <f t="shared" si="7"/>
        <v>0</v>
      </c>
    </row>
    <row r="516" spans="1:1" x14ac:dyDescent="0.35">
      <c r="A516" s="100">
        <f t="shared" ref="A516:A579" si="8">IF(LEN(B516)=8,LEFT(B516,1),0)</f>
        <v>0</v>
      </c>
    </row>
    <row r="517" spans="1:1" x14ac:dyDescent="0.35">
      <c r="A517" s="100">
        <f t="shared" si="8"/>
        <v>0</v>
      </c>
    </row>
    <row r="518" spans="1:1" x14ac:dyDescent="0.35">
      <c r="A518" s="100">
        <f t="shared" si="8"/>
        <v>0</v>
      </c>
    </row>
    <row r="519" spans="1:1" x14ac:dyDescent="0.35">
      <c r="A519" s="100">
        <f t="shared" si="8"/>
        <v>0</v>
      </c>
    </row>
    <row r="520" spans="1:1" x14ac:dyDescent="0.35">
      <c r="A520" s="100">
        <f t="shared" si="8"/>
        <v>0</v>
      </c>
    </row>
    <row r="521" spans="1:1" x14ac:dyDescent="0.35">
      <c r="A521" s="100">
        <f t="shared" si="8"/>
        <v>0</v>
      </c>
    </row>
    <row r="522" spans="1:1" x14ac:dyDescent="0.35">
      <c r="A522" s="100">
        <f t="shared" si="8"/>
        <v>0</v>
      </c>
    </row>
    <row r="523" spans="1:1" x14ac:dyDescent="0.35">
      <c r="A523" s="100">
        <f t="shared" si="8"/>
        <v>0</v>
      </c>
    </row>
    <row r="524" spans="1:1" x14ac:dyDescent="0.35">
      <c r="A524" s="100">
        <f t="shared" si="8"/>
        <v>0</v>
      </c>
    </row>
    <row r="525" spans="1:1" x14ac:dyDescent="0.35">
      <c r="A525" s="100">
        <f t="shared" si="8"/>
        <v>0</v>
      </c>
    </row>
    <row r="526" spans="1:1" x14ac:dyDescent="0.35">
      <c r="A526" s="100">
        <f t="shared" si="8"/>
        <v>0</v>
      </c>
    </row>
    <row r="527" spans="1:1" x14ac:dyDescent="0.35">
      <c r="A527" s="100">
        <f t="shared" si="8"/>
        <v>0</v>
      </c>
    </row>
    <row r="528" spans="1:1" x14ac:dyDescent="0.35">
      <c r="A528" s="100">
        <f t="shared" si="8"/>
        <v>0</v>
      </c>
    </row>
    <row r="529" spans="1:1" x14ac:dyDescent="0.35">
      <c r="A529" s="100">
        <f t="shared" si="8"/>
        <v>0</v>
      </c>
    </row>
    <row r="530" spans="1:1" x14ac:dyDescent="0.35">
      <c r="A530" s="100">
        <f t="shared" si="8"/>
        <v>0</v>
      </c>
    </row>
    <row r="531" spans="1:1" x14ac:dyDescent="0.35">
      <c r="A531" s="100">
        <f t="shared" si="8"/>
        <v>0</v>
      </c>
    </row>
    <row r="532" spans="1:1" x14ac:dyDescent="0.35">
      <c r="A532" s="100">
        <f t="shared" si="8"/>
        <v>0</v>
      </c>
    </row>
    <row r="533" spans="1:1" x14ac:dyDescent="0.35">
      <c r="A533" s="100">
        <f t="shared" si="8"/>
        <v>0</v>
      </c>
    </row>
    <row r="534" spans="1:1" x14ac:dyDescent="0.35">
      <c r="A534" s="100">
        <f t="shared" si="8"/>
        <v>0</v>
      </c>
    </row>
    <row r="535" spans="1:1" x14ac:dyDescent="0.35">
      <c r="A535" s="100">
        <f t="shared" si="8"/>
        <v>0</v>
      </c>
    </row>
    <row r="536" spans="1:1" x14ac:dyDescent="0.35">
      <c r="A536" s="100">
        <f t="shared" si="8"/>
        <v>0</v>
      </c>
    </row>
    <row r="537" spans="1:1" x14ac:dyDescent="0.35">
      <c r="A537" s="100">
        <f t="shared" si="8"/>
        <v>0</v>
      </c>
    </row>
    <row r="538" spans="1:1" x14ac:dyDescent="0.35">
      <c r="A538" s="100">
        <f t="shared" si="8"/>
        <v>0</v>
      </c>
    </row>
    <row r="539" spans="1:1" x14ac:dyDescent="0.35">
      <c r="A539" s="100">
        <f t="shared" si="8"/>
        <v>0</v>
      </c>
    </row>
    <row r="540" spans="1:1" x14ac:dyDescent="0.35">
      <c r="A540" s="100">
        <f t="shared" si="8"/>
        <v>0</v>
      </c>
    </row>
    <row r="541" spans="1:1" x14ac:dyDescent="0.35">
      <c r="A541" s="100">
        <f t="shared" si="8"/>
        <v>0</v>
      </c>
    </row>
    <row r="542" spans="1:1" x14ac:dyDescent="0.35">
      <c r="A542" s="100">
        <f t="shared" si="8"/>
        <v>0</v>
      </c>
    </row>
    <row r="543" spans="1:1" x14ac:dyDescent="0.35">
      <c r="A543" s="100">
        <f t="shared" si="8"/>
        <v>0</v>
      </c>
    </row>
    <row r="544" spans="1:1" x14ac:dyDescent="0.35">
      <c r="A544" s="100">
        <f t="shared" si="8"/>
        <v>0</v>
      </c>
    </row>
    <row r="545" spans="1:1" x14ac:dyDescent="0.35">
      <c r="A545" s="100">
        <f t="shared" si="8"/>
        <v>0</v>
      </c>
    </row>
    <row r="546" spans="1:1" x14ac:dyDescent="0.35">
      <c r="A546" s="100">
        <f t="shared" si="8"/>
        <v>0</v>
      </c>
    </row>
    <row r="547" spans="1:1" x14ac:dyDescent="0.35">
      <c r="A547" s="100">
        <f t="shared" si="8"/>
        <v>0</v>
      </c>
    </row>
    <row r="548" spans="1:1" x14ac:dyDescent="0.35">
      <c r="A548" s="100">
        <f t="shared" si="8"/>
        <v>0</v>
      </c>
    </row>
    <row r="549" spans="1:1" x14ac:dyDescent="0.35">
      <c r="A549" s="100">
        <f t="shared" si="8"/>
        <v>0</v>
      </c>
    </row>
    <row r="550" spans="1:1" x14ac:dyDescent="0.35">
      <c r="A550" s="100">
        <f t="shared" si="8"/>
        <v>0</v>
      </c>
    </row>
    <row r="551" spans="1:1" x14ac:dyDescent="0.35">
      <c r="A551" s="100">
        <f t="shared" si="8"/>
        <v>0</v>
      </c>
    </row>
    <row r="552" spans="1:1" x14ac:dyDescent="0.35">
      <c r="A552" s="100">
        <f t="shared" si="8"/>
        <v>0</v>
      </c>
    </row>
    <row r="553" spans="1:1" x14ac:dyDescent="0.35">
      <c r="A553" s="100">
        <f t="shared" si="8"/>
        <v>0</v>
      </c>
    </row>
    <row r="554" spans="1:1" x14ac:dyDescent="0.35">
      <c r="A554" s="100">
        <f t="shared" si="8"/>
        <v>0</v>
      </c>
    </row>
    <row r="555" spans="1:1" x14ac:dyDescent="0.35">
      <c r="A555" s="100">
        <f t="shared" si="8"/>
        <v>0</v>
      </c>
    </row>
    <row r="556" spans="1:1" x14ac:dyDescent="0.35">
      <c r="A556" s="100">
        <f t="shared" si="8"/>
        <v>0</v>
      </c>
    </row>
    <row r="557" spans="1:1" x14ac:dyDescent="0.35">
      <c r="A557" s="100">
        <f t="shared" si="8"/>
        <v>0</v>
      </c>
    </row>
    <row r="558" spans="1:1" x14ac:dyDescent="0.35">
      <c r="A558" s="100">
        <f t="shared" si="8"/>
        <v>0</v>
      </c>
    </row>
    <row r="559" spans="1:1" x14ac:dyDescent="0.35">
      <c r="A559" s="100">
        <f t="shared" si="8"/>
        <v>0</v>
      </c>
    </row>
    <row r="560" spans="1:1" x14ac:dyDescent="0.35">
      <c r="A560" s="100">
        <f t="shared" si="8"/>
        <v>0</v>
      </c>
    </row>
    <row r="561" spans="1:1" x14ac:dyDescent="0.35">
      <c r="A561" s="100">
        <f t="shared" si="8"/>
        <v>0</v>
      </c>
    </row>
    <row r="562" spans="1:1" x14ac:dyDescent="0.35">
      <c r="A562" s="100">
        <f t="shared" si="8"/>
        <v>0</v>
      </c>
    </row>
    <row r="563" spans="1:1" x14ac:dyDescent="0.35">
      <c r="A563" s="100">
        <f t="shared" si="8"/>
        <v>0</v>
      </c>
    </row>
    <row r="564" spans="1:1" x14ac:dyDescent="0.35">
      <c r="A564" s="100">
        <f t="shared" si="8"/>
        <v>0</v>
      </c>
    </row>
    <row r="565" spans="1:1" x14ac:dyDescent="0.35">
      <c r="A565" s="100">
        <f t="shared" si="8"/>
        <v>0</v>
      </c>
    </row>
    <row r="566" spans="1:1" x14ac:dyDescent="0.35">
      <c r="A566" s="100">
        <f t="shared" si="8"/>
        <v>0</v>
      </c>
    </row>
    <row r="567" spans="1:1" x14ac:dyDescent="0.35">
      <c r="A567" s="100">
        <f t="shared" si="8"/>
        <v>0</v>
      </c>
    </row>
    <row r="568" spans="1:1" x14ac:dyDescent="0.35">
      <c r="A568" s="100">
        <f t="shared" si="8"/>
        <v>0</v>
      </c>
    </row>
    <row r="569" spans="1:1" x14ac:dyDescent="0.35">
      <c r="A569" s="100">
        <f t="shared" si="8"/>
        <v>0</v>
      </c>
    </row>
    <row r="570" spans="1:1" x14ac:dyDescent="0.35">
      <c r="A570" s="100">
        <f t="shared" si="8"/>
        <v>0</v>
      </c>
    </row>
    <row r="571" spans="1:1" x14ac:dyDescent="0.35">
      <c r="A571" s="100">
        <f t="shared" si="8"/>
        <v>0</v>
      </c>
    </row>
    <row r="572" spans="1:1" x14ac:dyDescent="0.35">
      <c r="A572" s="100">
        <f t="shared" si="8"/>
        <v>0</v>
      </c>
    </row>
    <row r="573" spans="1:1" x14ac:dyDescent="0.35">
      <c r="A573" s="100">
        <f t="shared" si="8"/>
        <v>0</v>
      </c>
    </row>
    <row r="574" spans="1:1" x14ac:dyDescent="0.35">
      <c r="A574" s="100">
        <f t="shared" si="8"/>
        <v>0</v>
      </c>
    </row>
    <row r="575" spans="1:1" x14ac:dyDescent="0.35">
      <c r="A575" s="100">
        <f t="shared" si="8"/>
        <v>0</v>
      </c>
    </row>
    <row r="576" spans="1:1" x14ac:dyDescent="0.35">
      <c r="A576" s="100">
        <f t="shared" si="8"/>
        <v>0</v>
      </c>
    </row>
    <row r="577" spans="1:1" x14ac:dyDescent="0.35">
      <c r="A577" s="100">
        <f t="shared" si="8"/>
        <v>0</v>
      </c>
    </row>
    <row r="578" spans="1:1" x14ac:dyDescent="0.35">
      <c r="A578" s="100">
        <f t="shared" si="8"/>
        <v>0</v>
      </c>
    </row>
    <row r="579" spans="1:1" x14ac:dyDescent="0.35">
      <c r="A579" s="100">
        <f t="shared" si="8"/>
        <v>0</v>
      </c>
    </row>
    <row r="580" spans="1:1" x14ac:dyDescent="0.35">
      <c r="A580" s="100">
        <f t="shared" ref="A580:A625" si="9">IF(LEN(B580)=8,LEFT(B580,1),0)</f>
        <v>0</v>
      </c>
    </row>
    <row r="581" spans="1:1" x14ac:dyDescent="0.35">
      <c r="A581" s="100">
        <f t="shared" si="9"/>
        <v>0</v>
      </c>
    </row>
    <row r="582" spans="1:1" x14ac:dyDescent="0.35">
      <c r="A582" s="100">
        <f t="shared" si="9"/>
        <v>0</v>
      </c>
    </row>
    <row r="583" spans="1:1" x14ac:dyDescent="0.35">
      <c r="A583" s="100">
        <f t="shared" si="9"/>
        <v>0</v>
      </c>
    </row>
    <row r="584" spans="1:1" x14ac:dyDescent="0.35">
      <c r="A584" s="100">
        <f t="shared" si="9"/>
        <v>0</v>
      </c>
    </row>
    <row r="585" spans="1:1" x14ac:dyDescent="0.35">
      <c r="A585" s="100">
        <f t="shared" si="9"/>
        <v>0</v>
      </c>
    </row>
    <row r="586" spans="1:1" x14ac:dyDescent="0.35">
      <c r="A586" s="100">
        <f t="shared" si="9"/>
        <v>0</v>
      </c>
    </row>
    <row r="587" spans="1:1" x14ac:dyDescent="0.35">
      <c r="A587" s="100">
        <f t="shared" si="9"/>
        <v>0</v>
      </c>
    </row>
    <row r="588" spans="1:1" x14ac:dyDescent="0.35">
      <c r="A588" s="100">
        <f t="shared" si="9"/>
        <v>0</v>
      </c>
    </row>
    <row r="589" spans="1:1" x14ac:dyDescent="0.35">
      <c r="A589" s="100">
        <f t="shared" si="9"/>
        <v>0</v>
      </c>
    </row>
    <row r="590" spans="1:1" x14ac:dyDescent="0.35">
      <c r="A590" s="100">
        <f t="shared" si="9"/>
        <v>0</v>
      </c>
    </row>
    <row r="591" spans="1:1" x14ac:dyDescent="0.35">
      <c r="A591" s="100">
        <f t="shared" si="9"/>
        <v>0</v>
      </c>
    </row>
    <row r="592" spans="1:1" x14ac:dyDescent="0.35">
      <c r="A592" s="100">
        <f t="shared" si="9"/>
        <v>0</v>
      </c>
    </row>
    <row r="593" spans="1:1" x14ac:dyDescent="0.35">
      <c r="A593" s="100">
        <f t="shared" si="9"/>
        <v>0</v>
      </c>
    </row>
    <row r="594" spans="1:1" x14ac:dyDescent="0.35">
      <c r="A594" s="100">
        <f t="shared" si="9"/>
        <v>0</v>
      </c>
    </row>
    <row r="595" spans="1:1" x14ac:dyDescent="0.35">
      <c r="A595" s="100">
        <f t="shared" si="9"/>
        <v>0</v>
      </c>
    </row>
    <row r="596" spans="1:1" x14ac:dyDescent="0.35">
      <c r="A596" s="100">
        <f t="shared" si="9"/>
        <v>0</v>
      </c>
    </row>
    <row r="597" spans="1:1" x14ac:dyDescent="0.35">
      <c r="A597" s="100">
        <f t="shared" si="9"/>
        <v>0</v>
      </c>
    </row>
    <row r="598" spans="1:1" x14ac:dyDescent="0.35">
      <c r="A598" s="100">
        <f t="shared" si="9"/>
        <v>0</v>
      </c>
    </row>
    <row r="599" spans="1:1" x14ac:dyDescent="0.35">
      <c r="A599" s="100">
        <f t="shared" si="9"/>
        <v>0</v>
      </c>
    </row>
    <row r="600" spans="1:1" x14ac:dyDescent="0.35">
      <c r="A600" s="100">
        <f t="shared" si="9"/>
        <v>0</v>
      </c>
    </row>
    <row r="601" spans="1:1" x14ac:dyDescent="0.35">
      <c r="A601" s="100">
        <f t="shared" si="9"/>
        <v>0</v>
      </c>
    </row>
    <row r="602" spans="1:1" x14ac:dyDescent="0.35">
      <c r="A602" s="100">
        <f t="shared" si="9"/>
        <v>0</v>
      </c>
    </row>
    <row r="603" spans="1:1" x14ac:dyDescent="0.35">
      <c r="A603" s="100">
        <f t="shared" si="9"/>
        <v>0</v>
      </c>
    </row>
    <row r="604" spans="1:1" x14ac:dyDescent="0.35">
      <c r="A604" s="100">
        <f t="shared" si="9"/>
        <v>0</v>
      </c>
    </row>
    <row r="605" spans="1:1" x14ac:dyDescent="0.35">
      <c r="A605" s="100">
        <f t="shared" si="9"/>
        <v>0</v>
      </c>
    </row>
    <row r="606" spans="1:1" x14ac:dyDescent="0.35">
      <c r="A606" s="100">
        <f t="shared" si="9"/>
        <v>0</v>
      </c>
    </row>
    <row r="607" spans="1:1" x14ac:dyDescent="0.35">
      <c r="A607" s="100">
        <f t="shared" si="9"/>
        <v>0</v>
      </c>
    </row>
    <row r="608" spans="1:1" x14ac:dyDescent="0.35">
      <c r="A608" s="100">
        <f t="shared" si="9"/>
        <v>0</v>
      </c>
    </row>
    <row r="609" spans="1:1" x14ac:dyDescent="0.35">
      <c r="A609" s="100">
        <f t="shared" si="9"/>
        <v>0</v>
      </c>
    </row>
    <row r="610" spans="1:1" x14ac:dyDescent="0.35">
      <c r="A610" s="100">
        <f t="shared" si="9"/>
        <v>0</v>
      </c>
    </row>
    <row r="611" spans="1:1" x14ac:dyDescent="0.35">
      <c r="A611" s="100">
        <f t="shared" si="9"/>
        <v>0</v>
      </c>
    </row>
    <row r="612" spans="1:1" x14ac:dyDescent="0.35">
      <c r="A612" s="100">
        <f t="shared" si="9"/>
        <v>0</v>
      </c>
    </row>
    <row r="613" spans="1:1" x14ac:dyDescent="0.35">
      <c r="A613" s="100">
        <f t="shared" si="9"/>
        <v>0</v>
      </c>
    </row>
    <row r="614" spans="1:1" x14ac:dyDescent="0.35">
      <c r="A614" s="100">
        <f t="shared" si="9"/>
        <v>0</v>
      </c>
    </row>
    <row r="615" spans="1:1" x14ac:dyDescent="0.35">
      <c r="A615" s="100">
        <f t="shared" si="9"/>
        <v>0</v>
      </c>
    </row>
    <row r="616" spans="1:1" x14ac:dyDescent="0.35">
      <c r="A616" s="100">
        <f t="shared" si="9"/>
        <v>0</v>
      </c>
    </row>
    <row r="617" spans="1:1" x14ac:dyDescent="0.35">
      <c r="A617" s="100">
        <f t="shared" si="9"/>
        <v>0</v>
      </c>
    </row>
    <row r="618" spans="1:1" x14ac:dyDescent="0.35">
      <c r="A618" s="100">
        <f t="shared" si="9"/>
        <v>0</v>
      </c>
    </row>
    <row r="619" spans="1:1" x14ac:dyDescent="0.35">
      <c r="A619" s="100">
        <f t="shared" si="9"/>
        <v>0</v>
      </c>
    </row>
    <row r="620" spans="1:1" x14ac:dyDescent="0.35">
      <c r="A620" s="100">
        <f t="shared" si="9"/>
        <v>0</v>
      </c>
    </row>
    <row r="621" spans="1:1" x14ac:dyDescent="0.35">
      <c r="A621" s="100">
        <f t="shared" si="9"/>
        <v>0</v>
      </c>
    </row>
    <row r="622" spans="1:1" x14ac:dyDescent="0.35">
      <c r="A622" s="100">
        <f t="shared" si="9"/>
        <v>0</v>
      </c>
    </row>
    <row r="623" spans="1:1" x14ac:dyDescent="0.35">
      <c r="A623" s="100">
        <f t="shared" si="9"/>
        <v>0</v>
      </c>
    </row>
    <row r="624" spans="1:1" x14ac:dyDescent="0.35">
      <c r="A624" s="100">
        <f t="shared" si="9"/>
        <v>0</v>
      </c>
    </row>
    <row r="625" spans="1:1" x14ac:dyDescent="0.35">
      <c r="A625" s="100">
        <f t="shared" si="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515C-AEEA-4276-81A5-E8DDB6FA1B2A}">
  <dimension ref="A1:H625"/>
  <sheetViews>
    <sheetView showGridLines="0" workbookViewId="0">
      <selection activeCell="B1" sqref="B1:H1048576"/>
    </sheetView>
  </sheetViews>
  <sheetFormatPr defaultRowHeight="14.5" x14ac:dyDescent="0.35"/>
  <cols>
    <col min="1" max="1" width="1.90625" style="100" bestFit="1" customWidth="1"/>
    <col min="2" max="2" width="26.54296875" bestFit="1" customWidth="1"/>
    <col min="3" max="3" width="21.1796875" bestFit="1" customWidth="1"/>
    <col min="4" max="4" width="13.90625" bestFit="1" customWidth="1"/>
    <col min="5" max="6" width="13.453125" bestFit="1" customWidth="1"/>
    <col min="7" max="8" width="13.90625" bestFit="1" customWidth="1"/>
  </cols>
  <sheetData>
    <row r="1" spans="1:8" x14ac:dyDescent="0.35">
      <c r="B1" s="96" t="s">
        <v>85</v>
      </c>
      <c r="C1" s="96"/>
      <c r="D1" s="96"/>
      <c r="E1" s="96"/>
      <c r="F1" s="96"/>
      <c r="G1" s="96"/>
      <c r="H1" s="96"/>
    </row>
    <row r="2" spans="1:8" x14ac:dyDescent="0.35">
      <c r="B2" s="6"/>
      <c r="C2" s="6" t="s">
        <v>87</v>
      </c>
      <c r="D2" s="7" t="s">
        <v>88</v>
      </c>
      <c r="E2" s="7" t="s">
        <v>88</v>
      </c>
      <c r="F2" s="7" t="s">
        <v>88</v>
      </c>
      <c r="G2" s="7" t="s">
        <v>88</v>
      </c>
      <c r="H2" s="7" t="s">
        <v>88</v>
      </c>
    </row>
    <row r="3" spans="1:8" x14ac:dyDescent="0.35">
      <c r="B3" s="6" t="s">
        <v>0</v>
      </c>
      <c r="C3" s="6" t="s">
        <v>86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</row>
    <row r="4" spans="1:8" x14ac:dyDescent="0.35">
      <c r="A4" s="101">
        <f t="shared" ref="A4:A67" si="0">IF(LEN(B4)=8,LEFT(B4,1),0)</f>
        <v>0</v>
      </c>
      <c r="B4" s="8" t="s">
        <v>98</v>
      </c>
      <c r="C4" s="9" t="s">
        <v>99</v>
      </c>
      <c r="D4" s="39">
        <v>-623154.73</v>
      </c>
      <c r="E4" s="39">
        <v>283399.58</v>
      </c>
      <c r="F4" s="39">
        <v>297091.09000000003</v>
      </c>
      <c r="G4" s="39">
        <v>-13691.51</v>
      </c>
      <c r="H4" s="40">
        <v>-636846.24</v>
      </c>
    </row>
    <row r="5" spans="1:8" x14ac:dyDescent="0.35">
      <c r="A5" s="101">
        <f t="shared" si="0"/>
        <v>0</v>
      </c>
      <c r="B5" s="10" t="s">
        <v>100</v>
      </c>
      <c r="C5" s="11" t="s">
        <v>101</v>
      </c>
      <c r="D5" s="39">
        <v>2096637.78</v>
      </c>
      <c r="E5" s="39">
        <v>163626.94</v>
      </c>
      <c r="F5" s="39">
        <v>178185.32</v>
      </c>
      <c r="G5" s="39">
        <v>-14558.38</v>
      </c>
      <c r="H5" s="40">
        <v>2082079.4</v>
      </c>
    </row>
    <row r="6" spans="1:8" x14ac:dyDescent="0.35">
      <c r="A6" s="101">
        <f t="shared" si="0"/>
        <v>0</v>
      </c>
      <c r="B6" s="12" t="s">
        <v>102</v>
      </c>
      <c r="C6" s="13" t="s">
        <v>103</v>
      </c>
      <c r="D6" s="39">
        <v>1729971.1</v>
      </c>
      <c r="E6" s="39">
        <v>163098.26</v>
      </c>
      <c r="F6" s="39">
        <v>166545.53</v>
      </c>
      <c r="G6" s="39">
        <v>-3447.27</v>
      </c>
      <c r="H6" s="40">
        <v>1726523.83</v>
      </c>
    </row>
    <row r="7" spans="1:8" x14ac:dyDescent="0.35">
      <c r="A7" s="101">
        <f t="shared" si="0"/>
        <v>0</v>
      </c>
      <c r="B7" s="14" t="s">
        <v>104</v>
      </c>
      <c r="C7" s="15" t="s">
        <v>105</v>
      </c>
      <c r="D7" s="39">
        <v>58364.98</v>
      </c>
      <c r="E7" s="39">
        <v>135355.76999999999</v>
      </c>
      <c r="F7" s="39">
        <v>100459.02</v>
      </c>
      <c r="G7" s="39">
        <v>34896.75</v>
      </c>
      <c r="H7" s="40">
        <v>93261.73</v>
      </c>
    </row>
    <row r="8" spans="1:8" x14ac:dyDescent="0.35">
      <c r="A8" s="100" t="str">
        <f t="shared" si="0"/>
        <v>C</v>
      </c>
      <c r="B8" s="16" t="s">
        <v>106</v>
      </c>
      <c r="C8" s="15" t="s">
        <v>107</v>
      </c>
      <c r="D8" s="39">
        <v>58364.98</v>
      </c>
      <c r="E8" s="39">
        <v>135355.76999999999</v>
      </c>
      <c r="F8" s="39">
        <v>100459.02</v>
      </c>
      <c r="G8" s="39">
        <v>34896.75</v>
      </c>
      <c r="H8" s="40">
        <v>93261.73</v>
      </c>
    </row>
    <row r="9" spans="1:8" x14ac:dyDescent="0.35">
      <c r="A9" s="101">
        <f t="shared" si="0"/>
        <v>0</v>
      </c>
      <c r="B9" s="17" t="s">
        <v>108</v>
      </c>
      <c r="C9" s="15" t="s">
        <v>107</v>
      </c>
      <c r="D9" s="39">
        <v>58364.98</v>
      </c>
      <c r="E9" s="39">
        <v>135355.76999999999</v>
      </c>
      <c r="F9" s="39">
        <v>100459.02</v>
      </c>
      <c r="G9" s="39">
        <v>34896.75</v>
      </c>
      <c r="H9" s="40">
        <v>93261.73</v>
      </c>
    </row>
    <row r="10" spans="1:8" x14ac:dyDescent="0.35">
      <c r="A10" s="100" t="str">
        <f t="shared" si="0"/>
        <v>1</v>
      </c>
      <c r="B10" s="37">
        <v>11131050</v>
      </c>
      <c r="C10" s="15" t="s">
        <v>1</v>
      </c>
      <c r="D10" s="39">
        <v>24208.48</v>
      </c>
      <c r="E10" s="39">
        <v>11639.79</v>
      </c>
      <c r="F10" s="39">
        <v>15742.9</v>
      </c>
      <c r="G10" s="39">
        <v>-4103.1099999999997</v>
      </c>
      <c r="H10" s="40">
        <v>20105.37</v>
      </c>
    </row>
    <row r="11" spans="1:8" x14ac:dyDescent="0.35">
      <c r="A11" s="100" t="str">
        <f t="shared" si="0"/>
        <v>1</v>
      </c>
      <c r="B11" s="37">
        <v>11131090</v>
      </c>
      <c r="C11" s="15" t="s">
        <v>64</v>
      </c>
      <c r="D11" s="39">
        <v>52576.74</v>
      </c>
      <c r="E11" s="39">
        <v>20789.05</v>
      </c>
      <c r="F11" s="39">
        <v>210.43</v>
      </c>
      <c r="G11" s="39">
        <v>20578.62</v>
      </c>
      <c r="H11" s="40">
        <v>73155.360000000001</v>
      </c>
    </row>
    <row r="12" spans="1:8" x14ac:dyDescent="0.35">
      <c r="A12" s="100" t="str">
        <f t="shared" si="0"/>
        <v>1</v>
      </c>
      <c r="B12" s="37">
        <v>11132050</v>
      </c>
      <c r="C12" s="15" t="s">
        <v>1</v>
      </c>
      <c r="D12" s="39">
        <v>-18421.240000000002</v>
      </c>
      <c r="E12" s="39">
        <v>30061.03</v>
      </c>
      <c r="F12" s="39">
        <v>11639.79</v>
      </c>
      <c r="G12" s="39">
        <v>18421.240000000002</v>
      </c>
      <c r="H12" s="42">
        <v>0</v>
      </c>
    </row>
    <row r="13" spans="1:8" x14ac:dyDescent="0.35">
      <c r="A13" s="100" t="str">
        <f t="shared" si="0"/>
        <v>1</v>
      </c>
      <c r="B13" s="37">
        <v>11132090</v>
      </c>
      <c r="C13" s="15" t="s">
        <v>64</v>
      </c>
      <c r="D13" s="41">
        <v>0</v>
      </c>
      <c r="E13" s="39">
        <v>41578.1</v>
      </c>
      <c r="F13" s="39">
        <v>41578.1</v>
      </c>
      <c r="G13" s="41">
        <v>0</v>
      </c>
      <c r="H13" s="42">
        <v>0</v>
      </c>
    </row>
    <row r="14" spans="1:8" x14ac:dyDescent="0.35">
      <c r="A14" s="100" t="str">
        <f t="shared" si="0"/>
        <v>1</v>
      </c>
      <c r="B14" s="37">
        <v>11133050</v>
      </c>
      <c r="C14" s="15" t="s">
        <v>2</v>
      </c>
      <c r="D14" s="39">
        <v>1</v>
      </c>
      <c r="E14" s="39">
        <v>31287.8</v>
      </c>
      <c r="F14" s="39">
        <v>31287.8</v>
      </c>
      <c r="G14" s="41">
        <v>0</v>
      </c>
      <c r="H14" s="40">
        <v>1</v>
      </c>
    </row>
    <row r="15" spans="1:8" x14ac:dyDescent="0.35">
      <c r="A15" s="100">
        <f t="shared" si="0"/>
        <v>0</v>
      </c>
      <c r="B15" s="14" t="s">
        <v>109</v>
      </c>
      <c r="C15" s="15" t="s">
        <v>110</v>
      </c>
      <c r="D15" s="39">
        <v>615094.05000000005</v>
      </c>
      <c r="E15" s="39">
        <v>6152.41</v>
      </c>
      <c r="F15" s="41">
        <v>0</v>
      </c>
      <c r="G15" s="39">
        <v>6152.41</v>
      </c>
      <c r="H15" s="40">
        <v>621246.46</v>
      </c>
    </row>
    <row r="16" spans="1:8" x14ac:dyDescent="0.35">
      <c r="A16" s="100" t="str">
        <f t="shared" si="0"/>
        <v>C</v>
      </c>
      <c r="B16" s="16" t="s">
        <v>111</v>
      </c>
      <c r="C16" s="15" t="s">
        <v>112</v>
      </c>
      <c r="D16" s="39">
        <v>615094.05000000005</v>
      </c>
      <c r="E16" s="39">
        <v>6152.41</v>
      </c>
      <c r="F16" s="41">
        <v>0</v>
      </c>
      <c r="G16" s="39">
        <v>6152.41</v>
      </c>
      <c r="H16" s="40">
        <v>621246.46</v>
      </c>
    </row>
    <row r="17" spans="1:8" x14ac:dyDescent="0.35">
      <c r="A17" s="101">
        <f t="shared" si="0"/>
        <v>0</v>
      </c>
      <c r="B17" s="17" t="s">
        <v>113</v>
      </c>
      <c r="C17" s="15" t="s">
        <v>114</v>
      </c>
      <c r="D17" s="39">
        <v>615094.05000000005</v>
      </c>
      <c r="E17" s="39">
        <v>6152.41</v>
      </c>
      <c r="F17" s="41">
        <v>0</v>
      </c>
      <c r="G17" s="39">
        <v>6152.41</v>
      </c>
      <c r="H17" s="40">
        <v>621246.46</v>
      </c>
    </row>
    <row r="18" spans="1:8" x14ac:dyDescent="0.35">
      <c r="A18" s="100">
        <f t="shared" si="0"/>
        <v>0</v>
      </c>
      <c r="B18" s="37" t="s">
        <v>115</v>
      </c>
      <c r="C18" s="15" t="s">
        <v>116</v>
      </c>
      <c r="D18" s="39">
        <v>615094.05000000005</v>
      </c>
      <c r="E18" s="39">
        <v>6152.41</v>
      </c>
      <c r="F18" s="41">
        <v>0</v>
      </c>
      <c r="G18" s="39">
        <v>6152.41</v>
      </c>
      <c r="H18" s="40">
        <v>621246.46</v>
      </c>
    </row>
    <row r="19" spans="1:8" x14ac:dyDescent="0.35">
      <c r="A19" s="101">
        <f t="shared" si="0"/>
        <v>0</v>
      </c>
      <c r="B19" s="105" t="s">
        <v>117</v>
      </c>
      <c r="C19" s="15" t="s">
        <v>118</v>
      </c>
      <c r="D19" s="39">
        <v>615094.05000000005</v>
      </c>
      <c r="E19" s="39">
        <v>6152.41</v>
      </c>
      <c r="F19" s="41">
        <v>0</v>
      </c>
      <c r="G19" s="39">
        <v>6152.41</v>
      </c>
      <c r="H19" s="40">
        <v>621246.46</v>
      </c>
    </row>
    <row r="20" spans="1:8" x14ac:dyDescent="0.35">
      <c r="A20" s="101" t="str">
        <f t="shared" si="0"/>
        <v>1</v>
      </c>
      <c r="B20" s="106">
        <v>11240001</v>
      </c>
      <c r="C20" s="15" t="s">
        <v>3</v>
      </c>
      <c r="D20" s="39">
        <v>615094.05000000005</v>
      </c>
      <c r="E20" s="39">
        <v>6152.41</v>
      </c>
      <c r="F20" s="41">
        <v>0</v>
      </c>
      <c r="G20" s="39">
        <v>6152.41</v>
      </c>
      <c r="H20" s="40">
        <v>621246.46</v>
      </c>
    </row>
    <row r="21" spans="1:8" x14ac:dyDescent="0.35">
      <c r="A21" s="101">
        <f t="shared" si="0"/>
        <v>0</v>
      </c>
      <c r="B21" s="14" t="s">
        <v>119</v>
      </c>
      <c r="C21" s="15" t="s">
        <v>120</v>
      </c>
      <c r="D21" s="41">
        <v>0</v>
      </c>
      <c r="E21" s="39">
        <v>69</v>
      </c>
      <c r="F21" s="39">
        <v>69</v>
      </c>
      <c r="G21" s="41">
        <v>0</v>
      </c>
      <c r="H21" s="42">
        <v>0</v>
      </c>
    </row>
    <row r="22" spans="1:8" x14ac:dyDescent="0.35">
      <c r="A22" s="101" t="str">
        <f t="shared" si="0"/>
        <v>C</v>
      </c>
      <c r="B22" s="16" t="s">
        <v>121</v>
      </c>
      <c r="C22" s="15" t="s">
        <v>122</v>
      </c>
      <c r="D22" s="41">
        <v>0</v>
      </c>
      <c r="E22" s="39">
        <v>69</v>
      </c>
      <c r="F22" s="39">
        <v>69</v>
      </c>
      <c r="G22" s="41">
        <v>0</v>
      </c>
      <c r="H22" s="42">
        <v>0</v>
      </c>
    </row>
    <row r="23" spans="1:8" x14ac:dyDescent="0.35">
      <c r="A23" s="100">
        <f t="shared" si="0"/>
        <v>0</v>
      </c>
      <c r="B23" s="17" t="s">
        <v>123</v>
      </c>
      <c r="C23" s="15" t="s">
        <v>124</v>
      </c>
      <c r="D23" s="41">
        <v>0</v>
      </c>
      <c r="E23" s="39">
        <v>69</v>
      </c>
      <c r="F23" s="39">
        <v>69</v>
      </c>
      <c r="G23" s="41">
        <v>0</v>
      </c>
      <c r="H23" s="42">
        <v>0</v>
      </c>
    </row>
    <row r="24" spans="1:8" x14ac:dyDescent="0.35">
      <c r="A24" s="101" t="str">
        <f t="shared" si="0"/>
        <v>1</v>
      </c>
      <c r="B24" s="37">
        <v>11391004</v>
      </c>
      <c r="C24" s="15" t="s">
        <v>83</v>
      </c>
      <c r="D24" s="41">
        <v>0</v>
      </c>
      <c r="E24" s="39">
        <v>69</v>
      </c>
      <c r="F24" s="39">
        <v>69</v>
      </c>
      <c r="G24" s="41">
        <v>0</v>
      </c>
      <c r="H24" s="42">
        <v>0</v>
      </c>
    </row>
    <row r="25" spans="1:8" x14ac:dyDescent="0.35">
      <c r="A25" s="100">
        <f t="shared" si="0"/>
        <v>0</v>
      </c>
      <c r="B25" s="14" t="s">
        <v>125</v>
      </c>
      <c r="C25" s="15" t="s">
        <v>126</v>
      </c>
      <c r="D25" s="39">
        <v>1056512.07</v>
      </c>
      <c r="E25" s="39">
        <v>21521.08</v>
      </c>
      <c r="F25" s="39">
        <v>66017.509999999995</v>
      </c>
      <c r="G25" s="39">
        <v>-44496.43</v>
      </c>
      <c r="H25" s="40">
        <v>1012015.64</v>
      </c>
    </row>
    <row r="26" spans="1:8" x14ac:dyDescent="0.35">
      <c r="A26" s="101" t="str">
        <f t="shared" si="0"/>
        <v>C</v>
      </c>
      <c r="B26" s="16" t="s">
        <v>127</v>
      </c>
      <c r="C26" s="15" t="s">
        <v>128</v>
      </c>
      <c r="D26" s="39">
        <v>158968.63</v>
      </c>
      <c r="E26" s="39">
        <v>11896.75</v>
      </c>
      <c r="F26" s="39">
        <v>19628.37</v>
      </c>
      <c r="G26" s="39">
        <v>-7731.62</v>
      </c>
      <c r="H26" s="40">
        <v>151237.01</v>
      </c>
    </row>
    <row r="27" spans="1:8" x14ac:dyDescent="0.35">
      <c r="A27" s="101">
        <f t="shared" si="0"/>
        <v>0</v>
      </c>
      <c r="B27" s="17" t="s">
        <v>129</v>
      </c>
      <c r="C27" s="15" t="s">
        <v>130</v>
      </c>
      <c r="D27" s="39">
        <v>158968.63</v>
      </c>
      <c r="E27" s="39">
        <v>11896.75</v>
      </c>
      <c r="F27" s="39">
        <v>19628.37</v>
      </c>
      <c r="G27" s="39">
        <v>-7731.62</v>
      </c>
      <c r="H27" s="40">
        <v>151237.01</v>
      </c>
    </row>
    <row r="28" spans="1:8" x14ac:dyDescent="0.35">
      <c r="A28" s="101" t="str">
        <f t="shared" si="0"/>
        <v>1</v>
      </c>
      <c r="B28" s="37">
        <v>11610099</v>
      </c>
      <c r="C28" s="15" t="s">
        <v>6</v>
      </c>
      <c r="D28" s="39">
        <v>158968.63</v>
      </c>
      <c r="E28" s="39">
        <v>11896.75</v>
      </c>
      <c r="F28" s="39">
        <v>19628.37</v>
      </c>
      <c r="G28" s="39">
        <v>-7731.62</v>
      </c>
      <c r="H28" s="40">
        <v>151237.01</v>
      </c>
    </row>
    <row r="29" spans="1:8" x14ac:dyDescent="0.35">
      <c r="A29" s="100" t="str">
        <f t="shared" si="0"/>
        <v>C</v>
      </c>
      <c r="B29" s="16" t="s">
        <v>131</v>
      </c>
      <c r="C29" s="15" t="s">
        <v>132</v>
      </c>
      <c r="D29" s="39">
        <v>897543.44</v>
      </c>
      <c r="E29" s="39">
        <v>9624.33</v>
      </c>
      <c r="F29" s="39">
        <v>46389.14</v>
      </c>
      <c r="G29" s="39">
        <v>-36764.81</v>
      </c>
      <c r="H29" s="40">
        <v>860778.63</v>
      </c>
    </row>
    <row r="30" spans="1:8" x14ac:dyDescent="0.35">
      <c r="A30" s="101">
        <f t="shared" si="0"/>
        <v>0</v>
      </c>
      <c r="B30" s="17" t="s">
        <v>133</v>
      </c>
      <c r="C30" s="15" t="s">
        <v>134</v>
      </c>
      <c r="D30" s="39">
        <v>134961.98000000001</v>
      </c>
      <c r="E30" s="39">
        <v>884.38</v>
      </c>
      <c r="F30" s="39">
        <v>32532.68</v>
      </c>
      <c r="G30" s="39">
        <v>-31648.3</v>
      </c>
      <c r="H30" s="40">
        <v>103313.68</v>
      </c>
    </row>
    <row r="31" spans="1:8" x14ac:dyDescent="0.35">
      <c r="A31" s="101">
        <f t="shared" si="0"/>
        <v>0</v>
      </c>
      <c r="B31" s="37" t="s">
        <v>135</v>
      </c>
      <c r="C31" s="15" t="s">
        <v>136</v>
      </c>
      <c r="D31" s="39">
        <v>104635.13</v>
      </c>
      <c r="E31" s="39">
        <v>884.38</v>
      </c>
      <c r="F31" s="39">
        <v>2205.83</v>
      </c>
      <c r="G31" s="39">
        <v>-1321.45</v>
      </c>
      <c r="H31" s="40">
        <v>103313.68</v>
      </c>
    </row>
    <row r="32" spans="1:8" x14ac:dyDescent="0.35">
      <c r="A32" s="100" t="str">
        <f t="shared" si="0"/>
        <v>1</v>
      </c>
      <c r="B32" s="105">
        <v>11641001</v>
      </c>
      <c r="C32" s="15" t="s">
        <v>54</v>
      </c>
      <c r="D32" s="39">
        <v>104635.13</v>
      </c>
      <c r="E32" s="39">
        <v>884.38</v>
      </c>
      <c r="F32" s="39">
        <v>2205.83</v>
      </c>
      <c r="G32" s="39">
        <v>-1321.45</v>
      </c>
      <c r="H32" s="40">
        <v>103313.68</v>
      </c>
    </row>
    <row r="33" spans="1:8" x14ac:dyDescent="0.35">
      <c r="A33" s="101">
        <f t="shared" si="0"/>
        <v>0</v>
      </c>
      <c r="B33" s="37" t="s">
        <v>297</v>
      </c>
      <c r="C33" s="15" t="s">
        <v>298</v>
      </c>
      <c r="D33" s="39">
        <v>30326.85</v>
      </c>
      <c r="E33" s="41">
        <v>0</v>
      </c>
      <c r="F33" s="39">
        <v>30326.85</v>
      </c>
      <c r="G33" s="39">
        <v>-30326.85</v>
      </c>
      <c r="H33" s="42">
        <v>0</v>
      </c>
    </row>
    <row r="34" spans="1:8" x14ac:dyDescent="0.35">
      <c r="A34" s="100" t="str">
        <f t="shared" si="0"/>
        <v>1</v>
      </c>
      <c r="B34" s="105">
        <v>11641002</v>
      </c>
      <c r="C34" s="15" t="s">
        <v>39</v>
      </c>
      <c r="D34" s="39">
        <v>30326.85</v>
      </c>
      <c r="E34" s="41">
        <v>0</v>
      </c>
      <c r="F34" s="39">
        <v>30326.85</v>
      </c>
      <c r="G34" s="39">
        <v>-30326.85</v>
      </c>
      <c r="H34" s="42">
        <v>0</v>
      </c>
    </row>
    <row r="35" spans="1:8" x14ac:dyDescent="0.35">
      <c r="A35" s="101">
        <f t="shared" si="0"/>
        <v>0</v>
      </c>
      <c r="B35" s="17" t="s">
        <v>137</v>
      </c>
      <c r="C35" s="15" t="s">
        <v>138</v>
      </c>
      <c r="D35" s="39">
        <v>762581.46</v>
      </c>
      <c r="E35" s="39">
        <v>8739.9500000000007</v>
      </c>
      <c r="F35" s="39">
        <v>13856.46</v>
      </c>
      <c r="G35" s="39">
        <v>-5116.51</v>
      </c>
      <c r="H35" s="40">
        <v>757464.95</v>
      </c>
    </row>
    <row r="36" spans="1:8" x14ac:dyDescent="0.35">
      <c r="A36" s="100">
        <f t="shared" si="0"/>
        <v>0</v>
      </c>
      <c r="B36" s="37" t="s">
        <v>139</v>
      </c>
      <c r="C36" s="15" t="s">
        <v>140</v>
      </c>
      <c r="D36" s="39">
        <v>748725</v>
      </c>
      <c r="E36" s="39">
        <v>8739.9500000000007</v>
      </c>
      <c r="F36" s="41">
        <v>0</v>
      </c>
      <c r="G36" s="39">
        <v>8739.9500000000007</v>
      </c>
      <c r="H36" s="40">
        <v>757464.95</v>
      </c>
    </row>
    <row r="37" spans="1:8" x14ac:dyDescent="0.35">
      <c r="A37" s="101" t="str">
        <f t="shared" si="0"/>
        <v>1</v>
      </c>
      <c r="B37" s="105">
        <v>11642001</v>
      </c>
      <c r="C37" s="15" t="s">
        <v>46</v>
      </c>
      <c r="D37" s="39">
        <v>748725</v>
      </c>
      <c r="E37" s="39">
        <v>8739.9500000000007</v>
      </c>
      <c r="F37" s="41">
        <v>0</v>
      </c>
      <c r="G37" s="39">
        <v>8739.9500000000007</v>
      </c>
      <c r="H37" s="40">
        <v>757464.95</v>
      </c>
    </row>
    <row r="38" spans="1:8" x14ac:dyDescent="0.35">
      <c r="A38" s="101">
        <f t="shared" si="0"/>
        <v>0</v>
      </c>
      <c r="B38" s="37" t="s">
        <v>299</v>
      </c>
      <c r="C38" s="15" t="s">
        <v>300</v>
      </c>
      <c r="D38" s="39">
        <v>13856.46</v>
      </c>
      <c r="E38" s="41">
        <v>0</v>
      </c>
      <c r="F38" s="39">
        <v>13856.46</v>
      </c>
      <c r="G38" s="39">
        <v>-13856.46</v>
      </c>
      <c r="H38" s="42">
        <v>0</v>
      </c>
    </row>
    <row r="39" spans="1:8" x14ac:dyDescent="0.35">
      <c r="A39" s="100" t="str">
        <f t="shared" si="0"/>
        <v>1</v>
      </c>
      <c r="B39" s="105">
        <v>11642002</v>
      </c>
      <c r="C39" s="15" t="s">
        <v>40</v>
      </c>
      <c r="D39" s="39">
        <v>13856.46</v>
      </c>
      <c r="E39" s="41">
        <v>0</v>
      </c>
      <c r="F39" s="39">
        <v>13856.46</v>
      </c>
      <c r="G39" s="39">
        <v>-13856.46</v>
      </c>
      <c r="H39" s="42">
        <v>0</v>
      </c>
    </row>
    <row r="40" spans="1:8" x14ac:dyDescent="0.35">
      <c r="A40" s="101">
        <f t="shared" si="0"/>
        <v>0</v>
      </c>
      <c r="B40" s="12" t="s">
        <v>141</v>
      </c>
      <c r="C40" s="13" t="s">
        <v>142</v>
      </c>
      <c r="D40" s="39">
        <v>366666.68</v>
      </c>
      <c r="E40" s="39">
        <v>528.67999999999995</v>
      </c>
      <c r="F40" s="39">
        <v>11639.79</v>
      </c>
      <c r="G40" s="39">
        <v>-11111.11</v>
      </c>
      <c r="H40" s="40">
        <v>355555.57</v>
      </c>
    </row>
    <row r="41" spans="1:8" x14ac:dyDescent="0.35">
      <c r="A41" s="101">
        <f t="shared" si="0"/>
        <v>0</v>
      </c>
      <c r="B41" s="14" t="s">
        <v>143</v>
      </c>
      <c r="C41" s="15" t="s">
        <v>144</v>
      </c>
      <c r="D41" s="39">
        <v>366666.68</v>
      </c>
      <c r="E41" s="39">
        <v>528.67999999999995</v>
      </c>
      <c r="F41" s="39">
        <v>11639.79</v>
      </c>
      <c r="G41" s="39">
        <v>-11111.11</v>
      </c>
      <c r="H41" s="40">
        <v>355555.57</v>
      </c>
    </row>
    <row r="42" spans="1:8" x14ac:dyDescent="0.35">
      <c r="A42" s="100" t="str">
        <f t="shared" si="0"/>
        <v>C</v>
      </c>
      <c r="B42" s="16" t="s">
        <v>145</v>
      </c>
      <c r="C42" s="15" t="s">
        <v>126</v>
      </c>
      <c r="D42" s="39">
        <v>366666.68</v>
      </c>
      <c r="E42" s="39">
        <v>528.67999999999995</v>
      </c>
      <c r="F42" s="39">
        <v>11639.79</v>
      </c>
      <c r="G42" s="39">
        <v>-11111.11</v>
      </c>
      <c r="H42" s="40">
        <v>355555.57</v>
      </c>
    </row>
    <row r="43" spans="1:8" x14ac:dyDescent="0.35">
      <c r="A43" s="101">
        <f t="shared" si="0"/>
        <v>0</v>
      </c>
      <c r="B43" s="17" t="s">
        <v>146</v>
      </c>
      <c r="C43" s="15" t="s">
        <v>128</v>
      </c>
      <c r="D43" s="39">
        <v>366666.68</v>
      </c>
      <c r="E43" s="39">
        <v>528.67999999999995</v>
      </c>
      <c r="F43" s="39">
        <v>11639.79</v>
      </c>
      <c r="G43" s="39">
        <v>-11111.11</v>
      </c>
      <c r="H43" s="40">
        <v>355555.57</v>
      </c>
    </row>
    <row r="44" spans="1:8" x14ac:dyDescent="0.35">
      <c r="A44" s="100">
        <f t="shared" si="0"/>
        <v>0</v>
      </c>
      <c r="B44" s="37" t="s">
        <v>147</v>
      </c>
      <c r="C44" s="15" t="s">
        <v>128</v>
      </c>
      <c r="D44" s="39">
        <v>366666.68</v>
      </c>
      <c r="E44" s="39">
        <v>528.67999999999995</v>
      </c>
      <c r="F44" s="39">
        <v>11639.79</v>
      </c>
      <c r="G44" s="39">
        <v>-11111.11</v>
      </c>
      <c r="H44" s="40">
        <v>355555.57</v>
      </c>
    </row>
    <row r="45" spans="1:8" x14ac:dyDescent="0.35">
      <c r="A45" s="101" t="str">
        <f t="shared" si="0"/>
        <v>1</v>
      </c>
      <c r="B45" s="105">
        <v>12610001</v>
      </c>
      <c r="C45" s="15" t="s">
        <v>12</v>
      </c>
      <c r="D45" s="39">
        <v>366666.68</v>
      </c>
      <c r="E45" s="39">
        <v>528.67999999999995</v>
      </c>
      <c r="F45" s="39">
        <v>11639.79</v>
      </c>
      <c r="G45" s="39">
        <v>-11111.11</v>
      </c>
      <c r="H45" s="40">
        <v>355555.57</v>
      </c>
    </row>
    <row r="46" spans="1:8" x14ac:dyDescent="0.35">
      <c r="A46" s="100">
        <f t="shared" si="0"/>
        <v>0</v>
      </c>
      <c r="B46" s="14" t="s">
        <v>148</v>
      </c>
      <c r="C46" s="15" t="s">
        <v>149</v>
      </c>
      <c r="D46" s="41">
        <v>0</v>
      </c>
      <c r="E46" s="41">
        <v>0</v>
      </c>
      <c r="F46" s="41">
        <v>0</v>
      </c>
      <c r="G46" s="41">
        <v>0</v>
      </c>
      <c r="H46" s="42">
        <v>0</v>
      </c>
    </row>
    <row r="47" spans="1:8" x14ac:dyDescent="0.35">
      <c r="A47" s="101" t="str">
        <f t="shared" si="0"/>
        <v>C</v>
      </c>
      <c r="B47" s="16" t="s">
        <v>150</v>
      </c>
      <c r="C47" s="15" t="s">
        <v>151</v>
      </c>
      <c r="D47" s="41">
        <v>0</v>
      </c>
      <c r="E47" s="41">
        <v>0</v>
      </c>
      <c r="F47" s="41">
        <v>0</v>
      </c>
      <c r="G47" s="41">
        <v>0</v>
      </c>
      <c r="H47" s="42">
        <v>0</v>
      </c>
    </row>
    <row r="48" spans="1:8" x14ac:dyDescent="0.35">
      <c r="A48" s="101">
        <f t="shared" si="0"/>
        <v>0</v>
      </c>
      <c r="B48" s="17" t="s">
        <v>152</v>
      </c>
      <c r="C48" s="15" t="s">
        <v>153</v>
      </c>
      <c r="D48" s="39">
        <v>16679.39</v>
      </c>
      <c r="E48" s="41">
        <v>0</v>
      </c>
      <c r="F48" s="41">
        <v>0</v>
      </c>
      <c r="G48" s="41">
        <v>0</v>
      </c>
      <c r="H48" s="40">
        <v>16679.39</v>
      </c>
    </row>
    <row r="49" spans="1:8" x14ac:dyDescent="0.35">
      <c r="A49" s="100">
        <f t="shared" si="0"/>
        <v>0</v>
      </c>
      <c r="B49" s="37" t="s">
        <v>154</v>
      </c>
      <c r="C49" s="15" t="s">
        <v>155</v>
      </c>
      <c r="D49" s="39">
        <v>16679.39</v>
      </c>
      <c r="E49" s="41">
        <v>0</v>
      </c>
      <c r="F49" s="41">
        <v>0</v>
      </c>
      <c r="G49" s="41">
        <v>0</v>
      </c>
      <c r="H49" s="40">
        <v>16679.39</v>
      </c>
    </row>
    <row r="50" spans="1:8" x14ac:dyDescent="0.35">
      <c r="A50" s="101" t="str">
        <f t="shared" si="0"/>
        <v>1</v>
      </c>
      <c r="B50" s="105">
        <v>14221001</v>
      </c>
      <c r="C50" s="15" t="s">
        <v>47</v>
      </c>
      <c r="D50" s="39">
        <v>16679.39</v>
      </c>
      <c r="E50" s="41">
        <v>0</v>
      </c>
      <c r="F50" s="41">
        <v>0</v>
      </c>
      <c r="G50" s="41">
        <v>0</v>
      </c>
      <c r="H50" s="40">
        <v>16679.39</v>
      </c>
    </row>
    <row r="51" spans="1:8" x14ac:dyDescent="0.35">
      <c r="A51" s="101">
        <f t="shared" si="0"/>
        <v>0</v>
      </c>
      <c r="B51" s="17" t="s">
        <v>156</v>
      </c>
      <c r="C51" s="15" t="s">
        <v>48</v>
      </c>
      <c r="D51" s="39">
        <v>6147</v>
      </c>
      <c r="E51" s="41">
        <v>0</v>
      </c>
      <c r="F51" s="41">
        <v>0</v>
      </c>
      <c r="G51" s="41">
        <v>0</v>
      </c>
      <c r="H51" s="40">
        <v>6147</v>
      </c>
    </row>
    <row r="52" spans="1:8" x14ac:dyDescent="0.35">
      <c r="A52" s="101" t="str">
        <f t="shared" si="0"/>
        <v>1</v>
      </c>
      <c r="B52" s="37">
        <v>14222001</v>
      </c>
      <c r="C52" s="15" t="s">
        <v>48</v>
      </c>
      <c r="D52" s="39">
        <v>6147</v>
      </c>
      <c r="E52" s="41">
        <v>0</v>
      </c>
      <c r="F52" s="41">
        <v>0</v>
      </c>
      <c r="G52" s="41">
        <v>0</v>
      </c>
      <c r="H52" s="40">
        <v>6147</v>
      </c>
    </row>
    <row r="53" spans="1:8" x14ac:dyDescent="0.35">
      <c r="A53" s="101">
        <f t="shared" si="0"/>
        <v>0</v>
      </c>
      <c r="B53" s="17" t="s">
        <v>157</v>
      </c>
      <c r="C53" s="15" t="s">
        <v>158</v>
      </c>
      <c r="D53" s="39">
        <v>-22826.39</v>
      </c>
      <c r="E53" s="41">
        <v>0</v>
      </c>
      <c r="F53" s="41">
        <v>0</v>
      </c>
      <c r="G53" s="41">
        <v>0</v>
      </c>
      <c r="H53" s="40">
        <v>-22826.39</v>
      </c>
    </row>
    <row r="54" spans="1:8" x14ac:dyDescent="0.35">
      <c r="A54" s="100">
        <f t="shared" si="0"/>
        <v>0</v>
      </c>
      <c r="B54" s="37" t="s">
        <v>159</v>
      </c>
      <c r="C54" s="15" t="s">
        <v>158</v>
      </c>
      <c r="D54" s="39">
        <v>-22826.39</v>
      </c>
      <c r="E54" s="41">
        <v>0</v>
      </c>
      <c r="F54" s="41">
        <v>0</v>
      </c>
      <c r="G54" s="41">
        <v>0</v>
      </c>
      <c r="H54" s="40">
        <v>-22826.39</v>
      </c>
    </row>
    <row r="55" spans="1:8" x14ac:dyDescent="0.35">
      <c r="A55" s="101" t="str">
        <f t="shared" si="0"/>
        <v>1</v>
      </c>
      <c r="B55" s="105">
        <v>14229001</v>
      </c>
      <c r="C55" s="15" t="s">
        <v>49</v>
      </c>
      <c r="D55" s="39">
        <v>-16679.39</v>
      </c>
      <c r="E55" s="41">
        <v>0</v>
      </c>
      <c r="F55" s="41">
        <v>0</v>
      </c>
      <c r="G55" s="41">
        <v>0</v>
      </c>
      <c r="H55" s="40">
        <v>-16679.39</v>
      </c>
    </row>
    <row r="56" spans="1:8" x14ac:dyDescent="0.35">
      <c r="A56" s="100" t="str">
        <f t="shared" si="0"/>
        <v>1</v>
      </c>
      <c r="B56" s="105">
        <v>14229003</v>
      </c>
      <c r="C56" s="15" t="s">
        <v>50</v>
      </c>
      <c r="D56" s="39">
        <v>-6147</v>
      </c>
      <c r="E56" s="41">
        <v>0</v>
      </c>
      <c r="F56" s="41">
        <v>0</v>
      </c>
      <c r="G56" s="41">
        <v>0</v>
      </c>
      <c r="H56" s="40">
        <v>-6147</v>
      </c>
    </row>
    <row r="57" spans="1:8" x14ac:dyDescent="0.35">
      <c r="A57" s="101">
        <f t="shared" si="0"/>
        <v>0</v>
      </c>
      <c r="B57" s="10" t="s">
        <v>160</v>
      </c>
      <c r="C57" s="11" t="s">
        <v>161</v>
      </c>
      <c r="D57" s="39">
        <v>-2722975.84</v>
      </c>
      <c r="E57" s="39">
        <v>46448.71</v>
      </c>
      <c r="F57" s="39">
        <v>88658.4</v>
      </c>
      <c r="G57" s="39">
        <v>-42209.69</v>
      </c>
      <c r="H57" s="40">
        <v>-2765185.53</v>
      </c>
    </row>
    <row r="58" spans="1:8" x14ac:dyDescent="0.35">
      <c r="A58" s="101">
        <f t="shared" si="0"/>
        <v>0</v>
      </c>
      <c r="B58" s="12" t="s">
        <v>162</v>
      </c>
      <c r="C58" s="13" t="s">
        <v>103</v>
      </c>
      <c r="D58" s="39">
        <v>-109759.55</v>
      </c>
      <c r="E58" s="39">
        <v>46448.71</v>
      </c>
      <c r="F58" s="39">
        <v>88658.4</v>
      </c>
      <c r="G58" s="39">
        <v>-42209.69</v>
      </c>
      <c r="H58" s="40">
        <v>-151969.24</v>
      </c>
    </row>
    <row r="59" spans="1:8" x14ac:dyDescent="0.35">
      <c r="A59" s="101">
        <f t="shared" si="0"/>
        <v>0</v>
      </c>
      <c r="B59" s="14" t="s">
        <v>163</v>
      </c>
      <c r="C59" s="15" t="s">
        <v>164</v>
      </c>
      <c r="D59" s="39">
        <v>-109759.55</v>
      </c>
      <c r="E59" s="39">
        <v>46448.71</v>
      </c>
      <c r="F59" s="39">
        <v>88658.4</v>
      </c>
      <c r="G59" s="39">
        <v>-42209.69</v>
      </c>
      <c r="H59" s="40">
        <v>-151969.24</v>
      </c>
    </row>
    <row r="60" spans="1:8" x14ac:dyDescent="0.35">
      <c r="A60" s="100" t="str">
        <f t="shared" si="0"/>
        <v>C</v>
      </c>
      <c r="B60" s="16" t="s">
        <v>165</v>
      </c>
      <c r="C60" s="15" t="s">
        <v>166</v>
      </c>
      <c r="D60" s="39">
        <v>-91500.66</v>
      </c>
      <c r="E60" s="39">
        <v>23393.9</v>
      </c>
      <c r="F60" s="39">
        <v>87655.58</v>
      </c>
      <c r="G60" s="39">
        <v>-64261.68</v>
      </c>
      <c r="H60" s="40">
        <v>-155762.34</v>
      </c>
    </row>
    <row r="61" spans="1:8" x14ac:dyDescent="0.35">
      <c r="A61" s="101">
        <f t="shared" si="0"/>
        <v>0</v>
      </c>
      <c r="B61" s="17" t="s">
        <v>167</v>
      </c>
      <c r="C61" s="15" t="s">
        <v>168</v>
      </c>
      <c r="D61" s="39">
        <v>-83309.5</v>
      </c>
      <c r="E61" s="39">
        <v>23393.9</v>
      </c>
      <c r="F61" s="39">
        <v>50703.74</v>
      </c>
      <c r="G61" s="39">
        <v>-27309.84</v>
      </c>
      <c r="H61" s="40">
        <v>-110619.34</v>
      </c>
    </row>
    <row r="62" spans="1:8" x14ac:dyDescent="0.35">
      <c r="A62" s="100" t="str">
        <f t="shared" si="0"/>
        <v>2</v>
      </c>
      <c r="B62" s="37">
        <v>21111001</v>
      </c>
      <c r="C62" s="15" t="s">
        <v>13</v>
      </c>
      <c r="D62" s="39">
        <v>-83309.5</v>
      </c>
      <c r="E62" s="39">
        <v>15643.9</v>
      </c>
      <c r="F62" s="39">
        <v>42953.74</v>
      </c>
      <c r="G62" s="39">
        <v>-27309.84</v>
      </c>
      <c r="H62" s="40">
        <v>-110619.34</v>
      </c>
    </row>
    <row r="63" spans="1:8" x14ac:dyDescent="0.35">
      <c r="A63" s="100" t="str">
        <f t="shared" si="0"/>
        <v>2</v>
      </c>
      <c r="B63" s="37">
        <v>21111002</v>
      </c>
      <c r="C63" s="15" t="s">
        <v>41</v>
      </c>
      <c r="D63" s="41">
        <v>0</v>
      </c>
      <c r="E63" s="39">
        <v>7750</v>
      </c>
      <c r="F63" s="39">
        <v>7750</v>
      </c>
      <c r="G63" s="41">
        <v>0</v>
      </c>
      <c r="H63" s="42">
        <v>0</v>
      </c>
    </row>
    <row r="64" spans="1:8" x14ac:dyDescent="0.35">
      <c r="A64" s="101">
        <f t="shared" si="0"/>
        <v>0</v>
      </c>
      <c r="B64" s="17" t="s">
        <v>169</v>
      </c>
      <c r="C64" s="15" t="s">
        <v>170</v>
      </c>
      <c r="D64" s="39">
        <v>-8191.16</v>
      </c>
      <c r="E64" s="41">
        <v>0</v>
      </c>
      <c r="F64" s="39">
        <v>36951.839999999997</v>
      </c>
      <c r="G64" s="39">
        <v>-36951.839999999997</v>
      </c>
      <c r="H64" s="40">
        <v>-45143</v>
      </c>
    </row>
    <row r="65" spans="1:8" x14ac:dyDescent="0.35">
      <c r="A65" s="101">
        <f t="shared" si="0"/>
        <v>0</v>
      </c>
      <c r="B65" s="37" t="s">
        <v>171</v>
      </c>
      <c r="C65" s="15" t="s">
        <v>172</v>
      </c>
      <c r="D65" s="39">
        <v>-8191.16</v>
      </c>
      <c r="E65" s="41">
        <v>0</v>
      </c>
      <c r="F65" s="39">
        <v>36951.839999999997</v>
      </c>
      <c r="G65" s="39">
        <v>-36951.839999999997</v>
      </c>
      <c r="H65" s="40">
        <v>-45143</v>
      </c>
    </row>
    <row r="66" spans="1:8" x14ac:dyDescent="0.35">
      <c r="A66" s="101" t="str">
        <f t="shared" si="0"/>
        <v>2</v>
      </c>
      <c r="B66" s="105">
        <v>21111099</v>
      </c>
      <c r="C66" s="15" t="s">
        <v>44</v>
      </c>
      <c r="D66" s="39">
        <v>-8191.16</v>
      </c>
      <c r="E66" s="41">
        <v>0</v>
      </c>
      <c r="F66" s="39">
        <v>36951.839999999997</v>
      </c>
      <c r="G66" s="39">
        <v>-36951.839999999997</v>
      </c>
      <c r="H66" s="40">
        <v>-45143</v>
      </c>
    </row>
    <row r="67" spans="1:8" x14ac:dyDescent="0.35">
      <c r="A67" s="100" t="str">
        <f t="shared" si="0"/>
        <v>C</v>
      </c>
      <c r="B67" s="16" t="s">
        <v>173</v>
      </c>
      <c r="C67" s="15" t="s">
        <v>174</v>
      </c>
      <c r="D67" s="39">
        <v>-4871.8500000000004</v>
      </c>
      <c r="E67" s="39">
        <v>4871.8500000000004</v>
      </c>
      <c r="F67" s="39">
        <v>1002.82</v>
      </c>
      <c r="G67" s="39">
        <v>3869.03</v>
      </c>
      <c r="H67" s="40">
        <v>-1002.82</v>
      </c>
    </row>
    <row r="68" spans="1:8" x14ac:dyDescent="0.35">
      <c r="A68" s="101">
        <f t="shared" ref="A68:A131" si="1">IF(LEN(B68)=8,LEFT(B68,1),0)</f>
        <v>0</v>
      </c>
      <c r="B68" s="17" t="s">
        <v>177</v>
      </c>
      <c r="C68" s="15" t="s">
        <v>178</v>
      </c>
      <c r="D68" s="39">
        <v>-4871.8500000000004</v>
      </c>
      <c r="E68" s="39">
        <v>4871.8500000000004</v>
      </c>
      <c r="F68" s="39">
        <v>1002.82</v>
      </c>
      <c r="G68" s="39">
        <v>3869.03</v>
      </c>
      <c r="H68" s="40">
        <v>-1002.82</v>
      </c>
    </row>
    <row r="69" spans="1:8" x14ac:dyDescent="0.35">
      <c r="A69" s="101" t="str">
        <f t="shared" si="1"/>
        <v>2</v>
      </c>
      <c r="B69" s="37">
        <v>21131601</v>
      </c>
      <c r="C69" s="15" t="s">
        <v>14</v>
      </c>
      <c r="D69" s="39">
        <v>-4029.7</v>
      </c>
      <c r="E69" s="39">
        <v>4029.7</v>
      </c>
      <c r="F69" s="39">
        <v>848.69</v>
      </c>
      <c r="G69" s="39">
        <v>3181.01</v>
      </c>
      <c r="H69" s="40">
        <v>-848.69</v>
      </c>
    </row>
    <row r="70" spans="1:8" x14ac:dyDescent="0.35">
      <c r="A70" s="100" t="str">
        <f t="shared" si="1"/>
        <v>2</v>
      </c>
      <c r="B70" s="37">
        <v>21131602</v>
      </c>
      <c r="C70" s="15" t="s">
        <v>15</v>
      </c>
      <c r="D70" s="39">
        <v>-842.15</v>
      </c>
      <c r="E70" s="39">
        <v>842.15</v>
      </c>
      <c r="F70" s="39">
        <v>154.13</v>
      </c>
      <c r="G70" s="39">
        <v>688.02</v>
      </c>
      <c r="H70" s="40">
        <v>-154.13</v>
      </c>
    </row>
    <row r="71" spans="1:8" x14ac:dyDescent="0.35">
      <c r="A71" s="101" t="str">
        <f t="shared" si="1"/>
        <v>C</v>
      </c>
      <c r="B71" s="16" t="s">
        <v>179</v>
      </c>
      <c r="C71" s="15" t="s">
        <v>180</v>
      </c>
      <c r="D71" s="39">
        <v>-13387.04</v>
      </c>
      <c r="E71" s="39">
        <v>18182.96</v>
      </c>
      <c r="F71" s="41">
        <v>0</v>
      </c>
      <c r="G71" s="39">
        <v>18182.96</v>
      </c>
      <c r="H71" s="40">
        <v>4795.92</v>
      </c>
    </row>
    <row r="72" spans="1:8" x14ac:dyDescent="0.35">
      <c r="A72" s="100">
        <f t="shared" si="1"/>
        <v>0</v>
      </c>
      <c r="B72" s="17" t="s">
        <v>181</v>
      </c>
      <c r="C72" s="15" t="s">
        <v>182</v>
      </c>
      <c r="D72" s="39">
        <v>-9314</v>
      </c>
      <c r="E72" s="39">
        <v>13258.55</v>
      </c>
      <c r="F72" s="41">
        <v>0</v>
      </c>
      <c r="G72" s="39">
        <v>13258.55</v>
      </c>
      <c r="H72" s="40">
        <v>3944.55</v>
      </c>
    </row>
    <row r="73" spans="1:8" x14ac:dyDescent="0.35">
      <c r="A73" s="100">
        <f t="shared" si="1"/>
        <v>0</v>
      </c>
      <c r="B73" s="37" t="s">
        <v>183</v>
      </c>
      <c r="C73" s="15" t="s">
        <v>182</v>
      </c>
      <c r="D73" s="39">
        <v>-9314</v>
      </c>
      <c r="E73" s="39">
        <v>3944.55</v>
      </c>
      <c r="F73" s="41">
        <v>0</v>
      </c>
      <c r="G73" s="39">
        <v>3944.55</v>
      </c>
      <c r="H73" s="40">
        <v>-5369.45</v>
      </c>
    </row>
    <row r="74" spans="1:8" x14ac:dyDescent="0.35">
      <c r="A74" s="101" t="str">
        <f t="shared" si="1"/>
        <v>2</v>
      </c>
      <c r="B74" s="105">
        <v>21131101</v>
      </c>
      <c r="C74" s="15" t="s">
        <v>37</v>
      </c>
      <c r="D74" s="39">
        <v>-9314</v>
      </c>
      <c r="E74" s="39">
        <v>3944.55</v>
      </c>
      <c r="F74" s="41">
        <v>0</v>
      </c>
      <c r="G74" s="39">
        <v>3944.55</v>
      </c>
      <c r="H74" s="40">
        <v>-5369.45</v>
      </c>
    </row>
    <row r="75" spans="1:8" x14ac:dyDescent="0.35">
      <c r="A75" s="100">
        <f t="shared" si="1"/>
        <v>0</v>
      </c>
      <c r="B75" s="37" t="s">
        <v>184</v>
      </c>
      <c r="C75" s="15" t="s">
        <v>185</v>
      </c>
      <c r="D75" s="41">
        <v>0</v>
      </c>
      <c r="E75" s="39">
        <v>9314</v>
      </c>
      <c r="F75" s="41">
        <v>0</v>
      </c>
      <c r="G75" s="39">
        <v>9314</v>
      </c>
      <c r="H75" s="40">
        <v>9314</v>
      </c>
    </row>
    <row r="76" spans="1:8" x14ac:dyDescent="0.35">
      <c r="A76" s="101" t="str">
        <f t="shared" si="1"/>
        <v>2</v>
      </c>
      <c r="B76" s="105">
        <v>21131102</v>
      </c>
      <c r="C76" s="15" t="s">
        <v>58</v>
      </c>
      <c r="D76" s="41">
        <v>0</v>
      </c>
      <c r="E76" s="39">
        <v>9314</v>
      </c>
      <c r="F76" s="41">
        <v>0</v>
      </c>
      <c r="G76" s="39">
        <v>9314</v>
      </c>
      <c r="H76" s="40">
        <v>9314</v>
      </c>
    </row>
    <row r="77" spans="1:8" x14ac:dyDescent="0.35">
      <c r="A77" s="100">
        <f t="shared" si="1"/>
        <v>0</v>
      </c>
      <c r="B77" s="17" t="s">
        <v>186</v>
      </c>
      <c r="C77" s="15" t="s">
        <v>140</v>
      </c>
      <c r="D77" s="39">
        <v>-4073.04</v>
      </c>
      <c r="E77" s="39">
        <v>4924.41</v>
      </c>
      <c r="F77" s="41">
        <v>0</v>
      </c>
      <c r="G77" s="39">
        <v>4924.41</v>
      </c>
      <c r="H77" s="40">
        <v>851.37</v>
      </c>
    </row>
    <row r="78" spans="1:8" x14ac:dyDescent="0.35">
      <c r="A78" s="101">
        <f t="shared" si="1"/>
        <v>0</v>
      </c>
      <c r="B78" s="37" t="s">
        <v>187</v>
      </c>
      <c r="C78" s="15" t="s">
        <v>140</v>
      </c>
      <c r="D78" s="39">
        <v>-4073.04</v>
      </c>
      <c r="E78" s="39">
        <v>851.37</v>
      </c>
      <c r="F78" s="41">
        <v>0</v>
      </c>
      <c r="G78" s="39">
        <v>851.37</v>
      </c>
      <c r="H78" s="40">
        <v>-3221.67</v>
      </c>
    </row>
    <row r="79" spans="1:8" x14ac:dyDescent="0.35">
      <c r="A79" s="101" t="str">
        <f t="shared" si="1"/>
        <v>2</v>
      </c>
      <c r="B79" s="105">
        <v>21131201</v>
      </c>
      <c r="C79" s="15" t="s">
        <v>38</v>
      </c>
      <c r="D79" s="39">
        <v>-4073.04</v>
      </c>
      <c r="E79" s="39">
        <v>851.37</v>
      </c>
      <c r="F79" s="41">
        <v>0</v>
      </c>
      <c r="G79" s="39">
        <v>851.37</v>
      </c>
      <c r="H79" s="40">
        <v>-3221.67</v>
      </c>
    </row>
    <row r="80" spans="1:8" x14ac:dyDescent="0.35">
      <c r="A80" s="101">
        <f t="shared" si="1"/>
        <v>0</v>
      </c>
      <c r="B80" s="37" t="s">
        <v>188</v>
      </c>
      <c r="C80" s="15" t="s">
        <v>189</v>
      </c>
      <c r="D80" s="41">
        <v>0</v>
      </c>
      <c r="E80" s="39">
        <v>4073.04</v>
      </c>
      <c r="F80" s="41">
        <v>0</v>
      </c>
      <c r="G80" s="39">
        <v>4073.04</v>
      </c>
      <c r="H80" s="40">
        <v>4073.04</v>
      </c>
    </row>
    <row r="81" spans="1:8" x14ac:dyDescent="0.35">
      <c r="A81" s="100" t="str">
        <f t="shared" si="1"/>
        <v>2</v>
      </c>
      <c r="B81" s="105">
        <v>21131202</v>
      </c>
      <c r="C81" s="15" t="s">
        <v>59</v>
      </c>
      <c r="D81" s="41">
        <v>0</v>
      </c>
      <c r="E81" s="39">
        <v>4073.04</v>
      </c>
      <c r="F81" s="41">
        <v>0</v>
      </c>
      <c r="G81" s="39">
        <v>4073.04</v>
      </c>
      <c r="H81" s="40">
        <v>4073.04</v>
      </c>
    </row>
    <row r="82" spans="1:8" x14ac:dyDescent="0.35">
      <c r="A82" s="101">
        <f t="shared" si="1"/>
        <v>0</v>
      </c>
      <c r="B82" s="12" t="s">
        <v>190</v>
      </c>
      <c r="C82" s="13" t="s">
        <v>191</v>
      </c>
      <c r="D82" s="39">
        <v>-2613216.29</v>
      </c>
      <c r="E82" s="41">
        <v>0</v>
      </c>
      <c r="F82" s="41">
        <v>0</v>
      </c>
      <c r="G82" s="41">
        <v>0</v>
      </c>
      <c r="H82" s="40">
        <v>-2613216.29</v>
      </c>
    </row>
    <row r="83" spans="1:8" x14ac:dyDescent="0.35">
      <c r="A83" s="100">
        <f t="shared" si="1"/>
        <v>0</v>
      </c>
      <c r="B83" s="14" t="s">
        <v>192</v>
      </c>
      <c r="C83" s="15" t="s">
        <v>193</v>
      </c>
      <c r="D83" s="39">
        <v>-2613216.29</v>
      </c>
      <c r="E83" s="41">
        <v>0</v>
      </c>
      <c r="F83" s="41">
        <v>0</v>
      </c>
      <c r="G83" s="41">
        <v>0</v>
      </c>
      <c r="H83" s="40">
        <v>-2613216.29</v>
      </c>
    </row>
    <row r="84" spans="1:8" x14ac:dyDescent="0.35">
      <c r="A84" s="100" t="str">
        <f t="shared" si="1"/>
        <v>C</v>
      </c>
      <c r="B84" s="16" t="s">
        <v>194</v>
      </c>
      <c r="C84" s="15" t="s">
        <v>195</v>
      </c>
      <c r="D84" s="39">
        <v>-1707264</v>
      </c>
      <c r="E84" s="41">
        <v>0</v>
      </c>
      <c r="F84" s="41">
        <v>0</v>
      </c>
      <c r="G84" s="41">
        <v>0</v>
      </c>
      <c r="H84" s="40">
        <v>-1707264</v>
      </c>
    </row>
    <row r="85" spans="1:8" x14ac:dyDescent="0.35">
      <c r="A85" s="100">
        <f t="shared" si="1"/>
        <v>0</v>
      </c>
      <c r="B85" s="17" t="s">
        <v>196</v>
      </c>
      <c r="C85" s="15" t="s">
        <v>197</v>
      </c>
      <c r="D85" s="39">
        <v>-1707264</v>
      </c>
      <c r="E85" s="41">
        <v>0</v>
      </c>
      <c r="F85" s="41">
        <v>0</v>
      </c>
      <c r="G85" s="41">
        <v>0</v>
      </c>
      <c r="H85" s="40">
        <v>-1707264</v>
      </c>
    </row>
    <row r="86" spans="1:8" x14ac:dyDescent="0.35">
      <c r="A86" s="101">
        <f t="shared" si="1"/>
        <v>0</v>
      </c>
      <c r="B86" s="37" t="s">
        <v>198</v>
      </c>
      <c r="C86" s="15" t="s">
        <v>51</v>
      </c>
      <c r="D86" s="39">
        <v>-1707264</v>
      </c>
      <c r="E86" s="41">
        <v>0</v>
      </c>
      <c r="F86" s="41">
        <v>0</v>
      </c>
      <c r="G86" s="41">
        <v>0</v>
      </c>
      <c r="H86" s="40">
        <v>-1707264</v>
      </c>
    </row>
    <row r="87" spans="1:8" x14ac:dyDescent="0.35">
      <c r="A87" s="100" t="str">
        <f t="shared" si="1"/>
        <v>2</v>
      </c>
      <c r="B87" s="105">
        <v>24111001</v>
      </c>
      <c r="C87" s="15" t="s">
        <v>51</v>
      </c>
      <c r="D87" s="39">
        <v>-1707264</v>
      </c>
      <c r="E87" s="41">
        <v>0</v>
      </c>
      <c r="F87" s="41">
        <v>0</v>
      </c>
      <c r="G87" s="41">
        <v>0</v>
      </c>
      <c r="H87" s="40">
        <v>-1707264</v>
      </c>
    </row>
    <row r="88" spans="1:8" x14ac:dyDescent="0.35">
      <c r="A88" s="101" t="str">
        <f t="shared" si="1"/>
        <v>C</v>
      </c>
      <c r="B88" s="16" t="s">
        <v>199</v>
      </c>
      <c r="C88" s="15" t="s">
        <v>200</v>
      </c>
      <c r="D88" s="39">
        <v>-905952.29</v>
      </c>
      <c r="E88" s="41">
        <v>0</v>
      </c>
      <c r="F88" s="41">
        <v>0</v>
      </c>
      <c r="G88" s="41">
        <v>0</v>
      </c>
      <c r="H88" s="40">
        <v>-905952.29</v>
      </c>
    </row>
    <row r="89" spans="1:8" x14ac:dyDescent="0.35">
      <c r="A89" s="101">
        <f t="shared" si="1"/>
        <v>0</v>
      </c>
      <c r="B89" s="17" t="s">
        <v>201</v>
      </c>
      <c r="C89" s="15" t="s">
        <v>202</v>
      </c>
      <c r="D89" s="39">
        <v>-905952.29</v>
      </c>
      <c r="E89" s="41">
        <v>0</v>
      </c>
      <c r="F89" s="41">
        <v>0</v>
      </c>
      <c r="G89" s="41">
        <v>0</v>
      </c>
      <c r="H89" s="40">
        <v>-905952.29</v>
      </c>
    </row>
    <row r="90" spans="1:8" x14ac:dyDescent="0.35">
      <c r="A90" s="100" t="str">
        <f t="shared" si="1"/>
        <v>2</v>
      </c>
      <c r="B90" s="37">
        <v>24180004</v>
      </c>
      <c r="C90" s="15" t="s">
        <v>17</v>
      </c>
      <c r="D90" s="39">
        <v>-905952.29</v>
      </c>
      <c r="E90" s="41">
        <v>0</v>
      </c>
      <c r="F90" s="41">
        <v>0</v>
      </c>
      <c r="G90" s="41">
        <v>0</v>
      </c>
      <c r="H90" s="40">
        <v>-905952.29</v>
      </c>
    </row>
    <row r="91" spans="1:8" x14ac:dyDescent="0.35">
      <c r="A91" s="100">
        <f t="shared" si="1"/>
        <v>0</v>
      </c>
      <c r="B91" s="10" t="s">
        <v>203</v>
      </c>
      <c r="C91" s="11" t="s">
        <v>204</v>
      </c>
      <c r="D91" s="39">
        <v>3183.33</v>
      </c>
      <c r="E91" s="39">
        <v>73323.929999999993</v>
      </c>
      <c r="F91" s="39">
        <v>30247.37</v>
      </c>
      <c r="G91" s="39">
        <v>43076.56</v>
      </c>
      <c r="H91" s="40">
        <v>46259.89</v>
      </c>
    </row>
    <row r="92" spans="1:8" x14ac:dyDescent="0.35">
      <c r="A92" s="101">
        <f t="shared" si="1"/>
        <v>0</v>
      </c>
      <c r="B92" s="12" t="s">
        <v>205</v>
      </c>
      <c r="C92" s="13" t="s">
        <v>206</v>
      </c>
      <c r="D92" s="39">
        <v>-2418.04</v>
      </c>
      <c r="E92" s="39">
        <v>34701.839999999997</v>
      </c>
      <c r="F92" s="39">
        <v>11656.58</v>
      </c>
      <c r="G92" s="39">
        <v>23045.26</v>
      </c>
      <c r="H92" s="40">
        <v>20627.22</v>
      </c>
    </row>
    <row r="93" spans="1:8" x14ac:dyDescent="0.35">
      <c r="A93" s="100">
        <f t="shared" si="1"/>
        <v>0</v>
      </c>
      <c r="B93" s="14" t="s">
        <v>207</v>
      </c>
      <c r="C93" s="15" t="s">
        <v>208</v>
      </c>
      <c r="D93" s="39">
        <v>-2418.04</v>
      </c>
      <c r="E93" s="39">
        <v>34701.839999999997</v>
      </c>
      <c r="F93" s="39">
        <v>11656.58</v>
      </c>
      <c r="G93" s="39">
        <v>23045.26</v>
      </c>
      <c r="H93" s="40">
        <v>20627.22</v>
      </c>
    </row>
    <row r="94" spans="1:8" x14ac:dyDescent="0.35">
      <c r="A94" s="101" t="str">
        <f t="shared" si="1"/>
        <v>C</v>
      </c>
      <c r="B94" s="16" t="s">
        <v>209</v>
      </c>
      <c r="C94" s="15" t="s">
        <v>210</v>
      </c>
      <c r="D94" s="39">
        <v>-7990.17</v>
      </c>
      <c r="E94" s="41">
        <v>0</v>
      </c>
      <c r="F94" s="39">
        <v>3906.58</v>
      </c>
      <c r="G94" s="39">
        <v>-3906.58</v>
      </c>
      <c r="H94" s="40">
        <v>-11896.75</v>
      </c>
    </row>
    <row r="95" spans="1:8" x14ac:dyDescent="0.35">
      <c r="A95" s="100">
        <f t="shared" si="1"/>
        <v>0</v>
      </c>
      <c r="B95" s="17" t="s">
        <v>211</v>
      </c>
      <c r="C95" s="15" t="s">
        <v>212</v>
      </c>
      <c r="D95" s="39">
        <v>-7990.17</v>
      </c>
      <c r="E95" s="41">
        <v>0</v>
      </c>
      <c r="F95" s="39">
        <v>3906.58</v>
      </c>
      <c r="G95" s="39">
        <v>-3906.58</v>
      </c>
      <c r="H95" s="40">
        <v>-11896.75</v>
      </c>
    </row>
    <row r="96" spans="1:8" x14ac:dyDescent="0.35">
      <c r="A96" s="100">
        <f t="shared" si="1"/>
        <v>0</v>
      </c>
      <c r="B96" s="37" t="s">
        <v>213</v>
      </c>
      <c r="C96" s="15" t="s">
        <v>214</v>
      </c>
      <c r="D96" s="39">
        <v>-7990.17</v>
      </c>
      <c r="E96" s="41">
        <v>0</v>
      </c>
      <c r="F96" s="39">
        <v>3906.58</v>
      </c>
      <c r="G96" s="39">
        <v>-3906.58</v>
      </c>
      <c r="H96" s="40">
        <v>-11896.75</v>
      </c>
    </row>
    <row r="97" spans="1:8" x14ac:dyDescent="0.35">
      <c r="A97" s="101">
        <f t="shared" si="1"/>
        <v>0</v>
      </c>
      <c r="B97" s="105" t="s">
        <v>215</v>
      </c>
      <c r="C97" s="15" t="s">
        <v>216</v>
      </c>
      <c r="D97" s="39">
        <v>-7990.17</v>
      </c>
      <c r="E97" s="41">
        <v>0</v>
      </c>
      <c r="F97" s="39">
        <v>3906.58</v>
      </c>
      <c r="G97" s="39">
        <v>-3906.58</v>
      </c>
      <c r="H97" s="40">
        <v>-11896.75</v>
      </c>
    </row>
    <row r="98" spans="1:8" x14ac:dyDescent="0.35">
      <c r="A98" s="100" t="str">
        <f t="shared" si="1"/>
        <v>3</v>
      </c>
      <c r="B98" s="106">
        <v>35199998</v>
      </c>
      <c r="C98" s="15" t="s">
        <v>18</v>
      </c>
      <c r="D98" s="39">
        <v>-7990.17</v>
      </c>
      <c r="E98" s="41">
        <v>0</v>
      </c>
      <c r="F98" s="39">
        <v>3906.58</v>
      </c>
      <c r="G98" s="39">
        <v>-3906.58</v>
      </c>
      <c r="H98" s="40">
        <v>-11896.75</v>
      </c>
    </row>
    <row r="99" spans="1:8" x14ac:dyDescent="0.35">
      <c r="A99" s="101" t="str">
        <f t="shared" si="1"/>
        <v>C</v>
      </c>
      <c r="B99" s="16" t="s">
        <v>217</v>
      </c>
      <c r="C99" s="15" t="s">
        <v>218</v>
      </c>
      <c r="D99" s="39">
        <v>5572.13</v>
      </c>
      <c r="E99" s="39">
        <v>34701.839999999997</v>
      </c>
      <c r="F99" s="39">
        <v>7750</v>
      </c>
      <c r="G99" s="39">
        <v>26951.84</v>
      </c>
      <c r="H99" s="40">
        <v>32523.97</v>
      </c>
    </row>
    <row r="100" spans="1:8" x14ac:dyDescent="0.35">
      <c r="A100" s="100">
        <f t="shared" si="1"/>
        <v>0</v>
      </c>
      <c r="B100" s="17" t="s">
        <v>301</v>
      </c>
      <c r="C100" s="15" t="s">
        <v>302</v>
      </c>
      <c r="D100" s="41">
        <v>0</v>
      </c>
      <c r="E100" s="39">
        <v>7750</v>
      </c>
      <c r="F100" s="39">
        <v>7750</v>
      </c>
      <c r="G100" s="41">
        <v>0</v>
      </c>
      <c r="H100" s="42">
        <v>0</v>
      </c>
    </row>
    <row r="101" spans="1:8" x14ac:dyDescent="0.35">
      <c r="A101" s="101">
        <f t="shared" si="1"/>
        <v>0</v>
      </c>
      <c r="B101" s="37" t="s">
        <v>303</v>
      </c>
      <c r="C101" s="15" t="s">
        <v>304</v>
      </c>
      <c r="D101" s="41">
        <v>0</v>
      </c>
      <c r="E101" s="39">
        <v>7750</v>
      </c>
      <c r="F101" s="39">
        <v>7750</v>
      </c>
      <c r="G101" s="41">
        <v>0</v>
      </c>
      <c r="H101" s="42">
        <v>0</v>
      </c>
    </row>
    <row r="102" spans="1:8" x14ac:dyDescent="0.35">
      <c r="A102" s="100" t="str">
        <f t="shared" si="1"/>
        <v>4</v>
      </c>
      <c r="B102" s="105">
        <v>44120001</v>
      </c>
      <c r="C102" s="15" t="s">
        <v>69</v>
      </c>
      <c r="D102" s="41">
        <v>0</v>
      </c>
      <c r="E102" s="39">
        <v>7750</v>
      </c>
      <c r="F102" s="39">
        <v>7750</v>
      </c>
      <c r="G102" s="41">
        <v>0</v>
      </c>
      <c r="H102" s="42">
        <v>0</v>
      </c>
    </row>
    <row r="103" spans="1:8" x14ac:dyDescent="0.35">
      <c r="A103" s="101">
        <f t="shared" si="1"/>
        <v>0</v>
      </c>
      <c r="B103" s="17" t="s">
        <v>219</v>
      </c>
      <c r="C103" s="15" t="s">
        <v>220</v>
      </c>
      <c r="D103" s="39">
        <v>5572.13</v>
      </c>
      <c r="E103" s="39">
        <v>26951.84</v>
      </c>
      <c r="F103" s="41">
        <v>0</v>
      </c>
      <c r="G103" s="39">
        <v>26951.84</v>
      </c>
      <c r="H103" s="40">
        <v>32523.97</v>
      </c>
    </row>
    <row r="104" spans="1:8" x14ac:dyDescent="0.35">
      <c r="A104" s="100">
        <f t="shared" si="1"/>
        <v>0</v>
      </c>
      <c r="B104" s="37" t="s">
        <v>221</v>
      </c>
      <c r="C104" s="15" t="s">
        <v>222</v>
      </c>
      <c r="D104" s="39">
        <v>5572.13</v>
      </c>
      <c r="E104" s="39">
        <v>26951.84</v>
      </c>
      <c r="F104" s="41">
        <v>0</v>
      </c>
      <c r="G104" s="39">
        <v>26951.84</v>
      </c>
      <c r="H104" s="40">
        <v>32523.97</v>
      </c>
    </row>
    <row r="105" spans="1:8" x14ac:dyDescent="0.35">
      <c r="A105" s="101">
        <f t="shared" si="1"/>
        <v>0</v>
      </c>
      <c r="B105" s="105" t="s">
        <v>223</v>
      </c>
      <c r="C105" s="15" t="s">
        <v>216</v>
      </c>
      <c r="D105" s="39">
        <v>5572.13</v>
      </c>
      <c r="E105" s="39">
        <v>26951.84</v>
      </c>
      <c r="F105" s="41">
        <v>0</v>
      </c>
      <c r="G105" s="39">
        <v>26951.84</v>
      </c>
      <c r="H105" s="40">
        <v>32523.97</v>
      </c>
    </row>
    <row r="106" spans="1:8" x14ac:dyDescent="0.35">
      <c r="A106" s="100" t="str">
        <f t="shared" si="1"/>
        <v>4</v>
      </c>
      <c r="B106" s="106">
        <v>44189011</v>
      </c>
      <c r="C106" s="15" t="s">
        <v>94</v>
      </c>
      <c r="D106" s="41">
        <v>0</v>
      </c>
      <c r="E106" s="39">
        <v>22980</v>
      </c>
      <c r="F106" s="41">
        <v>0</v>
      </c>
      <c r="G106" s="39">
        <v>22980</v>
      </c>
      <c r="H106" s="40">
        <v>22980</v>
      </c>
    </row>
    <row r="107" spans="1:8" x14ac:dyDescent="0.35">
      <c r="A107" s="101" t="str">
        <f t="shared" si="1"/>
        <v>4</v>
      </c>
      <c r="B107" s="106">
        <v>44189013</v>
      </c>
      <c r="C107" s="15" t="s">
        <v>70</v>
      </c>
      <c r="D107" s="39">
        <v>5572.13</v>
      </c>
      <c r="E107" s="39">
        <v>3971.84</v>
      </c>
      <c r="F107" s="41">
        <v>0</v>
      </c>
      <c r="G107" s="39">
        <v>3971.84</v>
      </c>
      <c r="H107" s="40">
        <v>9543.9699999999993</v>
      </c>
    </row>
    <row r="108" spans="1:8" x14ac:dyDescent="0.35">
      <c r="A108" s="101">
        <f t="shared" si="1"/>
        <v>0</v>
      </c>
      <c r="B108" s="12" t="s">
        <v>225</v>
      </c>
      <c r="C108" s="13" t="s">
        <v>226</v>
      </c>
      <c r="D108" s="39">
        <v>6366.39</v>
      </c>
      <c r="E108" s="39">
        <v>11312.25</v>
      </c>
      <c r="F108" s="41">
        <v>0</v>
      </c>
      <c r="G108" s="39">
        <v>11312.25</v>
      </c>
      <c r="H108" s="40">
        <v>17678.64</v>
      </c>
    </row>
    <row r="109" spans="1:8" x14ac:dyDescent="0.35">
      <c r="A109" s="101">
        <f t="shared" si="1"/>
        <v>0</v>
      </c>
      <c r="B109" s="14" t="s">
        <v>227</v>
      </c>
      <c r="C109" s="15" t="s">
        <v>228</v>
      </c>
      <c r="D109" s="41">
        <v>0</v>
      </c>
      <c r="E109" s="39">
        <v>10000</v>
      </c>
      <c r="F109" s="41">
        <v>0</v>
      </c>
      <c r="G109" s="39">
        <v>10000</v>
      </c>
      <c r="H109" s="40">
        <v>10000</v>
      </c>
    </row>
    <row r="110" spans="1:8" x14ac:dyDescent="0.35">
      <c r="A110" s="101" t="str">
        <f t="shared" si="1"/>
        <v>C</v>
      </c>
      <c r="B110" s="16" t="s">
        <v>229</v>
      </c>
      <c r="C110" s="15" t="s">
        <v>228</v>
      </c>
      <c r="D110" s="41">
        <v>0</v>
      </c>
      <c r="E110" s="39">
        <v>10000</v>
      </c>
      <c r="F110" s="41">
        <v>0</v>
      </c>
      <c r="G110" s="39">
        <v>10000</v>
      </c>
      <c r="H110" s="40">
        <v>10000</v>
      </c>
    </row>
    <row r="111" spans="1:8" x14ac:dyDescent="0.35">
      <c r="A111" s="100">
        <f t="shared" si="1"/>
        <v>0</v>
      </c>
      <c r="B111" s="17" t="s">
        <v>230</v>
      </c>
      <c r="C111" s="15" t="s">
        <v>231</v>
      </c>
      <c r="D111" s="41">
        <v>0</v>
      </c>
      <c r="E111" s="39">
        <v>10000</v>
      </c>
      <c r="F111" s="41">
        <v>0</v>
      </c>
      <c r="G111" s="39">
        <v>10000</v>
      </c>
      <c r="H111" s="40">
        <v>10000</v>
      </c>
    </row>
    <row r="112" spans="1:8" x14ac:dyDescent="0.35">
      <c r="A112" s="101">
        <f t="shared" si="1"/>
        <v>0</v>
      </c>
      <c r="B112" s="37" t="s">
        <v>232</v>
      </c>
      <c r="C112" s="15" t="s">
        <v>220</v>
      </c>
      <c r="D112" s="41">
        <v>0</v>
      </c>
      <c r="E112" s="39">
        <v>10000</v>
      </c>
      <c r="F112" s="41">
        <v>0</v>
      </c>
      <c r="G112" s="39">
        <v>10000</v>
      </c>
      <c r="H112" s="40">
        <v>10000</v>
      </c>
    </row>
    <row r="113" spans="1:8" x14ac:dyDescent="0.35">
      <c r="A113" s="101" t="str">
        <f t="shared" si="1"/>
        <v>4</v>
      </c>
      <c r="B113" s="105">
        <v>46211017</v>
      </c>
      <c r="C113" s="15" t="s">
        <v>56</v>
      </c>
      <c r="D113" s="41">
        <v>0</v>
      </c>
      <c r="E113" s="39">
        <v>10000</v>
      </c>
      <c r="F113" s="41">
        <v>0</v>
      </c>
      <c r="G113" s="39">
        <v>10000</v>
      </c>
      <c r="H113" s="40">
        <v>10000</v>
      </c>
    </row>
    <row r="114" spans="1:8" x14ac:dyDescent="0.35">
      <c r="A114" s="100">
        <f t="shared" si="1"/>
        <v>0</v>
      </c>
      <c r="B114" s="14" t="s">
        <v>235</v>
      </c>
      <c r="C114" s="15" t="s">
        <v>236</v>
      </c>
      <c r="D114" s="39">
        <v>287.2</v>
      </c>
      <c r="E114" s="39">
        <v>309.43</v>
      </c>
      <c r="F114" s="41">
        <v>0</v>
      </c>
      <c r="G114" s="39">
        <v>309.43</v>
      </c>
      <c r="H114" s="40">
        <v>596.63</v>
      </c>
    </row>
    <row r="115" spans="1:8" x14ac:dyDescent="0.35">
      <c r="A115" s="101" t="str">
        <f t="shared" si="1"/>
        <v>C</v>
      </c>
      <c r="B115" s="16" t="s">
        <v>237</v>
      </c>
      <c r="C115" s="15" t="s">
        <v>236</v>
      </c>
      <c r="D115" s="39">
        <v>287.2</v>
      </c>
      <c r="E115" s="39">
        <v>309.43</v>
      </c>
      <c r="F115" s="41">
        <v>0</v>
      </c>
      <c r="G115" s="39">
        <v>309.43</v>
      </c>
      <c r="H115" s="40">
        <v>596.63</v>
      </c>
    </row>
    <row r="116" spans="1:8" x14ac:dyDescent="0.35">
      <c r="A116" s="100">
        <f t="shared" si="1"/>
        <v>0</v>
      </c>
      <c r="B116" s="17" t="s">
        <v>238</v>
      </c>
      <c r="C116" s="15" t="s">
        <v>239</v>
      </c>
      <c r="D116" s="39">
        <v>287.2</v>
      </c>
      <c r="E116" s="39">
        <v>309.43</v>
      </c>
      <c r="F116" s="41">
        <v>0</v>
      </c>
      <c r="G116" s="39">
        <v>309.43</v>
      </c>
      <c r="H116" s="40">
        <v>596.63</v>
      </c>
    </row>
    <row r="117" spans="1:8" x14ac:dyDescent="0.35">
      <c r="A117" s="101">
        <f t="shared" si="1"/>
        <v>0</v>
      </c>
      <c r="B117" s="37" t="s">
        <v>240</v>
      </c>
      <c r="C117" s="15" t="s">
        <v>241</v>
      </c>
      <c r="D117" s="39">
        <v>287.2</v>
      </c>
      <c r="E117" s="39">
        <v>309.43</v>
      </c>
      <c r="F117" s="41">
        <v>0</v>
      </c>
      <c r="G117" s="39">
        <v>309.43</v>
      </c>
      <c r="H117" s="40">
        <v>596.63</v>
      </c>
    </row>
    <row r="118" spans="1:8" x14ac:dyDescent="0.35">
      <c r="A118" s="101" t="str">
        <f t="shared" si="1"/>
        <v>4</v>
      </c>
      <c r="B118" s="105">
        <v>46312006</v>
      </c>
      <c r="C118" s="15" t="s">
        <v>22</v>
      </c>
      <c r="D118" s="39">
        <v>287.2</v>
      </c>
      <c r="E118" s="39">
        <v>309.43</v>
      </c>
      <c r="F118" s="41">
        <v>0</v>
      </c>
      <c r="G118" s="39">
        <v>309.43</v>
      </c>
      <c r="H118" s="40">
        <v>596.63</v>
      </c>
    </row>
    <row r="119" spans="1:8" x14ac:dyDescent="0.35">
      <c r="A119" s="101">
        <f t="shared" si="1"/>
        <v>0</v>
      </c>
      <c r="B119" s="14" t="s">
        <v>242</v>
      </c>
      <c r="C119" s="15" t="s">
        <v>243</v>
      </c>
      <c r="D119" s="39">
        <v>6037.89</v>
      </c>
      <c r="E119" s="39">
        <v>1002.82</v>
      </c>
      <c r="F119" s="41">
        <v>0</v>
      </c>
      <c r="G119" s="39">
        <v>1002.82</v>
      </c>
      <c r="H119" s="40">
        <v>7040.71</v>
      </c>
    </row>
    <row r="120" spans="1:8" x14ac:dyDescent="0.35">
      <c r="A120" s="100" t="str">
        <f t="shared" si="1"/>
        <v>C</v>
      </c>
      <c r="B120" s="16" t="s">
        <v>244</v>
      </c>
      <c r="C120" s="15" t="s">
        <v>243</v>
      </c>
      <c r="D120" s="39">
        <v>6037.89</v>
      </c>
      <c r="E120" s="39">
        <v>1002.82</v>
      </c>
      <c r="F120" s="41">
        <v>0</v>
      </c>
      <c r="G120" s="39">
        <v>1002.82</v>
      </c>
      <c r="H120" s="40">
        <v>7040.71</v>
      </c>
    </row>
    <row r="121" spans="1:8" x14ac:dyDescent="0.35">
      <c r="A121" s="101">
        <f t="shared" si="1"/>
        <v>0</v>
      </c>
      <c r="B121" s="17" t="s">
        <v>245</v>
      </c>
      <c r="C121" s="15" t="s">
        <v>246</v>
      </c>
      <c r="D121" s="39">
        <v>4871.8500000000004</v>
      </c>
      <c r="E121" s="39">
        <v>1002.82</v>
      </c>
      <c r="F121" s="41">
        <v>0</v>
      </c>
      <c r="G121" s="39">
        <v>1002.82</v>
      </c>
      <c r="H121" s="40">
        <v>5874.67</v>
      </c>
    </row>
    <row r="122" spans="1:8" x14ac:dyDescent="0.35">
      <c r="A122" s="101">
        <f t="shared" si="1"/>
        <v>0</v>
      </c>
      <c r="B122" s="37" t="s">
        <v>247</v>
      </c>
      <c r="C122" s="15" t="s">
        <v>248</v>
      </c>
      <c r="D122" s="39">
        <v>4871.8500000000004</v>
      </c>
      <c r="E122" s="39">
        <v>1002.82</v>
      </c>
      <c r="F122" s="41">
        <v>0</v>
      </c>
      <c r="G122" s="39">
        <v>1002.82</v>
      </c>
      <c r="H122" s="40">
        <v>5874.67</v>
      </c>
    </row>
    <row r="123" spans="1:8" x14ac:dyDescent="0.35">
      <c r="A123" s="101">
        <f t="shared" si="1"/>
        <v>0</v>
      </c>
      <c r="B123" s="105" t="s">
        <v>249</v>
      </c>
      <c r="C123" s="15" t="s">
        <v>23</v>
      </c>
      <c r="D123" s="39">
        <v>4029.7</v>
      </c>
      <c r="E123" s="39">
        <v>848.69</v>
      </c>
      <c r="F123" s="41">
        <v>0</v>
      </c>
      <c r="G123" s="39">
        <v>848.69</v>
      </c>
      <c r="H123" s="40">
        <v>4878.3900000000003</v>
      </c>
    </row>
    <row r="124" spans="1:8" x14ac:dyDescent="0.35">
      <c r="A124" s="100" t="str">
        <f t="shared" si="1"/>
        <v>4</v>
      </c>
      <c r="B124" s="106">
        <v>46511001</v>
      </c>
      <c r="C124" s="15" t="s">
        <v>23</v>
      </c>
      <c r="D124" s="39">
        <v>4029.7</v>
      </c>
      <c r="E124" s="39">
        <v>848.69</v>
      </c>
      <c r="F124" s="41">
        <v>0</v>
      </c>
      <c r="G124" s="39">
        <v>848.69</v>
      </c>
      <c r="H124" s="40">
        <v>4878.3900000000003</v>
      </c>
    </row>
    <row r="125" spans="1:8" x14ac:dyDescent="0.35">
      <c r="A125" s="101">
        <f t="shared" si="1"/>
        <v>0</v>
      </c>
      <c r="B125" s="105" t="s">
        <v>250</v>
      </c>
      <c r="C125" s="15" t="s">
        <v>251</v>
      </c>
      <c r="D125" s="39">
        <v>842.15</v>
      </c>
      <c r="E125" s="39">
        <v>154.13</v>
      </c>
      <c r="F125" s="41">
        <v>0</v>
      </c>
      <c r="G125" s="39">
        <v>154.13</v>
      </c>
      <c r="H125" s="40">
        <v>996.28</v>
      </c>
    </row>
    <row r="126" spans="1:8" x14ac:dyDescent="0.35">
      <c r="A126" s="101" t="str">
        <f t="shared" si="1"/>
        <v>4</v>
      </c>
      <c r="B126" s="106">
        <v>46511002</v>
      </c>
      <c r="C126" s="15" t="s">
        <v>24</v>
      </c>
      <c r="D126" s="39">
        <v>842.15</v>
      </c>
      <c r="E126" s="39">
        <v>154.13</v>
      </c>
      <c r="F126" s="41">
        <v>0</v>
      </c>
      <c r="G126" s="39">
        <v>154.13</v>
      </c>
      <c r="H126" s="40">
        <v>996.28</v>
      </c>
    </row>
    <row r="127" spans="1:8" x14ac:dyDescent="0.35">
      <c r="A127" s="100">
        <f t="shared" si="1"/>
        <v>0</v>
      </c>
      <c r="B127" s="17" t="s">
        <v>252</v>
      </c>
      <c r="C127" s="15" t="s">
        <v>253</v>
      </c>
      <c r="D127" s="39">
        <v>1166.04</v>
      </c>
      <c r="E127" s="41">
        <v>0</v>
      </c>
      <c r="F127" s="41">
        <v>0</v>
      </c>
      <c r="G127" s="41">
        <v>0</v>
      </c>
      <c r="H127" s="40">
        <v>1166.04</v>
      </c>
    </row>
    <row r="128" spans="1:8" x14ac:dyDescent="0.35">
      <c r="A128" s="101">
        <f t="shared" si="1"/>
        <v>0</v>
      </c>
      <c r="B128" s="37" t="s">
        <v>254</v>
      </c>
      <c r="C128" s="15" t="s">
        <v>255</v>
      </c>
      <c r="D128" s="39">
        <v>1166.04</v>
      </c>
      <c r="E128" s="41">
        <v>0</v>
      </c>
      <c r="F128" s="41">
        <v>0</v>
      </c>
      <c r="G128" s="41">
        <v>0</v>
      </c>
      <c r="H128" s="40">
        <v>1166.04</v>
      </c>
    </row>
    <row r="129" spans="1:8" x14ac:dyDescent="0.35">
      <c r="A129" s="100" t="str">
        <f t="shared" si="1"/>
        <v>4</v>
      </c>
      <c r="B129" s="105">
        <v>46540007</v>
      </c>
      <c r="C129" s="15" t="s">
        <v>45</v>
      </c>
      <c r="D129" s="39">
        <v>1166.04</v>
      </c>
      <c r="E129" s="41">
        <v>0</v>
      </c>
      <c r="F129" s="41">
        <v>0</v>
      </c>
      <c r="G129" s="41">
        <v>0</v>
      </c>
      <c r="H129" s="40">
        <v>1166.04</v>
      </c>
    </row>
    <row r="130" spans="1:8" x14ac:dyDescent="0.35">
      <c r="A130" s="100">
        <f t="shared" si="1"/>
        <v>0</v>
      </c>
      <c r="B130" s="14" t="s">
        <v>256</v>
      </c>
      <c r="C130" s="15" t="s">
        <v>257</v>
      </c>
      <c r="D130" s="39">
        <v>41.3</v>
      </c>
      <c r="E130" s="41">
        <v>0</v>
      </c>
      <c r="F130" s="41">
        <v>0</v>
      </c>
      <c r="G130" s="41">
        <v>0</v>
      </c>
      <c r="H130" s="40">
        <v>41.3</v>
      </c>
    </row>
    <row r="131" spans="1:8" x14ac:dyDescent="0.35">
      <c r="A131" s="101" t="str">
        <f t="shared" si="1"/>
        <v>C</v>
      </c>
      <c r="B131" s="16" t="s">
        <v>258</v>
      </c>
      <c r="C131" s="15" t="s">
        <v>226</v>
      </c>
      <c r="D131" s="39">
        <v>41.3</v>
      </c>
      <c r="E131" s="41">
        <v>0</v>
      </c>
      <c r="F131" s="41">
        <v>0</v>
      </c>
      <c r="G131" s="41">
        <v>0</v>
      </c>
      <c r="H131" s="40">
        <v>41.3</v>
      </c>
    </row>
    <row r="132" spans="1:8" x14ac:dyDescent="0.35">
      <c r="A132" s="101">
        <f t="shared" ref="A132:A195" si="2">IF(LEN(B132)=8,LEFT(B132,1),0)</f>
        <v>0</v>
      </c>
      <c r="B132" s="17" t="s">
        <v>259</v>
      </c>
      <c r="C132" s="15" t="s">
        <v>260</v>
      </c>
      <c r="D132" s="39">
        <v>41.3</v>
      </c>
      <c r="E132" s="41">
        <v>0</v>
      </c>
      <c r="F132" s="41">
        <v>0</v>
      </c>
      <c r="G132" s="41">
        <v>0</v>
      </c>
      <c r="H132" s="40">
        <v>41.3</v>
      </c>
    </row>
    <row r="133" spans="1:8" x14ac:dyDescent="0.35">
      <c r="A133" s="100">
        <f t="shared" si="2"/>
        <v>0</v>
      </c>
      <c r="B133" s="37" t="s">
        <v>261</v>
      </c>
      <c r="C133" s="15" t="s">
        <v>262</v>
      </c>
      <c r="D133" s="39">
        <v>41.3</v>
      </c>
      <c r="E133" s="41">
        <v>0</v>
      </c>
      <c r="F133" s="41">
        <v>0</v>
      </c>
      <c r="G133" s="41">
        <v>0</v>
      </c>
      <c r="H133" s="40">
        <v>41.3</v>
      </c>
    </row>
    <row r="134" spans="1:8" x14ac:dyDescent="0.35">
      <c r="A134" s="101" t="str">
        <f t="shared" si="2"/>
        <v>4</v>
      </c>
      <c r="B134" s="105">
        <v>46920003</v>
      </c>
      <c r="C134" s="15" t="s">
        <v>26</v>
      </c>
      <c r="D134" s="39">
        <v>41.3</v>
      </c>
      <c r="E134" s="41">
        <v>0</v>
      </c>
      <c r="F134" s="41">
        <v>0</v>
      </c>
      <c r="G134" s="41">
        <v>0</v>
      </c>
      <c r="H134" s="40">
        <v>41.3</v>
      </c>
    </row>
    <row r="135" spans="1:8" x14ac:dyDescent="0.35">
      <c r="A135" s="101">
        <f t="shared" si="2"/>
        <v>0</v>
      </c>
      <c r="B135" s="12" t="s">
        <v>263</v>
      </c>
      <c r="C135" s="13" t="s">
        <v>264</v>
      </c>
      <c r="D135" s="39">
        <v>-14152.06</v>
      </c>
      <c r="E135" s="39">
        <v>27309.84</v>
      </c>
      <c r="F135" s="39">
        <v>13794.87</v>
      </c>
      <c r="G135" s="39">
        <v>13514.97</v>
      </c>
      <c r="H135" s="40">
        <v>-637.09</v>
      </c>
    </row>
    <row r="136" spans="1:8" x14ac:dyDescent="0.35">
      <c r="A136" s="100">
        <f t="shared" si="2"/>
        <v>0</v>
      </c>
      <c r="B136" s="14" t="s">
        <v>265</v>
      </c>
      <c r="C136" s="15" t="s">
        <v>36</v>
      </c>
      <c r="D136" s="39">
        <v>-14980.94</v>
      </c>
      <c r="E136" s="39">
        <v>27309.84</v>
      </c>
      <c r="F136" s="39">
        <v>13794.87</v>
      </c>
      <c r="G136" s="39">
        <v>13514.97</v>
      </c>
      <c r="H136" s="40">
        <v>-1465.97</v>
      </c>
    </row>
    <row r="137" spans="1:8" x14ac:dyDescent="0.35">
      <c r="A137" s="100" t="str">
        <f t="shared" si="2"/>
        <v>C</v>
      </c>
      <c r="B137" s="16" t="s">
        <v>266</v>
      </c>
      <c r="C137" s="15" t="s">
        <v>267</v>
      </c>
      <c r="D137" s="39">
        <v>-14980.94</v>
      </c>
      <c r="E137" s="39">
        <v>27309.84</v>
      </c>
      <c r="F137" s="39">
        <v>13794.87</v>
      </c>
      <c r="G137" s="39">
        <v>13514.97</v>
      </c>
      <c r="H137" s="40">
        <v>-1465.97</v>
      </c>
    </row>
    <row r="138" spans="1:8" x14ac:dyDescent="0.35">
      <c r="A138" s="101">
        <f t="shared" si="2"/>
        <v>0</v>
      </c>
      <c r="B138" s="17" t="s">
        <v>268</v>
      </c>
      <c r="C138" s="15" t="s">
        <v>269</v>
      </c>
      <c r="D138" s="39">
        <v>-8252</v>
      </c>
      <c r="E138" s="41">
        <v>0</v>
      </c>
      <c r="F138" s="39">
        <v>7113.78</v>
      </c>
      <c r="G138" s="39">
        <v>-7113.78</v>
      </c>
      <c r="H138" s="40">
        <v>-15365.78</v>
      </c>
    </row>
    <row r="139" spans="1:8" x14ac:dyDescent="0.35">
      <c r="A139" s="100">
        <f t="shared" si="2"/>
        <v>0</v>
      </c>
      <c r="B139" s="37" t="s">
        <v>270</v>
      </c>
      <c r="C139" s="15" t="s">
        <v>271</v>
      </c>
      <c r="D139" s="39">
        <v>-8252</v>
      </c>
      <c r="E139" s="41">
        <v>0</v>
      </c>
      <c r="F139" s="39">
        <v>7113.78</v>
      </c>
      <c r="G139" s="39">
        <v>-7113.78</v>
      </c>
      <c r="H139" s="40">
        <v>-15365.78</v>
      </c>
    </row>
    <row r="140" spans="1:8" x14ac:dyDescent="0.35">
      <c r="A140" s="101" t="str">
        <f t="shared" si="2"/>
        <v>3</v>
      </c>
      <c r="B140" s="105">
        <v>36910001</v>
      </c>
      <c r="C140" s="15" t="s">
        <v>20</v>
      </c>
      <c r="D140" s="39">
        <v>-8252</v>
      </c>
      <c r="E140" s="41">
        <v>0</v>
      </c>
      <c r="F140" s="39">
        <v>7113.78</v>
      </c>
      <c r="G140" s="39">
        <v>-7113.78</v>
      </c>
      <c r="H140" s="40">
        <v>-15365.78</v>
      </c>
    </row>
    <row r="141" spans="1:8" x14ac:dyDescent="0.35">
      <c r="A141" s="100">
        <f t="shared" si="2"/>
        <v>0</v>
      </c>
      <c r="B141" s="17" t="s">
        <v>272</v>
      </c>
      <c r="C141" s="15" t="s">
        <v>273</v>
      </c>
      <c r="D141" s="39">
        <v>-6200.26</v>
      </c>
      <c r="E141" s="41">
        <v>0</v>
      </c>
      <c r="F141" s="39">
        <v>6152.41</v>
      </c>
      <c r="G141" s="39">
        <v>-6152.41</v>
      </c>
      <c r="H141" s="40">
        <v>-12352.67</v>
      </c>
    </row>
    <row r="142" spans="1:8" x14ac:dyDescent="0.35">
      <c r="A142" s="100">
        <f t="shared" si="2"/>
        <v>0</v>
      </c>
      <c r="B142" s="37" t="s">
        <v>274</v>
      </c>
      <c r="C142" s="15" t="s">
        <v>275</v>
      </c>
      <c r="D142" s="39">
        <v>-6200.26</v>
      </c>
      <c r="E142" s="41">
        <v>0</v>
      </c>
      <c r="F142" s="39">
        <v>6152.41</v>
      </c>
      <c r="G142" s="39">
        <v>-6152.41</v>
      </c>
      <c r="H142" s="40">
        <v>-12352.67</v>
      </c>
    </row>
    <row r="143" spans="1:8" x14ac:dyDescent="0.35">
      <c r="A143" s="101">
        <f t="shared" si="2"/>
        <v>0</v>
      </c>
      <c r="B143" s="105" t="s">
        <v>276</v>
      </c>
      <c r="C143" s="15" t="s">
        <v>277</v>
      </c>
      <c r="D143" s="39">
        <v>-6200.26</v>
      </c>
      <c r="E143" s="41">
        <v>0</v>
      </c>
      <c r="F143" s="39">
        <v>6152.41</v>
      </c>
      <c r="G143" s="39">
        <v>-6152.41</v>
      </c>
      <c r="H143" s="40">
        <v>-12352.67</v>
      </c>
    </row>
    <row r="144" spans="1:8" x14ac:dyDescent="0.35">
      <c r="A144" s="101">
        <f t="shared" si="2"/>
        <v>0</v>
      </c>
      <c r="B144" s="106" t="s">
        <v>278</v>
      </c>
      <c r="C144" s="15" t="s">
        <v>279</v>
      </c>
      <c r="D144" s="39">
        <v>-6200.26</v>
      </c>
      <c r="E144" s="41">
        <v>0</v>
      </c>
      <c r="F144" s="39">
        <v>6152.41</v>
      </c>
      <c r="G144" s="39">
        <v>-6152.41</v>
      </c>
      <c r="H144" s="40">
        <v>-12352.67</v>
      </c>
    </row>
    <row r="145" spans="1:8" x14ac:dyDescent="0.35">
      <c r="A145" s="100" t="str">
        <f t="shared" si="2"/>
        <v>3</v>
      </c>
      <c r="B145" s="107">
        <v>36114001</v>
      </c>
      <c r="C145" s="15" t="s">
        <v>19</v>
      </c>
      <c r="D145" s="39">
        <v>-6200.26</v>
      </c>
      <c r="E145" s="41">
        <v>0</v>
      </c>
      <c r="F145" s="39">
        <v>6152.41</v>
      </c>
      <c r="G145" s="39">
        <v>-6152.41</v>
      </c>
      <c r="H145" s="40">
        <v>-12352.67</v>
      </c>
    </row>
    <row r="146" spans="1:8" x14ac:dyDescent="0.35">
      <c r="A146" s="100">
        <f t="shared" si="2"/>
        <v>0</v>
      </c>
      <c r="B146" s="17" t="s">
        <v>280</v>
      </c>
      <c r="C146" s="15" t="s">
        <v>36</v>
      </c>
      <c r="D146" s="39">
        <v>-528.67999999999995</v>
      </c>
      <c r="E146" s="39">
        <v>27309.84</v>
      </c>
      <c r="F146" s="39">
        <v>528.67999999999995</v>
      </c>
      <c r="G146" s="39">
        <v>26781.16</v>
      </c>
      <c r="H146" s="40">
        <v>26252.48</v>
      </c>
    </row>
    <row r="147" spans="1:8" x14ac:dyDescent="0.35">
      <c r="A147" s="101">
        <f t="shared" si="2"/>
        <v>0</v>
      </c>
      <c r="B147" s="37" t="s">
        <v>281</v>
      </c>
      <c r="C147" s="15" t="s">
        <v>214</v>
      </c>
      <c r="D147" s="39">
        <v>-528.67999999999995</v>
      </c>
      <c r="E147" s="39">
        <v>27309.84</v>
      </c>
      <c r="F147" s="39">
        <v>528.67999999999995</v>
      </c>
      <c r="G147" s="39">
        <v>26781.16</v>
      </c>
      <c r="H147" s="40">
        <v>26252.48</v>
      </c>
    </row>
    <row r="148" spans="1:8" x14ac:dyDescent="0.35">
      <c r="A148" s="101" t="str">
        <f t="shared" si="2"/>
        <v>3</v>
      </c>
      <c r="B148" s="104">
        <v>36990099</v>
      </c>
      <c r="C148" s="103" t="s">
        <v>21</v>
      </c>
      <c r="D148" s="89">
        <v>-528.67999999999995</v>
      </c>
      <c r="E148" s="89">
        <v>27309.84</v>
      </c>
      <c r="F148" s="89">
        <v>528.67999999999995</v>
      </c>
      <c r="G148" s="89">
        <v>26781.16</v>
      </c>
      <c r="H148" s="91">
        <v>26252.48</v>
      </c>
    </row>
    <row r="149" spans="1:8" x14ac:dyDescent="0.35">
      <c r="A149" s="101">
        <f t="shared" si="2"/>
        <v>0</v>
      </c>
      <c r="B149" s="14" t="s">
        <v>282</v>
      </c>
      <c r="C149" s="15" t="s">
        <v>283</v>
      </c>
      <c r="D149" s="39">
        <v>828.88</v>
      </c>
      <c r="E149" s="41">
        <v>0</v>
      </c>
      <c r="F149" s="41">
        <v>0</v>
      </c>
      <c r="G149" s="41">
        <v>0</v>
      </c>
      <c r="H149" s="40">
        <v>828.88</v>
      </c>
    </row>
    <row r="150" spans="1:8" x14ac:dyDescent="0.35">
      <c r="A150" s="100" t="str">
        <f t="shared" si="2"/>
        <v>C</v>
      </c>
      <c r="B150" s="16" t="s">
        <v>284</v>
      </c>
      <c r="C150" s="15" t="s">
        <v>285</v>
      </c>
      <c r="D150" s="39">
        <v>828.88</v>
      </c>
      <c r="E150" s="41">
        <v>0</v>
      </c>
      <c r="F150" s="41">
        <v>0</v>
      </c>
      <c r="G150" s="41">
        <v>0</v>
      </c>
      <c r="H150" s="40">
        <v>828.88</v>
      </c>
    </row>
    <row r="151" spans="1:8" x14ac:dyDescent="0.35">
      <c r="A151" s="101">
        <f t="shared" si="2"/>
        <v>0</v>
      </c>
      <c r="B151" s="17" t="s">
        <v>286</v>
      </c>
      <c r="C151" s="15" t="s">
        <v>283</v>
      </c>
      <c r="D151" s="39">
        <v>828.88</v>
      </c>
      <c r="E151" s="41">
        <v>0</v>
      </c>
      <c r="F151" s="41">
        <v>0</v>
      </c>
      <c r="G151" s="41">
        <v>0</v>
      </c>
      <c r="H151" s="40">
        <v>828.88</v>
      </c>
    </row>
    <row r="152" spans="1:8" x14ac:dyDescent="0.35">
      <c r="A152" s="101">
        <f t="shared" si="2"/>
        <v>0</v>
      </c>
      <c r="B152" s="37" t="s">
        <v>287</v>
      </c>
      <c r="C152" s="15" t="s">
        <v>222</v>
      </c>
      <c r="D152" s="39">
        <v>828.88</v>
      </c>
      <c r="E152" s="41">
        <v>0</v>
      </c>
      <c r="F152" s="41">
        <v>0</v>
      </c>
      <c r="G152" s="41">
        <v>0</v>
      </c>
      <c r="H152" s="40">
        <v>828.88</v>
      </c>
    </row>
    <row r="153" spans="1:8" x14ac:dyDescent="0.35">
      <c r="A153" s="101" t="str">
        <f t="shared" si="2"/>
        <v>4</v>
      </c>
      <c r="B153" s="105">
        <v>45990005</v>
      </c>
      <c r="C153" s="15" t="s">
        <v>84</v>
      </c>
      <c r="D153" s="39">
        <v>828.88</v>
      </c>
      <c r="E153" s="41">
        <v>0</v>
      </c>
      <c r="F153" s="41">
        <v>0</v>
      </c>
      <c r="G153" s="41">
        <v>0</v>
      </c>
      <c r="H153" s="40">
        <v>828.88</v>
      </c>
    </row>
    <row r="154" spans="1:8" x14ac:dyDescent="0.35">
      <c r="A154" s="100">
        <f t="shared" si="2"/>
        <v>0</v>
      </c>
      <c r="B154" s="12" t="s">
        <v>288</v>
      </c>
      <c r="C154" s="13" t="s">
        <v>289</v>
      </c>
      <c r="D154" s="39">
        <v>13387.04</v>
      </c>
      <c r="E154" s="41">
        <v>0</v>
      </c>
      <c r="F154" s="39">
        <v>4795.92</v>
      </c>
      <c r="G154" s="39">
        <v>-4795.92</v>
      </c>
      <c r="H154" s="40">
        <v>8591.1200000000008</v>
      </c>
    </row>
    <row r="155" spans="1:8" x14ac:dyDescent="0.35">
      <c r="A155" s="101">
        <f t="shared" si="2"/>
        <v>0</v>
      </c>
      <c r="B155" s="14" t="s">
        <v>290</v>
      </c>
      <c r="C155" s="15" t="s">
        <v>180</v>
      </c>
      <c r="D155" s="39">
        <v>13387.04</v>
      </c>
      <c r="E155" s="41">
        <v>0</v>
      </c>
      <c r="F155" s="39">
        <v>4795.92</v>
      </c>
      <c r="G155" s="39">
        <v>-4795.92</v>
      </c>
      <c r="H155" s="40">
        <v>8591.1200000000008</v>
      </c>
    </row>
    <row r="156" spans="1:8" x14ac:dyDescent="0.35">
      <c r="A156" s="101" t="str">
        <f t="shared" si="2"/>
        <v>C</v>
      </c>
      <c r="B156" s="16" t="s">
        <v>291</v>
      </c>
      <c r="C156" s="15" t="s">
        <v>180</v>
      </c>
      <c r="D156" s="39">
        <v>13387.04</v>
      </c>
      <c r="E156" s="41">
        <v>0</v>
      </c>
      <c r="F156" s="39">
        <v>4795.92</v>
      </c>
      <c r="G156" s="39">
        <v>-4795.92</v>
      </c>
      <c r="H156" s="40">
        <v>8591.1200000000008</v>
      </c>
    </row>
    <row r="157" spans="1:8" x14ac:dyDescent="0.35">
      <c r="A157" s="100">
        <f t="shared" si="2"/>
        <v>0</v>
      </c>
      <c r="B157" s="17" t="s">
        <v>292</v>
      </c>
      <c r="C157" s="15" t="s">
        <v>180</v>
      </c>
      <c r="D157" s="39">
        <v>13387.04</v>
      </c>
      <c r="E157" s="41">
        <v>0</v>
      </c>
      <c r="F157" s="39">
        <v>4795.92</v>
      </c>
      <c r="G157" s="39">
        <v>-4795.92</v>
      </c>
      <c r="H157" s="40">
        <v>8591.1200000000008</v>
      </c>
    </row>
    <row r="158" spans="1:8" x14ac:dyDescent="0.35">
      <c r="A158" s="101">
        <f t="shared" si="2"/>
        <v>0</v>
      </c>
      <c r="B158" s="37" t="s">
        <v>293</v>
      </c>
      <c r="C158" s="15" t="s">
        <v>182</v>
      </c>
      <c r="D158" s="39">
        <v>9314</v>
      </c>
      <c r="E158" s="41">
        <v>0</v>
      </c>
      <c r="F158" s="39">
        <v>3944.55</v>
      </c>
      <c r="G158" s="39">
        <v>-3944.55</v>
      </c>
      <c r="H158" s="40">
        <v>5369.45</v>
      </c>
    </row>
    <row r="159" spans="1:8" x14ac:dyDescent="0.35">
      <c r="A159" s="100" t="str">
        <f t="shared" si="2"/>
        <v>5</v>
      </c>
      <c r="B159" s="105">
        <v>51110001</v>
      </c>
      <c r="C159" s="15" t="s">
        <v>52</v>
      </c>
      <c r="D159" s="39">
        <v>9314</v>
      </c>
      <c r="E159" s="41">
        <v>0</v>
      </c>
      <c r="F159" s="39">
        <v>3944.55</v>
      </c>
      <c r="G159" s="39">
        <v>-3944.55</v>
      </c>
      <c r="H159" s="40">
        <v>5369.45</v>
      </c>
    </row>
    <row r="160" spans="1:8" x14ac:dyDescent="0.35">
      <c r="A160" s="100">
        <f t="shared" si="2"/>
        <v>0</v>
      </c>
      <c r="B160" s="37" t="s">
        <v>294</v>
      </c>
      <c r="C160" s="15" t="s">
        <v>140</v>
      </c>
      <c r="D160" s="39">
        <v>4073.04</v>
      </c>
      <c r="E160" s="41">
        <v>0</v>
      </c>
      <c r="F160" s="39">
        <v>851.37</v>
      </c>
      <c r="G160" s="39">
        <v>-851.37</v>
      </c>
      <c r="H160" s="40">
        <v>3221.67</v>
      </c>
    </row>
    <row r="161" spans="1:8" x14ac:dyDescent="0.35">
      <c r="A161" s="101" t="str">
        <f t="shared" si="2"/>
        <v>5</v>
      </c>
      <c r="B161" s="105">
        <v>51110002</v>
      </c>
      <c r="C161" s="15" t="s">
        <v>53</v>
      </c>
      <c r="D161" s="39">
        <v>4073.04</v>
      </c>
      <c r="E161" s="41">
        <v>0</v>
      </c>
      <c r="F161" s="39">
        <v>851.37</v>
      </c>
      <c r="G161" s="39">
        <v>-851.37</v>
      </c>
      <c r="H161" s="40">
        <v>3221.67</v>
      </c>
    </row>
    <row r="162" spans="1:8" x14ac:dyDescent="0.35">
      <c r="A162" s="101">
        <f t="shared" si="2"/>
        <v>0</v>
      </c>
      <c r="B162" s="18" t="s">
        <v>295</v>
      </c>
      <c r="C162" s="19" t="s">
        <v>295</v>
      </c>
      <c r="D162" s="39">
        <v>623154.73</v>
      </c>
      <c r="E162" s="39">
        <v>147965.49</v>
      </c>
      <c r="F162" s="39">
        <v>134273.98000000001</v>
      </c>
      <c r="G162" s="39">
        <v>13691.51</v>
      </c>
      <c r="H162" s="40">
        <v>636846.24</v>
      </c>
    </row>
    <row r="163" spans="1:8" x14ac:dyDescent="0.35">
      <c r="A163" s="101" t="str">
        <f t="shared" si="2"/>
        <v>1</v>
      </c>
      <c r="B163" s="10">
        <v>11311011</v>
      </c>
      <c r="C163" s="11" t="s">
        <v>4</v>
      </c>
      <c r="D163" s="39">
        <v>7990.17</v>
      </c>
      <c r="E163" s="39">
        <v>23534.95</v>
      </c>
      <c r="F163" s="39">
        <v>31525.119999999999</v>
      </c>
      <c r="G163" s="39">
        <v>-7990.17</v>
      </c>
      <c r="H163" s="42">
        <v>0</v>
      </c>
    </row>
    <row r="164" spans="1:8" x14ac:dyDescent="0.35">
      <c r="A164" s="101" t="str">
        <f t="shared" si="2"/>
        <v>1</v>
      </c>
      <c r="B164" s="10">
        <v>11311094</v>
      </c>
      <c r="C164" s="11" t="s">
        <v>65</v>
      </c>
      <c r="D164" s="41">
        <v>0</v>
      </c>
      <c r="E164" s="39">
        <v>41289.5</v>
      </c>
      <c r="F164" s="39">
        <v>22867.5</v>
      </c>
      <c r="G164" s="39">
        <v>18422</v>
      </c>
      <c r="H164" s="40">
        <v>18422</v>
      </c>
    </row>
    <row r="165" spans="1:8" x14ac:dyDescent="0.35">
      <c r="A165" s="100" t="str">
        <f t="shared" si="2"/>
        <v>1</v>
      </c>
      <c r="B165" s="10">
        <v>11641008</v>
      </c>
      <c r="C165" s="11" t="s">
        <v>7</v>
      </c>
      <c r="D165" s="39">
        <v>443505.9</v>
      </c>
      <c r="E165" s="41">
        <v>0</v>
      </c>
      <c r="F165" s="41">
        <v>0</v>
      </c>
      <c r="G165" s="41">
        <v>0</v>
      </c>
      <c r="H165" s="40">
        <v>443505.9</v>
      </c>
    </row>
    <row r="166" spans="1:8" x14ac:dyDescent="0.35">
      <c r="A166" s="101" t="str">
        <f t="shared" si="2"/>
        <v>1</v>
      </c>
      <c r="B166" s="10">
        <v>11641009</v>
      </c>
      <c r="C166" s="11" t="s">
        <v>8</v>
      </c>
      <c r="D166" s="39">
        <v>62305.69</v>
      </c>
      <c r="E166" s="39">
        <v>33142.17</v>
      </c>
      <c r="F166" s="41">
        <v>0</v>
      </c>
      <c r="G166" s="39">
        <v>33142.17</v>
      </c>
      <c r="H166" s="40">
        <v>95447.86</v>
      </c>
    </row>
    <row r="167" spans="1:8" x14ac:dyDescent="0.35">
      <c r="A167" s="101" t="str">
        <f t="shared" si="2"/>
        <v>1</v>
      </c>
      <c r="B167" s="10">
        <v>11642005</v>
      </c>
      <c r="C167" s="11" t="s">
        <v>9</v>
      </c>
      <c r="D167" s="39">
        <v>53910.52</v>
      </c>
      <c r="E167" s="39">
        <v>11762.82</v>
      </c>
      <c r="F167" s="41">
        <v>0</v>
      </c>
      <c r="G167" s="39">
        <v>11762.82</v>
      </c>
      <c r="H167" s="40">
        <v>65673.34</v>
      </c>
    </row>
    <row r="168" spans="1:8" x14ac:dyDescent="0.35">
      <c r="A168" s="100" t="str">
        <f t="shared" si="2"/>
        <v>1</v>
      </c>
      <c r="B168" s="10">
        <v>11644004</v>
      </c>
      <c r="C168" s="11" t="s">
        <v>10</v>
      </c>
      <c r="D168" s="39">
        <v>16194.14</v>
      </c>
      <c r="E168" s="39">
        <v>270.98</v>
      </c>
      <c r="F168" s="39">
        <v>842.15</v>
      </c>
      <c r="G168" s="39">
        <v>-571.16999999999996</v>
      </c>
      <c r="H168" s="40">
        <v>15622.97</v>
      </c>
    </row>
    <row r="169" spans="1:8" x14ac:dyDescent="0.35">
      <c r="A169" s="101" t="str">
        <f t="shared" si="2"/>
        <v>1</v>
      </c>
      <c r="B169" s="10">
        <v>11644005</v>
      </c>
      <c r="C169" s="11" t="s">
        <v>11</v>
      </c>
      <c r="D169" s="39">
        <v>76395.91</v>
      </c>
      <c r="E169" s="39">
        <v>1250.7</v>
      </c>
      <c r="F169" s="39">
        <v>4029.7</v>
      </c>
      <c r="G169" s="39">
        <v>-2779</v>
      </c>
      <c r="H169" s="40">
        <v>73616.91</v>
      </c>
    </row>
    <row r="170" spans="1:8" x14ac:dyDescent="0.35">
      <c r="A170" s="100" t="str">
        <f t="shared" si="2"/>
        <v>2</v>
      </c>
      <c r="B170" s="10">
        <v>21133102</v>
      </c>
      <c r="C170" s="11" t="s">
        <v>16</v>
      </c>
      <c r="D170" s="39">
        <v>-2095.3200000000002</v>
      </c>
      <c r="E170" s="39">
        <v>2256.86</v>
      </c>
      <c r="F170" s="39">
        <v>2139.1999999999998</v>
      </c>
      <c r="G170" s="39">
        <v>117.66</v>
      </c>
      <c r="H170" s="40">
        <v>-1977.66</v>
      </c>
    </row>
    <row r="171" spans="1:8" x14ac:dyDescent="0.35">
      <c r="A171" s="101" t="str">
        <f t="shared" si="2"/>
        <v>3</v>
      </c>
      <c r="B171" s="10">
        <v>35199995</v>
      </c>
      <c r="C171" s="11" t="s">
        <v>68</v>
      </c>
      <c r="D171" s="39">
        <v>-37147.5</v>
      </c>
      <c r="E171" s="39">
        <v>806.5</v>
      </c>
      <c r="F171" s="39">
        <v>41358.5</v>
      </c>
      <c r="G171" s="39">
        <v>-40552</v>
      </c>
      <c r="H171" s="40">
        <v>-77699.5</v>
      </c>
    </row>
    <row r="172" spans="1:8" x14ac:dyDescent="0.35">
      <c r="A172" s="100" t="str">
        <f t="shared" si="2"/>
        <v>4</v>
      </c>
      <c r="B172" s="10">
        <v>46530007</v>
      </c>
      <c r="C172" s="11" t="s">
        <v>25</v>
      </c>
      <c r="D172" s="39">
        <v>2095.2199999999998</v>
      </c>
      <c r="E172" s="39">
        <v>2139.1999999999998</v>
      </c>
      <c r="F172" s="41">
        <v>0</v>
      </c>
      <c r="G172" s="39">
        <v>2139.1999999999998</v>
      </c>
      <c r="H172" s="40">
        <v>4234.42</v>
      </c>
    </row>
    <row r="173" spans="1:8" x14ac:dyDescent="0.35">
      <c r="A173" s="101" t="str">
        <f t="shared" si="2"/>
        <v>7</v>
      </c>
      <c r="B173" s="10">
        <v>70000000</v>
      </c>
      <c r="C173" s="11" t="s">
        <v>27</v>
      </c>
      <c r="D173" s="41">
        <v>0</v>
      </c>
      <c r="E173" s="39">
        <v>31511.81</v>
      </c>
      <c r="F173" s="39">
        <v>31511.81</v>
      </c>
      <c r="G173" s="41">
        <v>0</v>
      </c>
      <c r="H173" s="42">
        <v>0</v>
      </c>
    </row>
    <row r="174" spans="1:8" x14ac:dyDescent="0.35">
      <c r="A174" s="101">
        <f t="shared" si="2"/>
        <v>0</v>
      </c>
    </row>
    <row r="175" spans="1:8" x14ac:dyDescent="0.35">
      <c r="A175" s="100">
        <f t="shared" si="2"/>
        <v>0</v>
      </c>
    </row>
    <row r="176" spans="1:8" x14ac:dyDescent="0.35">
      <c r="A176" s="100">
        <f t="shared" si="2"/>
        <v>0</v>
      </c>
    </row>
    <row r="177" spans="1:1" x14ac:dyDescent="0.35">
      <c r="A177" s="101">
        <f t="shared" si="2"/>
        <v>0</v>
      </c>
    </row>
    <row r="178" spans="1:1" x14ac:dyDescent="0.35">
      <c r="A178" s="101">
        <f t="shared" si="2"/>
        <v>0</v>
      </c>
    </row>
    <row r="179" spans="1:1" x14ac:dyDescent="0.35">
      <c r="A179" s="100">
        <f t="shared" si="2"/>
        <v>0</v>
      </c>
    </row>
    <row r="180" spans="1:1" x14ac:dyDescent="0.35">
      <c r="A180" s="101">
        <f t="shared" si="2"/>
        <v>0</v>
      </c>
    </row>
    <row r="181" spans="1:1" x14ac:dyDescent="0.35">
      <c r="A181" s="101">
        <f t="shared" si="2"/>
        <v>0</v>
      </c>
    </row>
    <row r="182" spans="1:1" x14ac:dyDescent="0.35">
      <c r="A182" s="100">
        <f t="shared" si="2"/>
        <v>0</v>
      </c>
    </row>
    <row r="183" spans="1:1" x14ac:dyDescent="0.35">
      <c r="A183" s="101">
        <f t="shared" si="2"/>
        <v>0</v>
      </c>
    </row>
    <row r="184" spans="1:1" x14ac:dyDescent="0.35">
      <c r="A184" s="101">
        <f t="shared" si="2"/>
        <v>0</v>
      </c>
    </row>
    <row r="185" spans="1:1" x14ac:dyDescent="0.35">
      <c r="A185" s="100">
        <f t="shared" si="2"/>
        <v>0</v>
      </c>
    </row>
    <row r="186" spans="1:1" x14ac:dyDescent="0.35">
      <c r="A186" s="101">
        <f t="shared" si="2"/>
        <v>0</v>
      </c>
    </row>
    <row r="187" spans="1:1" x14ac:dyDescent="0.35">
      <c r="A187" s="101">
        <f t="shared" si="2"/>
        <v>0</v>
      </c>
    </row>
    <row r="188" spans="1:1" x14ac:dyDescent="0.35">
      <c r="A188" s="100">
        <f t="shared" si="2"/>
        <v>0</v>
      </c>
    </row>
    <row r="189" spans="1:1" x14ac:dyDescent="0.35">
      <c r="A189" s="100">
        <f t="shared" si="2"/>
        <v>0</v>
      </c>
    </row>
    <row r="190" spans="1:1" x14ac:dyDescent="0.35">
      <c r="A190" s="101">
        <f t="shared" si="2"/>
        <v>0</v>
      </c>
    </row>
    <row r="191" spans="1:1" x14ac:dyDescent="0.35">
      <c r="A191" s="101">
        <f t="shared" si="2"/>
        <v>0</v>
      </c>
    </row>
    <row r="192" spans="1:1" x14ac:dyDescent="0.35">
      <c r="A192" s="100">
        <f t="shared" si="2"/>
        <v>0</v>
      </c>
    </row>
    <row r="193" spans="1:1" x14ac:dyDescent="0.35">
      <c r="A193" s="101">
        <f t="shared" si="2"/>
        <v>0</v>
      </c>
    </row>
    <row r="194" spans="1:1" x14ac:dyDescent="0.35">
      <c r="A194" s="101">
        <f t="shared" si="2"/>
        <v>0</v>
      </c>
    </row>
    <row r="195" spans="1:1" x14ac:dyDescent="0.35">
      <c r="A195" s="100">
        <f t="shared" si="2"/>
        <v>0</v>
      </c>
    </row>
    <row r="196" spans="1:1" x14ac:dyDescent="0.35">
      <c r="A196" s="101">
        <f t="shared" ref="A196:A259" si="3">IF(LEN(B196)=8,LEFT(B196,1),0)</f>
        <v>0</v>
      </c>
    </row>
    <row r="197" spans="1:1" x14ac:dyDescent="0.35">
      <c r="A197" s="100">
        <f t="shared" si="3"/>
        <v>0</v>
      </c>
    </row>
    <row r="198" spans="1:1" x14ac:dyDescent="0.35">
      <c r="A198" s="101">
        <f t="shared" si="3"/>
        <v>0</v>
      </c>
    </row>
    <row r="199" spans="1:1" x14ac:dyDescent="0.35">
      <c r="A199" s="101">
        <f t="shared" si="3"/>
        <v>0</v>
      </c>
    </row>
    <row r="200" spans="1:1" x14ac:dyDescent="0.35">
      <c r="A200" s="101">
        <f t="shared" si="3"/>
        <v>0</v>
      </c>
    </row>
    <row r="201" spans="1:1" x14ac:dyDescent="0.35">
      <c r="A201" s="100">
        <f t="shared" si="3"/>
        <v>0</v>
      </c>
    </row>
    <row r="202" spans="1:1" x14ac:dyDescent="0.35">
      <c r="A202" s="101">
        <f t="shared" si="3"/>
        <v>0</v>
      </c>
    </row>
    <row r="203" spans="1:1" x14ac:dyDescent="0.35">
      <c r="A203" s="101">
        <f t="shared" si="3"/>
        <v>0</v>
      </c>
    </row>
    <row r="204" spans="1:1" x14ac:dyDescent="0.35">
      <c r="A204" s="100">
        <f t="shared" si="3"/>
        <v>0</v>
      </c>
    </row>
    <row r="205" spans="1:1" x14ac:dyDescent="0.35">
      <c r="A205" s="101">
        <f t="shared" si="3"/>
        <v>0</v>
      </c>
    </row>
    <row r="206" spans="1:1" x14ac:dyDescent="0.35">
      <c r="A206" s="100">
        <f t="shared" si="3"/>
        <v>0</v>
      </c>
    </row>
    <row r="207" spans="1:1" x14ac:dyDescent="0.35">
      <c r="A207" s="101">
        <f t="shared" si="3"/>
        <v>0</v>
      </c>
    </row>
    <row r="208" spans="1:1" x14ac:dyDescent="0.35">
      <c r="A208" s="100">
        <f t="shared" si="3"/>
        <v>0</v>
      </c>
    </row>
    <row r="209" spans="1:1" x14ac:dyDescent="0.35">
      <c r="A209" s="101">
        <f t="shared" si="3"/>
        <v>0</v>
      </c>
    </row>
    <row r="210" spans="1:1" x14ac:dyDescent="0.35">
      <c r="A210" s="101">
        <f t="shared" si="3"/>
        <v>0</v>
      </c>
    </row>
    <row r="211" spans="1:1" x14ac:dyDescent="0.35">
      <c r="A211" s="100">
        <f t="shared" si="3"/>
        <v>0</v>
      </c>
    </row>
    <row r="212" spans="1:1" x14ac:dyDescent="0.35">
      <c r="A212" s="101">
        <f t="shared" si="3"/>
        <v>0</v>
      </c>
    </row>
    <row r="213" spans="1:1" x14ac:dyDescent="0.35">
      <c r="A213" s="100">
        <f t="shared" si="3"/>
        <v>0</v>
      </c>
    </row>
    <row r="214" spans="1:1" x14ac:dyDescent="0.35">
      <c r="A214" s="101">
        <f t="shared" si="3"/>
        <v>0</v>
      </c>
    </row>
    <row r="215" spans="1:1" x14ac:dyDescent="0.35">
      <c r="A215" s="101">
        <f t="shared" si="3"/>
        <v>0</v>
      </c>
    </row>
    <row r="216" spans="1:1" x14ac:dyDescent="0.35">
      <c r="A216" s="101">
        <f t="shared" si="3"/>
        <v>0</v>
      </c>
    </row>
    <row r="217" spans="1:1" x14ac:dyDescent="0.35">
      <c r="A217" s="100">
        <f t="shared" si="3"/>
        <v>0</v>
      </c>
    </row>
    <row r="218" spans="1:1" x14ac:dyDescent="0.35">
      <c r="A218" s="101">
        <f t="shared" si="3"/>
        <v>0</v>
      </c>
    </row>
    <row r="219" spans="1:1" x14ac:dyDescent="0.35">
      <c r="A219" s="100">
        <f t="shared" si="3"/>
        <v>0</v>
      </c>
    </row>
    <row r="220" spans="1:1" x14ac:dyDescent="0.35">
      <c r="A220" s="101">
        <f t="shared" si="3"/>
        <v>0</v>
      </c>
    </row>
    <row r="221" spans="1:1" x14ac:dyDescent="0.35">
      <c r="A221" s="101">
        <f t="shared" si="3"/>
        <v>0</v>
      </c>
    </row>
    <row r="222" spans="1:1" x14ac:dyDescent="0.35">
      <c r="A222" s="100">
        <f t="shared" si="3"/>
        <v>0</v>
      </c>
    </row>
    <row r="223" spans="1:1" x14ac:dyDescent="0.35">
      <c r="A223" s="101">
        <f t="shared" si="3"/>
        <v>0</v>
      </c>
    </row>
    <row r="224" spans="1:1" x14ac:dyDescent="0.35">
      <c r="A224" s="100">
        <f t="shared" si="3"/>
        <v>0</v>
      </c>
    </row>
    <row r="225" spans="1:1" x14ac:dyDescent="0.35">
      <c r="A225" s="100">
        <f t="shared" si="3"/>
        <v>0</v>
      </c>
    </row>
    <row r="226" spans="1:1" x14ac:dyDescent="0.35">
      <c r="A226" s="100">
        <f t="shared" si="3"/>
        <v>0</v>
      </c>
    </row>
    <row r="227" spans="1:1" x14ac:dyDescent="0.35">
      <c r="A227" s="101">
        <f t="shared" si="3"/>
        <v>0</v>
      </c>
    </row>
    <row r="228" spans="1:1" x14ac:dyDescent="0.35">
      <c r="A228" s="100">
        <f t="shared" si="3"/>
        <v>0</v>
      </c>
    </row>
    <row r="229" spans="1:1" x14ac:dyDescent="0.35">
      <c r="A229" s="101">
        <f t="shared" si="3"/>
        <v>0</v>
      </c>
    </row>
    <row r="230" spans="1:1" x14ac:dyDescent="0.35">
      <c r="A230" s="100">
        <f t="shared" si="3"/>
        <v>0</v>
      </c>
    </row>
    <row r="231" spans="1:1" x14ac:dyDescent="0.35">
      <c r="A231" s="101">
        <f t="shared" si="3"/>
        <v>0</v>
      </c>
    </row>
    <row r="232" spans="1:1" x14ac:dyDescent="0.35">
      <c r="A232" s="100">
        <f t="shared" si="3"/>
        <v>0</v>
      </c>
    </row>
    <row r="233" spans="1:1" x14ac:dyDescent="0.35">
      <c r="A233" s="101">
        <f t="shared" si="3"/>
        <v>0</v>
      </c>
    </row>
    <row r="234" spans="1:1" x14ac:dyDescent="0.35">
      <c r="A234" s="101">
        <f t="shared" si="3"/>
        <v>0</v>
      </c>
    </row>
    <row r="235" spans="1:1" x14ac:dyDescent="0.35">
      <c r="A235" s="100">
        <f t="shared" si="3"/>
        <v>0</v>
      </c>
    </row>
    <row r="236" spans="1:1" x14ac:dyDescent="0.35">
      <c r="A236" s="101">
        <f t="shared" si="3"/>
        <v>0</v>
      </c>
    </row>
    <row r="237" spans="1:1" x14ac:dyDescent="0.35">
      <c r="A237" s="100">
        <f t="shared" si="3"/>
        <v>0</v>
      </c>
    </row>
    <row r="238" spans="1:1" x14ac:dyDescent="0.35">
      <c r="A238" s="101">
        <f t="shared" si="3"/>
        <v>0</v>
      </c>
    </row>
    <row r="239" spans="1:1" x14ac:dyDescent="0.35">
      <c r="A239" s="101">
        <f t="shared" si="3"/>
        <v>0</v>
      </c>
    </row>
    <row r="240" spans="1:1" x14ac:dyDescent="0.35">
      <c r="A240" s="100">
        <f t="shared" si="3"/>
        <v>0</v>
      </c>
    </row>
    <row r="241" spans="1:1" x14ac:dyDescent="0.35">
      <c r="A241" s="101">
        <f t="shared" si="3"/>
        <v>0</v>
      </c>
    </row>
    <row r="242" spans="1:1" x14ac:dyDescent="0.35">
      <c r="A242" s="101">
        <f t="shared" si="3"/>
        <v>0</v>
      </c>
    </row>
    <row r="243" spans="1:1" x14ac:dyDescent="0.35">
      <c r="A243" s="100">
        <f t="shared" si="3"/>
        <v>0</v>
      </c>
    </row>
    <row r="244" spans="1:1" x14ac:dyDescent="0.35">
      <c r="A244" s="100">
        <f t="shared" si="3"/>
        <v>0</v>
      </c>
    </row>
    <row r="245" spans="1:1" x14ac:dyDescent="0.35">
      <c r="A245" s="100">
        <f t="shared" si="3"/>
        <v>0</v>
      </c>
    </row>
    <row r="246" spans="1:1" x14ac:dyDescent="0.35">
      <c r="A246" s="101">
        <f t="shared" si="3"/>
        <v>0</v>
      </c>
    </row>
    <row r="247" spans="1:1" x14ac:dyDescent="0.35">
      <c r="A247" s="101">
        <f t="shared" si="3"/>
        <v>0</v>
      </c>
    </row>
    <row r="248" spans="1:1" x14ac:dyDescent="0.35">
      <c r="A248" s="101">
        <f t="shared" si="3"/>
        <v>0</v>
      </c>
    </row>
    <row r="249" spans="1:1" x14ac:dyDescent="0.35">
      <c r="A249" s="101">
        <f t="shared" si="3"/>
        <v>0</v>
      </c>
    </row>
    <row r="250" spans="1:1" x14ac:dyDescent="0.35">
      <c r="A250" s="100">
        <f t="shared" si="3"/>
        <v>0</v>
      </c>
    </row>
    <row r="251" spans="1:1" x14ac:dyDescent="0.35">
      <c r="A251" s="101">
        <f t="shared" si="3"/>
        <v>0</v>
      </c>
    </row>
    <row r="252" spans="1:1" x14ac:dyDescent="0.35">
      <c r="A252" s="100">
        <f t="shared" si="3"/>
        <v>0</v>
      </c>
    </row>
    <row r="253" spans="1:1" x14ac:dyDescent="0.35">
      <c r="A253" s="101">
        <f t="shared" si="3"/>
        <v>0</v>
      </c>
    </row>
    <row r="254" spans="1:1" x14ac:dyDescent="0.35">
      <c r="A254" s="100">
        <f t="shared" si="3"/>
        <v>0</v>
      </c>
    </row>
    <row r="255" spans="1:1" x14ac:dyDescent="0.35">
      <c r="A255" s="100">
        <f t="shared" si="3"/>
        <v>0</v>
      </c>
    </row>
    <row r="256" spans="1:1" x14ac:dyDescent="0.35">
      <c r="A256" s="101">
        <f t="shared" si="3"/>
        <v>0</v>
      </c>
    </row>
    <row r="257" spans="1:1" x14ac:dyDescent="0.35">
      <c r="A257" s="101">
        <f t="shared" si="3"/>
        <v>0</v>
      </c>
    </row>
    <row r="258" spans="1:1" x14ac:dyDescent="0.35">
      <c r="A258" s="100">
        <f t="shared" si="3"/>
        <v>0</v>
      </c>
    </row>
    <row r="259" spans="1:1" x14ac:dyDescent="0.35">
      <c r="A259" s="101">
        <f t="shared" si="3"/>
        <v>0</v>
      </c>
    </row>
    <row r="260" spans="1:1" x14ac:dyDescent="0.35">
      <c r="A260" s="101">
        <f t="shared" ref="A260:A323" si="4">IF(LEN(B260)=8,LEFT(B260,1),0)</f>
        <v>0</v>
      </c>
    </row>
    <row r="261" spans="1:1" x14ac:dyDescent="0.35">
      <c r="A261" s="100">
        <f t="shared" si="4"/>
        <v>0</v>
      </c>
    </row>
    <row r="262" spans="1:1" x14ac:dyDescent="0.35">
      <c r="A262" s="101">
        <f t="shared" si="4"/>
        <v>0</v>
      </c>
    </row>
    <row r="263" spans="1:1" x14ac:dyDescent="0.35">
      <c r="A263" s="101">
        <f t="shared" si="4"/>
        <v>0</v>
      </c>
    </row>
    <row r="264" spans="1:1" x14ac:dyDescent="0.35">
      <c r="A264" s="100">
        <f t="shared" si="4"/>
        <v>0</v>
      </c>
    </row>
    <row r="265" spans="1:1" x14ac:dyDescent="0.35">
      <c r="A265" s="101">
        <f t="shared" si="4"/>
        <v>0</v>
      </c>
    </row>
    <row r="266" spans="1:1" x14ac:dyDescent="0.35">
      <c r="A266" s="100">
        <f t="shared" si="4"/>
        <v>0</v>
      </c>
    </row>
    <row r="267" spans="1:1" x14ac:dyDescent="0.35">
      <c r="A267" s="101">
        <f t="shared" si="4"/>
        <v>0</v>
      </c>
    </row>
    <row r="268" spans="1:1" x14ac:dyDescent="0.35">
      <c r="A268" s="100">
        <f t="shared" si="4"/>
        <v>0</v>
      </c>
    </row>
    <row r="269" spans="1:1" x14ac:dyDescent="0.35">
      <c r="A269" s="100">
        <f t="shared" si="4"/>
        <v>0</v>
      </c>
    </row>
    <row r="270" spans="1:1" x14ac:dyDescent="0.35">
      <c r="A270" s="100">
        <f t="shared" si="4"/>
        <v>0</v>
      </c>
    </row>
    <row r="271" spans="1:1" x14ac:dyDescent="0.35">
      <c r="A271" s="100">
        <f t="shared" si="4"/>
        <v>0</v>
      </c>
    </row>
    <row r="272" spans="1:1" x14ac:dyDescent="0.35">
      <c r="A272" s="100">
        <f t="shared" si="4"/>
        <v>0</v>
      </c>
    </row>
    <row r="273" spans="1:1" x14ac:dyDescent="0.35">
      <c r="A273" s="100">
        <f t="shared" si="4"/>
        <v>0</v>
      </c>
    </row>
    <row r="274" spans="1:1" x14ac:dyDescent="0.35">
      <c r="A274" s="100">
        <f t="shared" si="4"/>
        <v>0</v>
      </c>
    </row>
    <row r="275" spans="1:1" x14ac:dyDescent="0.35">
      <c r="A275" s="100">
        <f t="shared" si="4"/>
        <v>0</v>
      </c>
    </row>
    <row r="276" spans="1:1" x14ac:dyDescent="0.35">
      <c r="A276" s="100">
        <f t="shared" si="4"/>
        <v>0</v>
      </c>
    </row>
    <row r="277" spans="1:1" x14ac:dyDescent="0.35">
      <c r="A277" s="100">
        <f t="shared" si="4"/>
        <v>0</v>
      </c>
    </row>
    <row r="278" spans="1:1" x14ac:dyDescent="0.35">
      <c r="A278" s="100">
        <f t="shared" si="4"/>
        <v>0</v>
      </c>
    </row>
    <row r="279" spans="1:1" x14ac:dyDescent="0.35">
      <c r="A279" s="100">
        <f t="shared" si="4"/>
        <v>0</v>
      </c>
    </row>
    <row r="280" spans="1:1" x14ac:dyDescent="0.35">
      <c r="A280" s="100">
        <f t="shared" si="4"/>
        <v>0</v>
      </c>
    </row>
    <row r="281" spans="1:1" x14ac:dyDescent="0.35">
      <c r="A281" s="100">
        <f t="shared" si="4"/>
        <v>0</v>
      </c>
    </row>
    <row r="282" spans="1:1" x14ac:dyDescent="0.35">
      <c r="A282" s="100">
        <f t="shared" si="4"/>
        <v>0</v>
      </c>
    </row>
    <row r="283" spans="1:1" x14ac:dyDescent="0.35">
      <c r="A283" s="100">
        <f t="shared" si="4"/>
        <v>0</v>
      </c>
    </row>
    <row r="284" spans="1:1" x14ac:dyDescent="0.35">
      <c r="A284" s="100">
        <f t="shared" si="4"/>
        <v>0</v>
      </c>
    </row>
    <row r="285" spans="1:1" x14ac:dyDescent="0.35">
      <c r="A285" s="100">
        <f t="shared" si="4"/>
        <v>0</v>
      </c>
    </row>
    <row r="286" spans="1:1" x14ac:dyDescent="0.35">
      <c r="A286" s="100">
        <f t="shared" si="4"/>
        <v>0</v>
      </c>
    </row>
    <row r="287" spans="1:1" x14ac:dyDescent="0.35">
      <c r="A287" s="100">
        <f t="shared" si="4"/>
        <v>0</v>
      </c>
    </row>
    <row r="288" spans="1:1" x14ac:dyDescent="0.35">
      <c r="A288" s="100">
        <f t="shared" si="4"/>
        <v>0</v>
      </c>
    </row>
    <row r="289" spans="1:1" x14ac:dyDescent="0.35">
      <c r="A289" s="100">
        <f t="shared" si="4"/>
        <v>0</v>
      </c>
    </row>
    <row r="290" spans="1:1" x14ac:dyDescent="0.35">
      <c r="A290" s="100">
        <f t="shared" si="4"/>
        <v>0</v>
      </c>
    </row>
    <row r="291" spans="1:1" x14ac:dyDescent="0.35">
      <c r="A291" s="100">
        <f t="shared" si="4"/>
        <v>0</v>
      </c>
    </row>
    <row r="292" spans="1:1" x14ac:dyDescent="0.35">
      <c r="A292" s="100">
        <f t="shared" si="4"/>
        <v>0</v>
      </c>
    </row>
    <row r="293" spans="1:1" x14ac:dyDescent="0.35">
      <c r="A293" s="100">
        <f t="shared" si="4"/>
        <v>0</v>
      </c>
    </row>
    <row r="294" spans="1:1" x14ac:dyDescent="0.35">
      <c r="A294" s="100">
        <f t="shared" si="4"/>
        <v>0</v>
      </c>
    </row>
    <row r="295" spans="1:1" x14ac:dyDescent="0.35">
      <c r="A295" s="100">
        <f t="shared" si="4"/>
        <v>0</v>
      </c>
    </row>
    <row r="296" spans="1:1" x14ac:dyDescent="0.35">
      <c r="A296" s="100">
        <f t="shared" si="4"/>
        <v>0</v>
      </c>
    </row>
    <row r="297" spans="1:1" x14ac:dyDescent="0.35">
      <c r="A297" s="100">
        <f t="shared" si="4"/>
        <v>0</v>
      </c>
    </row>
    <row r="298" spans="1:1" x14ac:dyDescent="0.35">
      <c r="A298" s="100">
        <f t="shared" si="4"/>
        <v>0</v>
      </c>
    </row>
    <row r="299" spans="1:1" x14ac:dyDescent="0.35">
      <c r="A299" s="100">
        <f t="shared" si="4"/>
        <v>0</v>
      </c>
    </row>
    <row r="300" spans="1:1" x14ac:dyDescent="0.35">
      <c r="A300" s="100">
        <f t="shared" si="4"/>
        <v>0</v>
      </c>
    </row>
    <row r="301" spans="1:1" x14ac:dyDescent="0.35">
      <c r="A301" s="100">
        <f t="shared" si="4"/>
        <v>0</v>
      </c>
    </row>
    <row r="302" spans="1:1" x14ac:dyDescent="0.35">
      <c r="A302" s="100">
        <f t="shared" si="4"/>
        <v>0</v>
      </c>
    </row>
    <row r="303" spans="1:1" x14ac:dyDescent="0.35">
      <c r="A303" s="100">
        <f t="shared" si="4"/>
        <v>0</v>
      </c>
    </row>
    <row r="304" spans="1:1" x14ac:dyDescent="0.35">
      <c r="A304" s="100">
        <f t="shared" si="4"/>
        <v>0</v>
      </c>
    </row>
    <row r="305" spans="1:1" x14ac:dyDescent="0.35">
      <c r="A305" s="100">
        <f t="shared" si="4"/>
        <v>0</v>
      </c>
    </row>
    <row r="306" spans="1:1" x14ac:dyDescent="0.35">
      <c r="A306" s="100">
        <f t="shared" si="4"/>
        <v>0</v>
      </c>
    </row>
    <row r="307" spans="1:1" x14ac:dyDescent="0.35">
      <c r="A307" s="100">
        <f t="shared" si="4"/>
        <v>0</v>
      </c>
    </row>
    <row r="308" spans="1:1" x14ac:dyDescent="0.35">
      <c r="A308" s="100">
        <f t="shared" si="4"/>
        <v>0</v>
      </c>
    </row>
    <row r="309" spans="1:1" x14ac:dyDescent="0.35">
      <c r="A309" s="100">
        <f t="shared" si="4"/>
        <v>0</v>
      </c>
    </row>
    <row r="310" spans="1:1" x14ac:dyDescent="0.35">
      <c r="A310" s="100">
        <f t="shared" si="4"/>
        <v>0</v>
      </c>
    </row>
    <row r="311" spans="1:1" x14ac:dyDescent="0.35">
      <c r="A311" s="100">
        <f t="shared" si="4"/>
        <v>0</v>
      </c>
    </row>
    <row r="312" spans="1:1" x14ac:dyDescent="0.35">
      <c r="A312" s="100">
        <f t="shared" si="4"/>
        <v>0</v>
      </c>
    </row>
    <row r="313" spans="1:1" x14ac:dyDescent="0.35">
      <c r="A313" s="100">
        <f t="shared" si="4"/>
        <v>0</v>
      </c>
    </row>
    <row r="314" spans="1:1" x14ac:dyDescent="0.35">
      <c r="A314" s="100">
        <f t="shared" si="4"/>
        <v>0</v>
      </c>
    </row>
    <row r="315" spans="1:1" x14ac:dyDescent="0.35">
      <c r="A315" s="100">
        <f t="shared" si="4"/>
        <v>0</v>
      </c>
    </row>
    <row r="316" spans="1:1" x14ac:dyDescent="0.35">
      <c r="A316" s="100">
        <f t="shared" si="4"/>
        <v>0</v>
      </c>
    </row>
    <row r="317" spans="1:1" x14ac:dyDescent="0.35">
      <c r="A317" s="100">
        <f t="shared" si="4"/>
        <v>0</v>
      </c>
    </row>
    <row r="318" spans="1:1" x14ac:dyDescent="0.35">
      <c r="A318" s="100">
        <f t="shared" si="4"/>
        <v>0</v>
      </c>
    </row>
    <row r="319" spans="1:1" x14ac:dyDescent="0.35">
      <c r="A319" s="100">
        <f t="shared" si="4"/>
        <v>0</v>
      </c>
    </row>
    <row r="320" spans="1:1" x14ac:dyDescent="0.35">
      <c r="A320" s="100">
        <f t="shared" si="4"/>
        <v>0</v>
      </c>
    </row>
    <row r="321" spans="1:1" x14ac:dyDescent="0.35">
      <c r="A321" s="100">
        <f t="shared" si="4"/>
        <v>0</v>
      </c>
    </row>
    <row r="322" spans="1:1" x14ac:dyDescent="0.35">
      <c r="A322" s="100">
        <f t="shared" si="4"/>
        <v>0</v>
      </c>
    </row>
    <row r="323" spans="1:1" x14ac:dyDescent="0.35">
      <c r="A323" s="100">
        <f t="shared" si="4"/>
        <v>0</v>
      </c>
    </row>
    <row r="324" spans="1:1" x14ac:dyDescent="0.35">
      <c r="A324" s="100">
        <f t="shared" ref="A324:A387" si="5">IF(LEN(B324)=8,LEFT(B324,1),0)</f>
        <v>0</v>
      </c>
    </row>
    <row r="325" spans="1:1" x14ac:dyDescent="0.35">
      <c r="A325" s="100">
        <f t="shared" si="5"/>
        <v>0</v>
      </c>
    </row>
    <row r="326" spans="1:1" x14ac:dyDescent="0.35">
      <c r="A326" s="100">
        <f t="shared" si="5"/>
        <v>0</v>
      </c>
    </row>
    <row r="327" spans="1:1" x14ac:dyDescent="0.35">
      <c r="A327" s="100">
        <f t="shared" si="5"/>
        <v>0</v>
      </c>
    </row>
    <row r="328" spans="1:1" x14ac:dyDescent="0.35">
      <c r="A328" s="100">
        <f t="shared" si="5"/>
        <v>0</v>
      </c>
    </row>
    <row r="329" spans="1:1" x14ac:dyDescent="0.35">
      <c r="A329" s="100">
        <f t="shared" si="5"/>
        <v>0</v>
      </c>
    </row>
    <row r="330" spans="1:1" x14ac:dyDescent="0.35">
      <c r="A330" s="100">
        <f t="shared" si="5"/>
        <v>0</v>
      </c>
    </row>
    <row r="331" spans="1:1" x14ac:dyDescent="0.35">
      <c r="A331" s="100">
        <f t="shared" si="5"/>
        <v>0</v>
      </c>
    </row>
    <row r="332" spans="1:1" x14ac:dyDescent="0.35">
      <c r="A332" s="100">
        <f t="shared" si="5"/>
        <v>0</v>
      </c>
    </row>
    <row r="333" spans="1:1" x14ac:dyDescent="0.35">
      <c r="A333" s="100">
        <f t="shared" si="5"/>
        <v>0</v>
      </c>
    </row>
    <row r="334" spans="1:1" x14ac:dyDescent="0.35">
      <c r="A334" s="100">
        <f t="shared" si="5"/>
        <v>0</v>
      </c>
    </row>
    <row r="335" spans="1:1" x14ac:dyDescent="0.35">
      <c r="A335" s="100">
        <f t="shared" si="5"/>
        <v>0</v>
      </c>
    </row>
    <row r="336" spans="1:1" x14ac:dyDescent="0.35">
      <c r="A336" s="100">
        <f t="shared" si="5"/>
        <v>0</v>
      </c>
    </row>
    <row r="337" spans="1:1" x14ac:dyDescent="0.35">
      <c r="A337" s="100">
        <f t="shared" si="5"/>
        <v>0</v>
      </c>
    </row>
    <row r="338" spans="1:1" x14ac:dyDescent="0.35">
      <c r="A338" s="100">
        <f t="shared" si="5"/>
        <v>0</v>
      </c>
    </row>
    <row r="339" spans="1:1" x14ac:dyDescent="0.35">
      <c r="A339" s="100">
        <f t="shared" si="5"/>
        <v>0</v>
      </c>
    </row>
    <row r="340" spans="1:1" x14ac:dyDescent="0.35">
      <c r="A340" s="100">
        <f t="shared" si="5"/>
        <v>0</v>
      </c>
    </row>
    <row r="341" spans="1:1" x14ac:dyDescent="0.35">
      <c r="A341" s="100">
        <f t="shared" si="5"/>
        <v>0</v>
      </c>
    </row>
    <row r="342" spans="1:1" x14ac:dyDescent="0.35">
      <c r="A342" s="100">
        <f t="shared" si="5"/>
        <v>0</v>
      </c>
    </row>
    <row r="343" spans="1:1" x14ac:dyDescent="0.35">
      <c r="A343" s="100">
        <f t="shared" si="5"/>
        <v>0</v>
      </c>
    </row>
    <row r="344" spans="1:1" x14ac:dyDescent="0.35">
      <c r="A344" s="100">
        <f t="shared" si="5"/>
        <v>0</v>
      </c>
    </row>
    <row r="345" spans="1:1" x14ac:dyDescent="0.35">
      <c r="A345" s="100">
        <f t="shared" si="5"/>
        <v>0</v>
      </c>
    </row>
    <row r="346" spans="1:1" x14ac:dyDescent="0.35">
      <c r="A346" s="100">
        <f t="shared" si="5"/>
        <v>0</v>
      </c>
    </row>
    <row r="347" spans="1:1" x14ac:dyDescent="0.35">
      <c r="A347" s="100">
        <f t="shared" si="5"/>
        <v>0</v>
      </c>
    </row>
    <row r="348" spans="1:1" x14ac:dyDescent="0.35">
      <c r="A348" s="100">
        <f t="shared" si="5"/>
        <v>0</v>
      </c>
    </row>
    <row r="349" spans="1:1" x14ac:dyDescent="0.35">
      <c r="A349" s="100">
        <f t="shared" si="5"/>
        <v>0</v>
      </c>
    </row>
    <row r="350" spans="1:1" x14ac:dyDescent="0.35">
      <c r="A350" s="100">
        <f t="shared" si="5"/>
        <v>0</v>
      </c>
    </row>
    <row r="351" spans="1:1" x14ac:dyDescent="0.35">
      <c r="A351" s="100">
        <f t="shared" si="5"/>
        <v>0</v>
      </c>
    </row>
    <row r="352" spans="1:1" x14ac:dyDescent="0.35">
      <c r="A352" s="100">
        <f t="shared" si="5"/>
        <v>0</v>
      </c>
    </row>
    <row r="353" spans="1:1" x14ac:dyDescent="0.35">
      <c r="A353" s="100">
        <f t="shared" si="5"/>
        <v>0</v>
      </c>
    </row>
    <row r="354" spans="1:1" x14ac:dyDescent="0.35">
      <c r="A354" s="100">
        <f t="shared" si="5"/>
        <v>0</v>
      </c>
    </row>
    <row r="355" spans="1:1" x14ac:dyDescent="0.35">
      <c r="A355" s="100">
        <f t="shared" si="5"/>
        <v>0</v>
      </c>
    </row>
    <row r="356" spans="1:1" x14ac:dyDescent="0.35">
      <c r="A356" s="100">
        <f t="shared" si="5"/>
        <v>0</v>
      </c>
    </row>
    <row r="357" spans="1:1" x14ac:dyDescent="0.35">
      <c r="A357" s="100">
        <f t="shared" si="5"/>
        <v>0</v>
      </c>
    </row>
    <row r="358" spans="1:1" x14ac:dyDescent="0.35">
      <c r="A358" s="100">
        <f t="shared" si="5"/>
        <v>0</v>
      </c>
    </row>
    <row r="359" spans="1:1" x14ac:dyDescent="0.35">
      <c r="A359" s="100">
        <f t="shared" si="5"/>
        <v>0</v>
      </c>
    </row>
    <row r="360" spans="1:1" x14ac:dyDescent="0.35">
      <c r="A360" s="100">
        <f t="shared" si="5"/>
        <v>0</v>
      </c>
    </row>
    <row r="361" spans="1:1" x14ac:dyDescent="0.35">
      <c r="A361" s="100">
        <f t="shared" si="5"/>
        <v>0</v>
      </c>
    </row>
    <row r="362" spans="1:1" x14ac:dyDescent="0.35">
      <c r="A362" s="100">
        <f t="shared" si="5"/>
        <v>0</v>
      </c>
    </row>
    <row r="363" spans="1:1" x14ac:dyDescent="0.35">
      <c r="A363" s="100">
        <f t="shared" si="5"/>
        <v>0</v>
      </c>
    </row>
    <row r="364" spans="1:1" x14ac:dyDescent="0.35">
      <c r="A364" s="100">
        <f t="shared" si="5"/>
        <v>0</v>
      </c>
    </row>
    <row r="365" spans="1:1" x14ac:dyDescent="0.35">
      <c r="A365" s="100">
        <f t="shared" si="5"/>
        <v>0</v>
      </c>
    </row>
    <row r="366" spans="1:1" x14ac:dyDescent="0.35">
      <c r="A366" s="100">
        <f t="shared" si="5"/>
        <v>0</v>
      </c>
    </row>
    <row r="367" spans="1:1" x14ac:dyDescent="0.35">
      <c r="A367" s="100">
        <f t="shared" si="5"/>
        <v>0</v>
      </c>
    </row>
    <row r="368" spans="1:1" x14ac:dyDescent="0.35">
      <c r="A368" s="100">
        <f t="shared" si="5"/>
        <v>0</v>
      </c>
    </row>
    <row r="369" spans="1:1" x14ac:dyDescent="0.35">
      <c r="A369" s="100">
        <f t="shared" si="5"/>
        <v>0</v>
      </c>
    </row>
    <row r="370" spans="1:1" x14ac:dyDescent="0.35">
      <c r="A370" s="100">
        <f t="shared" si="5"/>
        <v>0</v>
      </c>
    </row>
    <row r="371" spans="1:1" x14ac:dyDescent="0.35">
      <c r="A371" s="100">
        <f t="shared" si="5"/>
        <v>0</v>
      </c>
    </row>
    <row r="372" spans="1:1" x14ac:dyDescent="0.35">
      <c r="A372" s="100">
        <f t="shared" si="5"/>
        <v>0</v>
      </c>
    </row>
    <row r="373" spans="1:1" x14ac:dyDescent="0.35">
      <c r="A373" s="100">
        <f t="shared" si="5"/>
        <v>0</v>
      </c>
    </row>
    <row r="374" spans="1:1" x14ac:dyDescent="0.35">
      <c r="A374" s="100">
        <f t="shared" si="5"/>
        <v>0</v>
      </c>
    </row>
    <row r="375" spans="1:1" x14ac:dyDescent="0.35">
      <c r="A375" s="100">
        <f t="shared" si="5"/>
        <v>0</v>
      </c>
    </row>
    <row r="376" spans="1:1" x14ac:dyDescent="0.35">
      <c r="A376" s="100">
        <f t="shared" si="5"/>
        <v>0</v>
      </c>
    </row>
    <row r="377" spans="1:1" x14ac:dyDescent="0.35">
      <c r="A377" s="100">
        <f t="shared" si="5"/>
        <v>0</v>
      </c>
    </row>
    <row r="378" spans="1:1" x14ac:dyDescent="0.35">
      <c r="A378" s="100">
        <f t="shared" si="5"/>
        <v>0</v>
      </c>
    </row>
    <row r="379" spans="1:1" x14ac:dyDescent="0.35">
      <c r="A379" s="100">
        <f t="shared" si="5"/>
        <v>0</v>
      </c>
    </row>
    <row r="380" spans="1:1" x14ac:dyDescent="0.35">
      <c r="A380" s="100">
        <f t="shared" si="5"/>
        <v>0</v>
      </c>
    </row>
    <row r="381" spans="1:1" x14ac:dyDescent="0.35">
      <c r="A381" s="100">
        <f t="shared" si="5"/>
        <v>0</v>
      </c>
    </row>
    <row r="382" spans="1:1" x14ac:dyDescent="0.35">
      <c r="A382" s="100">
        <f t="shared" si="5"/>
        <v>0</v>
      </c>
    </row>
    <row r="383" spans="1:1" x14ac:dyDescent="0.35">
      <c r="A383" s="100">
        <f t="shared" si="5"/>
        <v>0</v>
      </c>
    </row>
    <row r="384" spans="1:1" x14ac:dyDescent="0.35">
      <c r="A384" s="100">
        <f t="shared" si="5"/>
        <v>0</v>
      </c>
    </row>
    <row r="385" spans="1:1" x14ac:dyDescent="0.35">
      <c r="A385" s="100">
        <f t="shared" si="5"/>
        <v>0</v>
      </c>
    </row>
    <row r="386" spans="1:1" x14ac:dyDescent="0.35">
      <c r="A386" s="100">
        <f t="shared" si="5"/>
        <v>0</v>
      </c>
    </row>
    <row r="387" spans="1:1" x14ac:dyDescent="0.35">
      <c r="A387" s="100">
        <f t="shared" si="5"/>
        <v>0</v>
      </c>
    </row>
    <row r="388" spans="1:1" x14ac:dyDescent="0.35">
      <c r="A388" s="100">
        <f t="shared" ref="A388:A451" si="6">IF(LEN(B388)=8,LEFT(B388,1),0)</f>
        <v>0</v>
      </c>
    </row>
    <row r="389" spans="1:1" x14ac:dyDescent="0.35">
      <c r="A389" s="100">
        <f t="shared" si="6"/>
        <v>0</v>
      </c>
    </row>
    <row r="390" spans="1:1" x14ac:dyDescent="0.35">
      <c r="A390" s="100">
        <f t="shared" si="6"/>
        <v>0</v>
      </c>
    </row>
    <row r="391" spans="1:1" x14ac:dyDescent="0.35">
      <c r="A391" s="100">
        <f t="shared" si="6"/>
        <v>0</v>
      </c>
    </row>
    <row r="392" spans="1:1" x14ac:dyDescent="0.35">
      <c r="A392" s="100">
        <f t="shared" si="6"/>
        <v>0</v>
      </c>
    </row>
    <row r="393" spans="1:1" x14ac:dyDescent="0.35">
      <c r="A393" s="100">
        <f t="shared" si="6"/>
        <v>0</v>
      </c>
    </row>
    <row r="394" spans="1:1" x14ac:dyDescent="0.35">
      <c r="A394" s="100">
        <f t="shared" si="6"/>
        <v>0</v>
      </c>
    </row>
    <row r="395" spans="1:1" x14ac:dyDescent="0.35">
      <c r="A395" s="100">
        <f t="shared" si="6"/>
        <v>0</v>
      </c>
    </row>
    <row r="396" spans="1:1" x14ac:dyDescent="0.35">
      <c r="A396" s="100">
        <f t="shared" si="6"/>
        <v>0</v>
      </c>
    </row>
    <row r="397" spans="1:1" x14ac:dyDescent="0.35">
      <c r="A397" s="100">
        <f t="shared" si="6"/>
        <v>0</v>
      </c>
    </row>
    <row r="398" spans="1:1" x14ac:dyDescent="0.35">
      <c r="A398" s="100">
        <f t="shared" si="6"/>
        <v>0</v>
      </c>
    </row>
    <row r="399" spans="1:1" x14ac:dyDescent="0.35">
      <c r="A399" s="100">
        <f t="shared" si="6"/>
        <v>0</v>
      </c>
    </row>
    <row r="400" spans="1:1" x14ac:dyDescent="0.35">
      <c r="A400" s="100">
        <f t="shared" si="6"/>
        <v>0</v>
      </c>
    </row>
    <row r="401" spans="1:1" x14ac:dyDescent="0.35">
      <c r="A401" s="100">
        <f t="shared" si="6"/>
        <v>0</v>
      </c>
    </row>
    <row r="402" spans="1:1" x14ac:dyDescent="0.35">
      <c r="A402" s="100">
        <f t="shared" si="6"/>
        <v>0</v>
      </c>
    </row>
    <row r="403" spans="1:1" x14ac:dyDescent="0.35">
      <c r="A403" s="100">
        <f t="shared" si="6"/>
        <v>0</v>
      </c>
    </row>
    <row r="404" spans="1:1" x14ac:dyDescent="0.35">
      <c r="A404" s="100">
        <f t="shared" si="6"/>
        <v>0</v>
      </c>
    </row>
    <row r="405" spans="1:1" x14ac:dyDescent="0.35">
      <c r="A405" s="100">
        <f t="shared" si="6"/>
        <v>0</v>
      </c>
    </row>
    <row r="406" spans="1:1" x14ac:dyDescent="0.35">
      <c r="A406" s="100">
        <f t="shared" si="6"/>
        <v>0</v>
      </c>
    </row>
    <row r="407" spans="1:1" x14ac:dyDescent="0.35">
      <c r="A407" s="100">
        <f t="shared" si="6"/>
        <v>0</v>
      </c>
    </row>
    <row r="408" spans="1:1" x14ac:dyDescent="0.35">
      <c r="A408" s="100">
        <f t="shared" si="6"/>
        <v>0</v>
      </c>
    </row>
    <row r="409" spans="1:1" x14ac:dyDescent="0.35">
      <c r="A409" s="100">
        <f t="shared" si="6"/>
        <v>0</v>
      </c>
    </row>
    <row r="410" spans="1:1" x14ac:dyDescent="0.35">
      <c r="A410" s="100">
        <f t="shared" si="6"/>
        <v>0</v>
      </c>
    </row>
    <row r="411" spans="1:1" x14ac:dyDescent="0.35">
      <c r="A411" s="100">
        <f t="shared" si="6"/>
        <v>0</v>
      </c>
    </row>
    <row r="412" spans="1:1" x14ac:dyDescent="0.35">
      <c r="A412" s="100">
        <f t="shared" si="6"/>
        <v>0</v>
      </c>
    </row>
    <row r="413" spans="1:1" x14ac:dyDescent="0.35">
      <c r="A413" s="100">
        <f t="shared" si="6"/>
        <v>0</v>
      </c>
    </row>
    <row r="414" spans="1:1" x14ac:dyDescent="0.35">
      <c r="A414" s="100">
        <f t="shared" si="6"/>
        <v>0</v>
      </c>
    </row>
    <row r="415" spans="1:1" x14ac:dyDescent="0.35">
      <c r="A415" s="100">
        <f t="shared" si="6"/>
        <v>0</v>
      </c>
    </row>
    <row r="416" spans="1:1" x14ac:dyDescent="0.35">
      <c r="A416" s="100">
        <f t="shared" si="6"/>
        <v>0</v>
      </c>
    </row>
    <row r="417" spans="1:1" x14ac:dyDescent="0.35">
      <c r="A417" s="100">
        <f t="shared" si="6"/>
        <v>0</v>
      </c>
    </row>
    <row r="418" spans="1:1" x14ac:dyDescent="0.35">
      <c r="A418" s="100">
        <f t="shared" si="6"/>
        <v>0</v>
      </c>
    </row>
    <row r="419" spans="1:1" x14ac:dyDescent="0.35">
      <c r="A419" s="100">
        <f t="shared" si="6"/>
        <v>0</v>
      </c>
    </row>
    <row r="420" spans="1:1" x14ac:dyDescent="0.35">
      <c r="A420" s="100">
        <f t="shared" si="6"/>
        <v>0</v>
      </c>
    </row>
    <row r="421" spans="1:1" x14ac:dyDescent="0.35">
      <c r="A421" s="100">
        <f t="shared" si="6"/>
        <v>0</v>
      </c>
    </row>
    <row r="422" spans="1:1" x14ac:dyDescent="0.35">
      <c r="A422" s="100">
        <f t="shared" si="6"/>
        <v>0</v>
      </c>
    </row>
    <row r="423" spans="1:1" x14ac:dyDescent="0.35">
      <c r="A423" s="100">
        <f t="shared" si="6"/>
        <v>0</v>
      </c>
    </row>
    <row r="424" spans="1:1" x14ac:dyDescent="0.35">
      <c r="A424" s="100">
        <f t="shared" si="6"/>
        <v>0</v>
      </c>
    </row>
    <row r="425" spans="1:1" x14ac:dyDescent="0.35">
      <c r="A425" s="100">
        <f t="shared" si="6"/>
        <v>0</v>
      </c>
    </row>
    <row r="426" spans="1:1" x14ac:dyDescent="0.35">
      <c r="A426" s="100">
        <f t="shared" si="6"/>
        <v>0</v>
      </c>
    </row>
    <row r="427" spans="1:1" x14ac:dyDescent="0.35">
      <c r="A427" s="100">
        <f t="shared" si="6"/>
        <v>0</v>
      </c>
    </row>
    <row r="428" spans="1:1" x14ac:dyDescent="0.35">
      <c r="A428" s="100">
        <f t="shared" si="6"/>
        <v>0</v>
      </c>
    </row>
    <row r="429" spans="1:1" x14ac:dyDescent="0.35">
      <c r="A429" s="100">
        <f t="shared" si="6"/>
        <v>0</v>
      </c>
    </row>
    <row r="430" spans="1:1" x14ac:dyDescent="0.35">
      <c r="A430" s="100">
        <f t="shared" si="6"/>
        <v>0</v>
      </c>
    </row>
    <row r="431" spans="1:1" x14ac:dyDescent="0.35">
      <c r="A431" s="100">
        <f t="shared" si="6"/>
        <v>0</v>
      </c>
    </row>
    <row r="432" spans="1:1" x14ac:dyDescent="0.35">
      <c r="A432" s="100">
        <f t="shared" si="6"/>
        <v>0</v>
      </c>
    </row>
    <row r="433" spans="1:1" x14ac:dyDescent="0.35">
      <c r="A433" s="100">
        <f t="shared" si="6"/>
        <v>0</v>
      </c>
    </row>
    <row r="434" spans="1:1" x14ac:dyDescent="0.35">
      <c r="A434" s="100">
        <f t="shared" si="6"/>
        <v>0</v>
      </c>
    </row>
    <row r="435" spans="1:1" x14ac:dyDescent="0.35">
      <c r="A435" s="100">
        <f t="shared" si="6"/>
        <v>0</v>
      </c>
    </row>
    <row r="436" spans="1:1" x14ac:dyDescent="0.35">
      <c r="A436" s="100">
        <f t="shared" si="6"/>
        <v>0</v>
      </c>
    </row>
    <row r="437" spans="1:1" x14ac:dyDescent="0.35">
      <c r="A437" s="100">
        <f t="shared" si="6"/>
        <v>0</v>
      </c>
    </row>
    <row r="438" spans="1:1" x14ac:dyDescent="0.35">
      <c r="A438" s="100">
        <f t="shared" si="6"/>
        <v>0</v>
      </c>
    </row>
    <row r="439" spans="1:1" x14ac:dyDescent="0.35">
      <c r="A439" s="100">
        <f t="shared" si="6"/>
        <v>0</v>
      </c>
    </row>
    <row r="440" spans="1:1" x14ac:dyDescent="0.35">
      <c r="A440" s="100">
        <f t="shared" si="6"/>
        <v>0</v>
      </c>
    </row>
    <row r="441" spans="1:1" x14ac:dyDescent="0.35">
      <c r="A441" s="100">
        <f t="shared" si="6"/>
        <v>0</v>
      </c>
    </row>
    <row r="442" spans="1:1" x14ac:dyDescent="0.35">
      <c r="A442" s="100">
        <f t="shared" si="6"/>
        <v>0</v>
      </c>
    </row>
    <row r="443" spans="1:1" x14ac:dyDescent="0.35">
      <c r="A443" s="100">
        <f t="shared" si="6"/>
        <v>0</v>
      </c>
    </row>
    <row r="444" spans="1:1" x14ac:dyDescent="0.35">
      <c r="A444" s="100">
        <f t="shared" si="6"/>
        <v>0</v>
      </c>
    </row>
    <row r="445" spans="1:1" x14ac:dyDescent="0.35">
      <c r="A445" s="100">
        <f t="shared" si="6"/>
        <v>0</v>
      </c>
    </row>
    <row r="446" spans="1:1" x14ac:dyDescent="0.35">
      <c r="A446" s="100">
        <f t="shared" si="6"/>
        <v>0</v>
      </c>
    </row>
    <row r="447" spans="1:1" x14ac:dyDescent="0.35">
      <c r="A447" s="100">
        <f t="shared" si="6"/>
        <v>0</v>
      </c>
    </row>
    <row r="448" spans="1:1" x14ac:dyDescent="0.35">
      <c r="A448" s="100">
        <f t="shared" si="6"/>
        <v>0</v>
      </c>
    </row>
    <row r="449" spans="1:1" x14ac:dyDescent="0.35">
      <c r="A449" s="100">
        <f t="shared" si="6"/>
        <v>0</v>
      </c>
    </row>
    <row r="450" spans="1:1" x14ac:dyDescent="0.35">
      <c r="A450" s="100">
        <f t="shared" si="6"/>
        <v>0</v>
      </c>
    </row>
    <row r="451" spans="1:1" x14ac:dyDescent="0.35">
      <c r="A451" s="100">
        <f t="shared" si="6"/>
        <v>0</v>
      </c>
    </row>
    <row r="452" spans="1:1" x14ac:dyDescent="0.35">
      <c r="A452" s="100">
        <f t="shared" ref="A452:A515" si="7">IF(LEN(B452)=8,LEFT(B452,1),0)</f>
        <v>0</v>
      </c>
    </row>
    <row r="453" spans="1:1" x14ac:dyDescent="0.35">
      <c r="A453" s="100">
        <f t="shared" si="7"/>
        <v>0</v>
      </c>
    </row>
    <row r="454" spans="1:1" x14ac:dyDescent="0.35">
      <c r="A454" s="100">
        <f t="shared" si="7"/>
        <v>0</v>
      </c>
    </row>
    <row r="455" spans="1:1" x14ac:dyDescent="0.35">
      <c r="A455" s="100">
        <f t="shared" si="7"/>
        <v>0</v>
      </c>
    </row>
    <row r="456" spans="1:1" x14ac:dyDescent="0.35">
      <c r="A456" s="100">
        <f t="shared" si="7"/>
        <v>0</v>
      </c>
    </row>
    <row r="457" spans="1:1" x14ac:dyDescent="0.35">
      <c r="A457" s="100">
        <f t="shared" si="7"/>
        <v>0</v>
      </c>
    </row>
    <row r="458" spans="1:1" x14ac:dyDescent="0.35">
      <c r="A458" s="100">
        <f t="shared" si="7"/>
        <v>0</v>
      </c>
    </row>
    <row r="459" spans="1:1" x14ac:dyDescent="0.35">
      <c r="A459" s="100">
        <f t="shared" si="7"/>
        <v>0</v>
      </c>
    </row>
    <row r="460" spans="1:1" x14ac:dyDescent="0.35">
      <c r="A460" s="100">
        <f t="shared" si="7"/>
        <v>0</v>
      </c>
    </row>
    <row r="461" spans="1:1" x14ac:dyDescent="0.35">
      <c r="A461" s="100">
        <f t="shared" si="7"/>
        <v>0</v>
      </c>
    </row>
    <row r="462" spans="1:1" x14ac:dyDescent="0.35">
      <c r="A462" s="100">
        <f t="shared" si="7"/>
        <v>0</v>
      </c>
    </row>
    <row r="463" spans="1:1" x14ac:dyDescent="0.35">
      <c r="A463" s="100">
        <f t="shared" si="7"/>
        <v>0</v>
      </c>
    </row>
    <row r="464" spans="1:1" x14ac:dyDescent="0.35">
      <c r="A464" s="100">
        <f t="shared" si="7"/>
        <v>0</v>
      </c>
    </row>
    <row r="465" spans="1:1" x14ac:dyDescent="0.35">
      <c r="A465" s="100">
        <f t="shared" si="7"/>
        <v>0</v>
      </c>
    </row>
    <row r="466" spans="1:1" x14ac:dyDescent="0.35">
      <c r="A466" s="100">
        <f t="shared" si="7"/>
        <v>0</v>
      </c>
    </row>
    <row r="467" spans="1:1" x14ac:dyDescent="0.35">
      <c r="A467" s="100">
        <f t="shared" si="7"/>
        <v>0</v>
      </c>
    </row>
    <row r="468" spans="1:1" x14ac:dyDescent="0.35">
      <c r="A468" s="100">
        <f t="shared" si="7"/>
        <v>0</v>
      </c>
    </row>
    <row r="469" spans="1:1" x14ac:dyDescent="0.35">
      <c r="A469" s="100">
        <f t="shared" si="7"/>
        <v>0</v>
      </c>
    </row>
    <row r="470" spans="1:1" x14ac:dyDescent="0.35">
      <c r="A470" s="100">
        <f t="shared" si="7"/>
        <v>0</v>
      </c>
    </row>
    <row r="471" spans="1:1" x14ac:dyDescent="0.35">
      <c r="A471" s="100">
        <f t="shared" si="7"/>
        <v>0</v>
      </c>
    </row>
    <row r="472" spans="1:1" x14ac:dyDescent="0.35">
      <c r="A472" s="100">
        <f t="shared" si="7"/>
        <v>0</v>
      </c>
    </row>
    <row r="473" spans="1:1" x14ac:dyDescent="0.35">
      <c r="A473" s="100">
        <f t="shared" si="7"/>
        <v>0</v>
      </c>
    </row>
    <row r="474" spans="1:1" x14ac:dyDescent="0.35">
      <c r="A474" s="100">
        <f t="shared" si="7"/>
        <v>0</v>
      </c>
    </row>
    <row r="475" spans="1:1" x14ac:dyDescent="0.35">
      <c r="A475" s="100">
        <f t="shared" si="7"/>
        <v>0</v>
      </c>
    </row>
    <row r="476" spans="1:1" x14ac:dyDescent="0.35">
      <c r="A476" s="100">
        <f t="shared" si="7"/>
        <v>0</v>
      </c>
    </row>
    <row r="477" spans="1:1" x14ac:dyDescent="0.35">
      <c r="A477" s="100">
        <f t="shared" si="7"/>
        <v>0</v>
      </c>
    </row>
    <row r="478" spans="1:1" x14ac:dyDescent="0.35">
      <c r="A478" s="100">
        <f t="shared" si="7"/>
        <v>0</v>
      </c>
    </row>
    <row r="479" spans="1:1" x14ac:dyDescent="0.35">
      <c r="A479" s="100">
        <f t="shared" si="7"/>
        <v>0</v>
      </c>
    </row>
    <row r="480" spans="1:1" x14ac:dyDescent="0.35">
      <c r="A480" s="100">
        <f t="shared" si="7"/>
        <v>0</v>
      </c>
    </row>
    <row r="481" spans="1:1" x14ac:dyDescent="0.35">
      <c r="A481" s="100">
        <f t="shared" si="7"/>
        <v>0</v>
      </c>
    </row>
    <row r="482" spans="1:1" x14ac:dyDescent="0.35">
      <c r="A482" s="100">
        <f t="shared" si="7"/>
        <v>0</v>
      </c>
    </row>
    <row r="483" spans="1:1" x14ac:dyDescent="0.35">
      <c r="A483" s="100">
        <f t="shared" si="7"/>
        <v>0</v>
      </c>
    </row>
    <row r="484" spans="1:1" x14ac:dyDescent="0.35">
      <c r="A484" s="100">
        <f t="shared" si="7"/>
        <v>0</v>
      </c>
    </row>
    <row r="485" spans="1:1" x14ac:dyDescent="0.35">
      <c r="A485" s="100">
        <f t="shared" si="7"/>
        <v>0</v>
      </c>
    </row>
    <row r="486" spans="1:1" x14ac:dyDescent="0.35">
      <c r="A486" s="100">
        <f t="shared" si="7"/>
        <v>0</v>
      </c>
    </row>
    <row r="487" spans="1:1" x14ac:dyDescent="0.35">
      <c r="A487" s="100">
        <f t="shared" si="7"/>
        <v>0</v>
      </c>
    </row>
    <row r="488" spans="1:1" x14ac:dyDescent="0.35">
      <c r="A488" s="100">
        <f t="shared" si="7"/>
        <v>0</v>
      </c>
    </row>
    <row r="489" spans="1:1" x14ac:dyDescent="0.35">
      <c r="A489" s="100">
        <f t="shared" si="7"/>
        <v>0</v>
      </c>
    </row>
    <row r="490" spans="1:1" x14ac:dyDescent="0.35">
      <c r="A490" s="100">
        <f t="shared" si="7"/>
        <v>0</v>
      </c>
    </row>
    <row r="491" spans="1:1" x14ac:dyDescent="0.35">
      <c r="A491" s="100">
        <f t="shared" si="7"/>
        <v>0</v>
      </c>
    </row>
    <row r="492" spans="1:1" x14ac:dyDescent="0.35">
      <c r="A492" s="100">
        <f t="shared" si="7"/>
        <v>0</v>
      </c>
    </row>
    <row r="493" spans="1:1" x14ac:dyDescent="0.35">
      <c r="A493" s="100">
        <f t="shared" si="7"/>
        <v>0</v>
      </c>
    </row>
    <row r="494" spans="1:1" x14ac:dyDescent="0.35">
      <c r="A494" s="100">
        <f t="shared" si="7"/>
        <v>0</v>
      </c>
    </row>
    <row r="495" spans="1:1" x14ac:dyDescent="0.35">
      <c r="A495" s="100">
        <f t="shared" si="7"/>
        <v>0</v>
      </c>
    </row>
    <row r="496" spans="1:1" x14ac:dyDescent="0.35">
      <c r="A496" s="100">
        <f t="shared" si="7"/>
        <v>0</v>
      </c>
    </row>
    <row r="497" spans="1:1" x14ac:dyDescent="0.35">
      <c r="A497" s="100">
        <f t="shared" si="7"/>
        <v>0</v>
      </c>
    </row>
    <row r="498" spans="1:1" x14ac:dyDescent="0.35">
      <c r="A498" s="100">
        <f t="shared" si="7"/>
        <v>0</v>
      </c>
    </row>
    <row r="499" spans="1:1" x14ac:dyDescent="0.35">
      <c r="A499" s="100">
        <f t="shared" si="7"/>
        <v>0</v>
      </c>
    </row>
    <row r="500" spans="1:1" x14ac:dyDescent="0.35">
      <c r="A500" s="100">
        <f t="shared" si="7"/>
        <v>0</v>
      </c>
    </row>
    <row r="501" spans="1:1" x14ac:dyDescent="0.35">
      <c r="A501" s="100">
        <f t="shared" si="7"/>
        <v>0</v>
      </c>
    </row>
    <row r="502" spans="1:1" x14ac:dyDescent="0.35">
      <c r="A502" s="100">
        <f t="shared" si="7"/>
        <v>0</v>
      </c>
    </row>
    <row r="503" spans="1:1" x14ac:dyDescent="0.35">
      <c r="A503" s="100">
        <f t="shared" si="7"/>
        <v>0</v>
      </c>
    </row>
    <row r="504" spans="1:1" x14ac:dyDescent="0.35">
      <c r="A504" s="100">
        <f t="shared" si="7"/>
        <v>0</v>
      </c>
    </row>
    <row r="505" spans="1:1" x14ac:dyDescent="0.35">
      <c r="A505" s="100">
        <f t="shared" si="7"/>
        <v>0</v>
      </c>
    </row>
    <row r="506" spans="1:1" x14ac:dyDescent="0.35">
      <c r="A506" s="100">
        <f t="shared" si="7"/>
        <v>0</v>
      </c>
    </row>
    <row r="507" spans="1:1" x14ac:dyDescent="0.35">
      <c r="A507" s="100">
        <f t="shared" si="7"/>
        <v>0</v>
      </c>
    </row>
    <row r="508" spans="1:1" x14ac:dyDescent="0.35">
      <c r="A508" s="100">
        <f t="shared" si="7"/>
        <v>0</v>
      </c>
    </row>
    <row r="509" spans="1:1" x14ac:dyDescent="0.35">
      <c r="A509" s="100">
        <f t="shared" si="7"/>
        <v>0</v>
      </c>
    </row>
    <row r="510" spans="1:1" x14ac:dyDescent="0.35">
      <c r="A510" s="100">
        <f t="shared" si="7"/>
        <v>0</v>
      </c>
    </row>
    <row r="511" spans="1:1" x14ac:dyDescent="0.35">
      <c r="A511" s="100">
        <f t="shared" si="7"/>
        <v>0</v>
      </c>
    </row>
    <row r="512" spans="1:1" x14ac:dyDescent="0.35">
      <c r="A512" s="100">
        <f t="shared" si="7"/>
        <v>0</v>
      </c>
    </row>
    <row r="513" spans="1:1" x14ac:dyDescent="0.35">
      <c r="A513" s="100">
        <f t="shared" si="7"/>
        <v>0</v>
      </c>
    </row>
    <row r="514" spans="1:1" x14ac:dyDescent="0.35">
      <c r="A514" s="100">
        <f t="shared" si="7"/>
        <v>0</v>
      </c>
    </row>
    <row r="515" spans="1:1" x14ac:dyDescent="0.35">
      <c r="A515" s="100">
        <f t="shared" si="7"/>
        <v>0</v>
      </c>
    </row>
    <row r="516" spans="1:1" x14ac:dyDescent="0.35">
      <c r="A516" s="100">
        <f t="shared" ref="A516:A579" si="8">IF(LEN(B516)=8,LEFT(B516,1),0)</f>
        <v>0</v>
      </c>
    </row>
    <row r="517" spans="1:1" x14ac:dyDescent="0.35">
      <c r="A517" s="100">
        <f t="shared" si="8"/>
        <v>0</v>
      </c>
    </row>
    <row r="518" spans="1:1" x14ac:dyDescent="0.35">
      <c r="A518" s="100">
        <f t="shared" si="8"/>
        <v>0</v>
      </c>
    </row>
    <row r="519" spans="1:1" x14ac:dyDescent="0.35">
      <c r="A519" s="100">
        <f t="shared" si="8"/>
        <v>0</v>
      </c>
    </row>
    <row r="520" spans="1:1" x14ac:dyDescent="0.35">
      <c r="A520" s="100">
        <f t="shared" si="8"/>
        <v>0</v>
      </c>
    </row>
    <row r="521" spans="1:1" x14ac:dyDescent="0.35">
      <c r="A521" s="100">
        <f t="shared" si="8"/>
        <v>0</v>
      </c>
    </row>
    <row r="522" spans="1:1" x14ac:dyDescent="0.35">
      <c r="A522" s="100">
        <f t="shared" si="8"/>
        <v>0</v>
      </c>
    </row>
    <row r="523" spans="1:1" x14ac:dyDescent="0.35">
      <c r="A523" s="100">
        <f t="shared" si="8"/>
        <v>0</v>
      </c>
    </row>
    <row r="524" spans="1:1" x14ac:dyDescent="0.35">
      <c r="A524" s="100">
        <f t="shared" si="8"/>
        <v>0</v>
      </c>
    </row>
    <row r="525" spans="1:1" x14ac:dyDescent="0.35">
      <c r="A525" s="100">
        <f t="shared" si="8"/>
        <v>0</v>
      </c>
    </row>
    <row r="526" spans="1:1" x14ac:dyDescent="0.35">
      <c r="A526" s="100">
        <f t="shared" si="8"/>
        <v>0</v>
      </c>
    </row>
    <row r="527" spans="1:1" x14ac:dyDescent="0.35">
      <c r="A527" s="100">
        <f t="shared" si="8"/>
        <v>0</v>
      </c>
    </row>
    <row r="528" spans="1:1" x14ac:dyDescent="0.35">
      <c r="A528" s="100">
        <f t="shared" si="8"/>
        <v>0</v>
      </c>
    </row>
    <row r="529" spans="1:1" x14ac:dyDescent="0.35">
      <c r="A529" s="100">
        <f t="shared" si="8"/>
        <v>0</v>
      </c>
    </row>
    <row r="530" spans="1:1" x14ac:dyDescent="0.35">
      <c r="A530" s="100">
        <f t="shared" si="8"/>
        <v>0</v>
      </c>
    </row>
    <row r="531" spans="1:1" x14ac:dyDescent="0.35">
      <c r="A531" s="100">
        <f t="shared" si="8"/>
        <v>0</v>
      </c>
    </row>
    <row r="532" spans="1:1" x14ac:dyDescent="0.35">
      <c r="A532" s="100">
        <f t="shared" si="8"/>
        <v>0</v>
      </c>
    </row>
    <row r="533" spans="1:1" x14ac:dyDescent="0.35">
      <c r="A533" s="100">
        <f t="shared" si="8"/>
        <v>0</v>
      </c>
    </row>
    <row r="534" spans="1:1" x14ac:dyDescent="0.35">
      <c r="A534" s="100">
        <f t="shared" si="8"/>
        <v>0</v>
      </c>
    </row>
    <row r="535" spans="1:1" x14ac:dyDescent="0.35">
      <c r="A535" s="100">
        <f t="shared" si="8"/>
        <v>0</v>
      </c>
    </row>
    <row r="536" spans="1:1" x14ac:dyDescent="0.35">
      <c r="A536" s="100">
        <f t="shared" si="8"/>
        <v>0</v>
      </c>
    </row>
    <row r="537" spans="1:1" x14ac:dyDescent="0.35">
      <c r="A537" s="100">
        <f t="shared" si="8"/>
        <v>0</v>
      </c>
    </row>
    <row r="538" spans="1:1" x14ac:dyDescent="0.35">
      <c r="A538" s="100">
        <f t="shared" si="8"/>
        <v>0</v>
      </c>
    </row>
    <row r="539" spans="1:1" x14ac:dyDescent="0.35">
      <c r="A539" s="100">
        <f t="shared" si="8"/>
        <v>0</v>
      </c>
    </row>
    <row r="540" spans="1:1" x14ac:dyDescent="0.35">
      <c r="A540" s="100">
        <f t="shared" si="8"/>
        <v>0</v>
      </c>
    </row>
    <row r="541" spans="1:1" x14ac:dyDescent="0.35">
      <c r="A541" s="100">
        <f t="shared" si="8"/>
        <v>0</v>
      </c>
    </row>
    <row r="542" spans="1:1" x14ac:dyDescent="0.35">
      <c r="A542" s="100">
        <f t="shared" si="8"/>
        <v>0</v>
      </c>
    </row>
    <row r="543" spans="1:1" x14ac:dyDescent="0.35">
      <c r="A543" s="100">
        <f t="shared" si="8"/>
        <v>0</v>
      </c>
    </row>
    <row r="544" spans="1:1" x14ac:dyDescent="0.35">
      <c r="A544" s="100">
        <f t="shared" si="8"/>
        <v>0</v>
      </c>
    </row>
    <row r="545" spans="1:1" x14ac:dyDescent="0.35">
      <c r="A545" s="100">
        <f t="shared" si="8"/>
        <v>0</v>
      </c>
    </row>
    <row r="546" spans="1:1" x14ac:dyDescent="0.35">
      <c r="A546" s="100">
        <f t="shared" si="8"/>
        <v>0</v>
      </c>
    </row>
    <row r="547" spans="1:1" x14ac:dyDescent="0.35">
      <c r="A547" s="100">
        <f t="shared" si="8"/>
        <v>0</v>
      </c>
    </row>
    <row r="548" spans="1:1" x14ac:dyDescent="0.35">
      <c r="A548" s="100">
        <f t="shared" si="8"/>
        <v>0</v>
      </c>
    </row>
    <row r="549" spans="1:1" x14ac:dyDescent="0.35">
      <c r="A549" s="100">
        <f t="shared" si="8"/>
        <v>0</v>
      </c>
    </row>
    <row r="550" spans="1:1" x14ac:dyDescent="0.35">
      <c r="A550" s="100">
        <f t="shared" si="8"/>
        <v>0</v>
      </c>
    </row>
    <row r="551" spans="1:1" x14ac:dyDescent="0.35">
      <c r="A551" s="100">
        <f t="shared" si="8"/>
        <v>0</v>
      </c>
    </row>
    <row r="552" spans="1:1" x14ac:dyDescent="0.35">
      <c r="A552" s="100">
        <f t="shared" si="8"/>
        <v>0</v>
      </c>
    </row>
    <row r="553" spans="1:1" x14ac:dyDescent="0.35">
      <c r="A553" s="100">
        <f t="shared" si="8"/>
        <v>0</v>
      </c>
    </row>
    <row r="554" spans="1:1" x14ac:dyDescent="0.35">
      <c r="A554" s="100">
        <f t="shared" si="8"/>
        <v>0</v>
      </c>
    </row>
    <row r="555" spans="1:1" x14ac:dyDescent="0.35">
      <c r="A555" s="100">
        <f t="shared" si="8"/>
        <v>0</v>
      </c>
    </row>
    <row r="556" spans="1:1" x14ac:dyDescent="0.35">
      <c r="A556" s="100">
        <f t="shared" si="8"/>
        <v>0</v>
      </c>
    </row>
    <row r="557" spans="1:1" x14ac:dyDescent="0.35">
      <c r="A557" s="100">
        <f t="shared" si="8"/>
        <v>0</v>
      </c>
    </row>
    <row r="558" spans="1:1" x14ac:dyDescent="0.35">
      <c r="A558" s="100">
        <f t="shared" si="8"/>
        <v>0</v>
      </c>
    </row>
    <row r="559" spans="1:1" x14ac:dyDescent="0.35">
      <c r="A559" s="100">
        <f t="shared" si="8"/>
        <v>0</v>
      </c>
    </row>
    <row r="560" spans="1:1" x14ac:dyDescent="0.35">
      <c r="A560" s="100">
        <f t="shared" si="8"/>
        <v>0</v>
      </c>
    </row>
    <row r="561" spans="1:1" x14ac:dyDescent="0.35">
      <c r="A561" s="100">
        <f t="shared" si="8"/>
        <v>0</v>
      </c>
    </row>
    <row r="562" spans="1:1" x14ac:dyDescent="0.35">
      <c r="A562" s="100">
        <f t="shared" si="8"/>
        <v>0</v>
      </c>
    </row>
    <row r="563" spans="1:1" x14ac:dyDescent="0.35">
      <c r="A563" s="100">
        <f t="shared" si="8"/>
        <v>0</v>
      </c>
    </row>
    <row r="564" spans="1:1" x14ac:dyDescent="0.35">
      <c r="A564" s="100">
        <f t="shared" si="8"/>
        <v>0</v>
      </c>
    </row>
    <row r="565" spans="1:1" x14ac:dyDescent="0.35">
      <c r="A565" s="100">
        <f t="shared" si="8"/>
        <v>0</v>
      </c>
    </row>
    <row r="566" spans="1:1" x14ac:dyDescent="0.35">
      <c r="A566" s="100">
        <f t="shared" si="8"/>
        <v>0</v>
      </c>
    </row>
    <row r="567" spans="1:1" x14ac:dyDescent="0.35">
      <c r="A567" s="100">
        <f t="shared" si="8"/>
        <v>0</v>
      </c>
    </row>
    <row r="568" spans="1:1" x14ac:dyDescent="0.35">
      <c r="A568" s="100">
        <f t="shared" si="8"/>
        <v>0</v>
      </c>
    </row>
    <row r="569" spans="1:1" x14ac:dyDescent="0.35">
      <c r="A569" s="100">
        <f t="shared" si="8"/>
        <v>0</v>
      </c>
    </row>
    <row r="570" spans="1:1" x14ac:dyDescent="0.35">
      <c r="A570" s="100">
        <f t="shared" si="8"/>
        <v>0</v>
      </c>
    </row>
    <row r="571" spans="1:1" x14ac:dyDescent="0.35">
      <c r="A571" s="100">
        <f t="shared" si="8"/>
        <v>0</v>
      </c>
    </row>
    <row r="572" spans="1:1" x14ac:dyDescent="0.35">
      <c r="A572" s="100">
        <f t="shared" si="8"/>
        <v>0</v>
      </c>
    </row>
    <row r="573" spans="1:1" x14ac:dyDescent="0.35">
      <c r="A573" s="100">
        <f t="shared" si="8"/>
        <v>0</v>
      </c>
    </row>
    <row r="574" spans="1:1" x14ac:dyDescent="0.35">
      <c r="A574" s="100">
        <f t="shared" si="8"/>
        <v>0</v>
      </c>
    </row>
    <row r="575" spans="1:1" x14ac:dyDescent="0.35">
      <c r="A575" s="100">
        <f t="shared" si="8"/>
        <v>0</v>
      </c>
    </row>
    <row r="576" spans="1:1" x14ac:dyDescent="0.35">
      <c r="A576" s="100">
        <f t="shared" si="8"/>
        <v>0</v>
      </c>
    </row>
    <row r="577" spans="1:1" x14ac:dyDescent="0.35">
      <c r="A577" s="100">
        <f t="shared" si="8"/>
        <v>0</v>
      </c>
    </row>
    <row r="578" spans="1:1" x14ac:dyDescent="0.35">
      <c r="A578" s="100">
        <f t="shared" si="8"/>
        <v>0</v>
      </c>
    </row>
    <row r="579" spans="1:1" x14ac:dyDescent="0.35">
      <c r="A579" s="100">
        <f t="shared" si="8"/>
        <v>0</v>
      </c>
    </row>
    <row r="580" spans="1:1" x14ac:dyDescent="0.35">
      <c r="A580" s="100">
        <f t="shared" ref="A580:A625" si="9">IF(LEN(B580)=8,LEFT(B580,1),0)</f>
        <v>0</v>
      </c>
    </row>
    <row r="581" spans="1:1" x14ac:dyDescent="0.35">
      <c r="A581" s="100">
        <f t="shared" si="9"/>
        <v>0</v>
      </c>
    </row>
    <row r="582" spans="1:1" x14ac:dyDescent="0.35">
      <c r="A582" s="100">
        <f t="shared" si="9"/>
        <v>0</v>
      </c>
    </row>
    <row r="583" spans="1:1" x14ac:dyDescent="0.35">
      <c r="A583" s="100">
        <f t="shared" si="9"/>
        <v>0</v>
      </c>
    </row>
    <row r="584" spans="1:1" x14ac:dyDescent="0.35">
      <c r="A584" s="100">
        <f t="shared" si="9"/>
        <v>0</v>
      </c>
    </row>
    <row r="585" spans="1:1" x14ac:dyDescent="0.35">
      <c r="A585" s="100">
        <f t="shared" si="9"/>
        <v>0</v>
      </c>
    </row>
    <row r="586" spans="1:1" x14ac:dyDescent="0.35">
      <c r="A586" s="100">
        <f t="shared" si="9"/>
        <v>0</v>
      </c>
    </row>
    <row r="587" spans="1:1" x14ac:dyDescent="0.35">
      <c r="A587" s="100">
        <f t="shared" si="9"/>
        <v>0</v>
      </c>
    </row>
    <row r="588" spans="1:1" x14ac:dyDescent="0.35">
      <c r="A588" s="100">
        <f t="shared" si="9"/>
        <v>0</v>
      </c>
    </row>
    <row r="589" spans="1:1" x14ac:dyDescent="0.35">
      <c r="A589" s="100">
        <f t="shared" si="9"/>
        <v>0</v>
      </c>
    </row>
    <row r="590" spans="1:1" x14ac:dyDescent="0.35">
      <c r="A590" s="100">
        <f t="shared" si="9"/>
        <v>0</v>
      </c>
    </row>
    <row r="591" spans="1:1" x14ac:dyDescent="0.35">
      <c r="A591" s="100">
        <f t="shared" si="9"/>
        <v>0</v>
      </c>
    </row>
    <row r="592" spans="1:1" x14ac:dyDescent="0.35">
      <c r="A592" s="100">
        <f t="shared" si="9"/>
        <v>0</v>
      </c>
    </row>
    <row r="593" spans="1:1" x14ac:dyDescent="0.35">
      <c r="A593" s="100">
        <f t="shared" si="9"/>
        <v>0</v>
      </c>
    </row>
    <row r="594" spans="1:1" x14ac:dyDescent="0.35">
      <c r="A594" s="100">
        <f t="shared" si="9"/>
        <v>0</v>
      </c>
    </row>
    <row r="595" spans="1:1" x14ac:dyDescent="0.35">
      <c r="A595" s="100">
        <f t="shared" si="9"/>
        <v>0</v>
      </c>
    </row>
    <row r="596" spans="1:1" x14ac:dyDescent="0.35">
      <c r="A596" s="100">
        <f t="shared" si="9"/>
        <v>0</v>
      </c>
    </row>
    <row r="597" spans="1:1" x14ac:dyDescent="0.35">
      <c r="A597" s="100">
        <f t="shared" si="9"/>
        <v>0</v>
      </c>
    </row>
    <row r="598" spans="1:1" x14ac:dyDescent="0.35">
      <c r="A598" s="100">
        <f t="shared" si="9"/>
        <v>0</v>
      </c>
    </row>
    <row r="599" spans="1:1" x14ac:dyDescent="0.35">
      <c r="A599" s="100">
        <f t="shared" si="9"/>
        <v>0</v>
      </c>
    </row>
    <row r="600" spans="1:1" x14ac:dyDescent="0.35">
      <c r="A600" s="100">
        <f t="shared" si="9"/>
        <v>0</v>
      </c>
    </row>
    <row r="601" spans="1:1" x14ac:dyDescent="0.35">
      <c r="A601" s="100">
        <f t="shared" si="9"/>
        <v>0</v>
      </c>
    </row>
    <row r="602" spans="1:1" x14ac:dyDescent="0.35">
      <c r="A602" s="100">
        <f t="shared" si="9"/>
        <v>0</v>
      </c>
    </row>
    <row r="603" spans="1:1" x14ac:dyDescent="0.35">
      <c r="A603" s="100">
        <f t="shared" si="9"/>
        <v>0</v>
      </c>
    </row>
    <row r="604" spans="1:1" x14ac:dyDescent="0.35">
      <c r="A604" s="100">
        <f t="shared" si="9"/>
        <v>0</v>
      </c>
    </row>
    <row r="605" spans="1:1" x14ac:dyDescent="0.35">
      <c r="A605" s="100">
        <f t="shared" si="9"/>
        <v>0</v>
      </c>
    </row>
    <row r="606" spans="1:1" x14ac:dyDescent="0.35">
      <c r="A606" s="100">
        <f t="shared" si="9"/>
        <v>0</v>
      </c>
    </row>
    <row r="607" spans="1:1" x14ac:dyDescent="0.35">
      <c r="A607" s="100">
        <f t="shared" si="9"/>
        <v>0</v>
      </c>
    </row>
    <row r="608" spans="1:1" x14ac:dyDescent="0.35">
      <c r="A608" s="100">
        <f t="shared" si="9"/>
        <v>0</v>
      </c>
    </row>
    <row r="609" spans="1:1" x14ac:dyDescent="0.35">
      <c r="A609" s="100">
        <f t="shared" si="9"/>
        <v>0</v>
      </c>
    </row>
    <row r="610" spans="1:1" x14ac:dyDescent="0.35">
      <c r="A610" s="100">
        <f t="shared" si="9"/>
        <v>0</v>
      </c>
    </row>
    <row r="611" spans="1:1" x14ac:dyDescent="0.35">
      <c r="A611" s="100">
        <f t="shared" si="9"/>
        <v>0</v>
      </c>
    </row>
    <row r="612" spans="1:1" x14ac:dyDescent="0.35">
      <c r="A612" s="100">
        <f t="shared" si="9"/>
        <v>0</v>
      </c>
    </row>
    <row r="613" spans="1:1" x14ac:dyDescent="0.35">
      <c r="A613" s="100">
        <f t="shared" si="9"/>
        <v>0</v>
      </c>
    </row>
    <row r="614" spans="1:1" x14ac:dyDescent="0.35">
      <c r="A614" s="100">
        <f t="shared" si="9"/>
        <v>0</v>
      </c>
    </row>
    <row r="615" spans="1:1" x14ac:dyDescent="0.35">
      <c r="A615" s="100">
        <f t="shared" si="9"/>
        <v>0</v>
      </c>
    </row>
    <row r="616" spans="1:1" x14ac:dyDescent="0.35">
      <c r="A616" s="100">
        <f t="shared" si="9"/>
        <v>0</v>
      </c>
    </row>
    <row r="617" spans="1:1" x14ac:dyDescent="0.35">
      <c r="A617" s="100">
        <f t="shared" si="9"/>
        <v>0</v>
      </c>
    </row>
    <row r="618" spans="1:1" x14ac:dyDescent="0.35">
      <c r="A618" s="100">
        <f t="shared" si="9"/>
        <v>0</v>
      </c>
    </row>
    <row r="619" spans="1:1" x14ac:dyDescent="0.35">
      <c r="A619" s="100">
        <f t="shared" si="9"/>
        <v>0</v>
      </c>
    </row>
    <row r="620" spans="1:1" x14ac:dyDescent="0.35">
      <c r="A620" s="100">
        <f t="shared" si="9"/>
        <v>0</v>
      </c>
    </row>
    <row r="621" spans="1:1" x14ac:dyDescent="0.35">
      <c r="A621" s="100">
        <f t="shared" si="9"/>
        <v>0</v>
      </c>
    </row>
    <row r="622" spans="1:1" x14ac:dyDescent="0.35">
      <c r="A622" s="100">
        <f t="shared" si="9"/>
        <v>0</v>
      </c>
    </row>
    <row r="623" spans="1:1" x14ac:dyDescent="0.35">
      <c r="A623" s="100">
        <f t="shared" si="9"/>
        <v>0</v>
      </c>
    </row>
    <row r="624" spans="1:1" x14ac:dyDescent="0.35">
      <c r="A624" s="100">
        <f t="shared" si="9"/>
        <v>0</v>
      </c>
    </row>
    <row r="625" spans="1:1" x14ac:dyDescent="0.35">
      <c r="A625" s="100">
        <f t="shared" si="9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609E-C35D-4666-A00E-96A4A44F9033}">
  <dimension ref="A1:H168"/>
  <sheetViews>
    <sheetView showGridLines="0" workbookViewId="0">
      <selection activeCell="B1" sqref="B1:H1048576"/>
    </sheetView>
  </sheetViews>
  <sheetFormatPr defaultRowHeight="14.5" x14ac:dyDescent="0.35"/>
  <cols>
    <col min="1" max="1" width="3.1796875" customWidth="1"/>
    <col min="2" max="2" width="26.54296875" bestFit="1" customWidth="1"/>
    <col min="3" max="3" width="21.7265625" bestFit="1" customWidth="1"/>
    <col min="4" max="4" width="13.36328125" bestFit="1" customWidth="1"/>
    <col min="5" max="5" width="13.26953125" bestFit="1" customWidth="1"/>
    <col min="6" max="6" width="14.1796875" bestFit="1" customWidth="1"/>
    <col min="7" max="7" width="12" bestFit="1" customWidth="1"/>
    <col min="8" max="8" width="19.7265625" bestFit="1" customWidth="1"/>
  </cols>
  <sheetData>
    <row r="1" spans="1:8" x14ac:dyDescent="0.35">
      <c r="B1" s="96" t="s">
        <v>85</v>
      </c>
      <c r="C1" s="96"/>
      <c r="D1" s="96"/>
      <c r="E1" s="96"/>
      <c r="F1" s="96"/>
      <c r="G1" s="96"/>
      <c r="H1" s="96"/>
    </row>
    <row r="2" spans="1:8" x14ac:dyDescent="0.35">
      <c r="B2" s="6"/>
      <c r="C2" s="6" t="s">
        <v>87</v>
      </c>
      <c r="D2" s="7" t="s">
        <v>296</v>
      </c>
      <c r="E2" s="7" t="s">
        <v>296</v>
      </c>
      <c r="F2" s="7" t="s">
        <v>296</v>
      </c>
      <c r="G2" s="7" t="s">
        <v>296</v>
      </c>
      <c r="H2" s="7" t="s">
        <v>296</v>
      </c>
    </row>
    <row r="3" spans="1:8" x14ac:dyDescent="0.35">
      <c r="A3" t="str">
        <f t="shared" ref="A3:A66" si="0">LEFT(B3,1)</f>
        <v>C</v>
      </c>
      <c r="B3" s="6" t="s">
        <v>0</v>
      </c>
      <c r="C3" s="6" t="s">
        <v>86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</row>
    <row r="4" spans="1:8" x14ac:dyDescent="0.35">
      <c r="A4" t="str">
        <f t="shared" si="0"/>
        <v>C</v>
      </c>
      <c r="B4" s="8" t="s">
        <v>98</v>
      </c>
      <c r="C4" s="9" t="s">
        <v>99</v>
      </c>
      <c r="D4" s="39">
        <v>-758085.45</v>
      </c>
      <c r="E4" s="39">
        <v>1327124.75</v>
      </c>
      <c r="F4" s="39">
        <v>1192194.03</v>
      </c>
      <c r="G4" s="39">
        <v>134930.72</v>
      </c>
      <c r="H4" s="40">
        <v>-623154.73</v>
      </c>
    </row>
    <row r="5" spans="1:8" x14ac:dyDescent="0.35">
      <c r="A5" t="str">
        <f t="shared" si="0"/>
        <v>C</v>
      </c>
      <c r="B5" s="10" t="s">
        <v>100</v>
      </c>
      <c r="C5" s="11" t="s">
        <v>101</v>
      </c>
      <c r="D5" s="39">
        <v>1960085.43</v>
      </c>
      <c r="E5" s="39">
        <v>769200</v>
      </c>
      <c r="F5" s="39">
        <v>632647.65</v>
      </c>
      <c r="G5" s="39">
        <v>136552.35</v>
      </c>
      <c r="H5" s="40">
        <v>2096637.78</v>
      </c>
    </row>
    <row r="6" spans="1:8" x14ac:dyDescent="0.35">
      <c r="A6" t="str">
        <f t="shared" si="0"/>
        <v>C</v>
      </c>
      <c r="B6" s="12" t="s">
        <v>102</v>
      </c>
      <c r="C6" s="13" t="s">
        <v>103</v>
      </c>
      <c r="D6" s="39">
        <v>1582307.64</v>
      </c>
      <c r="E6" s="39">
        <v>768671.32</v>
      </c>
      <c r="F6" s="39">
        <v>621007.86</v>
      </c>
      <c r="G6" s="39">
        <v>147663.46</v>
      </c>
      <c r="H6" s="40">
        <v>1729971.1</v>
      </c>
    </row>
    <row r="7" spans="1:8" x14ac:dyDescent="0.35">
      <c r="A7" t="str">
        <f t="shared" si="0"/>
        <v>C</v>
      </c>
      <c r="B7" s="14" t="s">
        <v>104</v>
      </c>
      <c r="C7" s="15" t="s">
        <v>105</v>
      </c>
      <c r="D7" s="39">
        <v>8107.55</v>
      </c>
      <c r="E7" s="39">
        <v>671256.24</v>
      </c>
      <c r="F7" s="39">
        <v>620998.81000000006</v>
      </c>
      <c r="G7" s="39">
        <v>50257.43</v>
      </c>
      <c r="H7" s="40">
        <v>58364.98</v>
      </c>
    </row>
    <row r="8" spans="1:8" x14ac:dyDescent="0.35">
      <c r="A8" t="str">
        <f t="shared" si="0"/>
        <v>C</v>
      </c>
      <c r="B8" s="16" t="s">
        <v>106</v>
      </c>
      <c r="C8" s="15" t="s">
        <v>107</v>
      </c>
      <c r="D8" s="39">
        <v>8107.55</v>
      </c>
      <c r="E8" s="39">
        <v>671256.24</v>
      </c>
      <c r="F8" s="39">
        <v>620998.81000000006</v>
      </c>
      <c r="G8" s="39">
        <v>50257.43</v>
      </c>
      <c r="H8" s="40">
        <v>58364.98</v>
      </c>
    </row>
    <row r="9" spans="1:8" x14ac:dyDescent="0.35">
      <c r="A9" t="str">
        <f t="shared" si="0"/>
        <v>C</v>
      </c>
      <c r="B9" s="17" t="s">
        <v>108</v>
      </c>
      <c r="C9" s="15" t="s">
        <v>107</v>
      </c>
      <c r="D9" s="39">
        <v>8107.55</v>
      </c>
      <c r="E9" s="39">
        <v>671256.24</v>
      </c>
      <c r="F9" s="39">
        <v>620998.81000000006</v>
      </c>
      <c r="G9" s="39">
        <v>50257.43</v>
      </c>
      <c r="H9" s="40">
        <v>58364.98</v>
      </c>
    </row>
    <row r="10" spans="1:8" x14ac:dyDescent="0.35">
      <c r="A10" t="str">
        <f t="shared" si="0"/>
        <v>1</v>
      </c>
      <c r="B10" s="37">
        <v>11131050</v>
      </c>
      <c r="C10" s="15" t="s">
        <v>1</v>
      </c>
      <c r="D10" s="39">
        <v>15479.85</v>
      </c>
      <c r="E10" s="39">
        <v>109949.19</v>
      </c>
      <c r="F10" s="39">
        <v>101220.56</v>
      </c>
      <c r="G10" s="39">
        <v>8728.6299999999992</v>
      </c>
      <c r="H10" s="40">
        <v>24208.48</v>
      </c>
    </row>
    <row r="11" spans="1:8" x14ac:dyDescent="0.35">
      <c r="A11" t="str">
        <f t="shared" si="0"/>
        <v>1</v>
      </c>
      <c r="B11" s="37">
        <v>11131090</v>
      </c>
      <c r="C11" s="15" t="s">
        <v>64</v>
      </c>
      <c r="D11" s="39">
        <v>9954.11</v>
      </c>
      <c r="E11" s="39">
        <v>42818.33</v>
      </c>
      <c r="F11" s="39">
        <v>195.7</v>
      </c>
      <c r="G11" s="39">
        <v>42622.63</v>
      </c>
      <c r="H11" s="40">
        <v>52576.74</v>
      </c>
    </row>
    <row r="12" spans="1:8" x14ac:dyDescent="0.35">
      <c r="A12" t="str">
        <f t="shared" si="0"/>
        <v>1</v>
      </c>
      <c r="B12" s="37">
        <v>11132050</v>
      </c>
      <c r="C12" s="15" t="s">
        <v>1</v>
      </c>
      <c r="D12" s="39">
        <v>-17317.36</v>
      </c>
      <c r="E12" s="39">
        <v>311733.68</v>
      </c>
      <c r="F12" s="39">
        <v>312837.56</v>
      </c>
      <c r="G12" s="39">
        <v>-1103.8800000000001</v>
      </c>
      <c r="H12" s="40">
        <v>-18421.240000000002</v>
      </c>
    </row>
    <row r="13" spans="1:8" x14ac:dyDescent="0.35">
      <c r="A13" t="str">
        <f t="shared" si="0"/>
        <v>1</v>
      </c>
      <c r="B13" s="37">
        <v>11132090</v>
      </c>
      <c r="C13" s="15" t="s">
        <v>64</v>
      </c>
      <c r="D13" s="39">
        <v>-9.0500000000000007</v>
      </c>
      <c r="E13" s="39">
        <v>84489.14</v>
      </c>
      <c r="F13" s="39">
        <v>84480.09</v>
      </c>
      <c r="G13" s="39">
        <v>9.0500000000000007</v>
      </c>
      <c r="H13" s="42">
        <v>0</v>
      </c>
    </row>
    <row r="14" spans="1:8" x14ac:dyDescent="0.35">
      <c r="A14" t="str">
        <f t="shared" si="0"/>
        <v>1</v>
      </c>
      <c r="B14" s="37">
        <v>11133050</v>
      </c>
      <c r="C14" s="15" t="s">
        <v>2</v>
      </c>
      <c r="D14" s="41">
        <v>0</v>
      </c>
      <c r="E14" s="39">
        <v>122257.12</v>
      </c>
      <c r="F14" s="39">
        <v>122256.12</v>
      </c>
      <c r="G14" s="39">
        <v>1</v>
      </c>
      <c r="H14" s="40">
        <v>1</v>
      </c>
    </row>
    <row r="15" spans="1:8" x14ac:dyDescent="0.35">
      <c r="A15" t="str">
        <f t="shared" si="0"/>
        <v>1</v>
      </c>
      <c r="B15" s="37">
        <v>11133090</v>
      </c>
      <c r="C15" s="15" t="s">
        <v>64</v>
      </c>
      <c r="D15" s="41">
        <v>0</v>
      </c>
      <c r="E15" s="39">
        <v>8.7799999999999994</v>
      </c>
      <c r="F15" s="39">
        <v>8.7799999999999994</v>
      </c>
      <c r="G15" s="41">
        <v>0</v>
      </c>
      <c r="H15" s="42">
        <v>0</v>
      </c>
    </row>
    <row r="16" spans="1:8" x14ac:dyDescent="0.35">
      <c r="A16" t="str">
        <f t="shared" si="0"/>
        <v>C</v>
      </c>
      <c r="B16" s="14" t="s">
        <v>109</v>
      </c>
      <c r="C16" s="15" t="s">
        <v>110</v>
      </c>
      <c r="D16" s="39">
        <v>528893.79</v>
      </c>
      <c r="E16" s="39">
        <v>86200.26</v>
      </c>
      <c r="F16" s="41">
        <v>0</v>
      </c>
      <c r="G16" s="39">
        <v>86200.26</v>
      </c>
      <c r="H16" s="40">
        <v>615094.05000000005</v>
      </c>
    </row>
    <row r="17" spans="1:8" x14ac:dyDescent="0.35">
      <c r="A17" t="str">
        <f t="shared" si="0"/>
        <v>C</v>
      </c>
      <c r="B17" s="16" t="s">
        <v>111</v>
      </c>
      <c r="C17" s="15" t="s">
        <v>112</v>
      </c>
      <c r="D17" s="39">
        <v>528893.79</v>
      </c>
      <c r="E17" s="39">
        <v>86200.26</v>
      </c>
      <c r="F17" s="41">
        <v>0</v>
      </c>
      <c r="G17" s="39">
        <v>86200.26</v>
      </c>
      <c r="H17" s="40">
        <v>615094.05000000005</v>
      </c>
    </row>
    <row r="18" spans="1:8" x14ac:dyDescent="0.35">
      <c r="A18" t="str">
        <f t="shared" si="0"/>
        <v>C</v>
      </c>
      <c r="B18" s="17" t="s">
        <v>113</v>
      </c>
      <c r="C18" s="15" t="s">
        <v>114</v>
      </c>
      <c r="D18" s="39">
        <v>528893.79</v>
      </c>
      <c r="E18" s="39">
        <v>86200.26</v>
      </c>
      <c r="F18" s="41">
        <v>0</v>
      </c>
      <c r="G18" s="39">
        <v>86200.26</v>
      </c>
      <c r="H18" s="40">
        <v>615094.05000000005</v>
      </c>
    </row>
    <row r="19" spans="1:8" x14ac:dyDescent="0.35">
      <c r="A19" t="str">
        <f t="shared" si="0"/>
        <v>C</v>
      </c>
      <c r="B19" s="37" t="s">
        <v>115</v>
      </c>
      <c r="C19" s="15" t="s">
        <v>116</v>
      </c>
      <c r="D19" s="39">
        <v>528893.79</v>
      </c>
      <c r="E19" s="39">
        <v>86200.26</v>
      </c>
      <c r="F19" s="41">
        <v>0</v>
      </c>
      <c r="G19" s="39">
        <v>86200.26</v>
      </c>
      <c r="H19" s="40">
        <v>615094.05000000005</v>
      </c>
    </row>
    <row r="20" spans="1:8" x14ac:dyDescent="0.35">
      <c r="A20" t="str">
        <f t="shared" si="0"/>
        <v>C</v>
      </c>
      <c r="B20" s="105" t="s">
        <v>117</v>
      </c>
      <c r="C20" s="15" t="s">
        <v>118</v>
      </c>
      <c r="D20" s="39">
        <v>528893.79</v>
      </c>
      <c r="E20" s="39">
        <v>86200.26</v>
      </c>
      <c r="F20" s="41">
        <v>0</v>
      </c>
      <c r="G20" s="39">
        <v>86200.26</v>
      </c>
      <c r="H20" s="40">
        <v>615094.05000000005</v>
      </c>
    </row>
    <row r="21" spans="1:8" x14ac:dyDescent="0.35">
      <c r="A21" t="str">
        <f t="shared" si="0"/>
        <v>1</v>
      </c>
      <c r="B21" s="106">
        <v>11240001</v>
      </c>
      <c r="C21" s="15" t="s">
        <v>3</v>
      </c>
      <c r="D21" s="39">
        <v>528893.79</v>
      </c>
      <c r="E21" s="39">
        <v>86200.26</v>
      </c>
      <c r="F21" s="41">
        <v>0</v>
      </c>
      <c r="G21" s="39">
        <v>86200.26</v>
      </c>
      <c r="H21" s="40">
        <v>615094.05000000005</v>
      </c>
    </row>
    <row r="22" spans="1:8" x14ac:dyDescent="0.35">
      <c r="A22" t="str">
        <f t="shared" si="0"/>
        <v>C</v>
      </c>
      <c r="B22" s="14" t="s">
        <v>119</v>
      </c>
      <c r="C22" s="15" t="s">
        <v>120</v>
      </c>
      <c r="D22" s="41">
        <v>0</v>
      </c>
      <c r="E22" s="39">
        <v>9.0500000000000007</v>
      </c>
      <c r="F22" s="39">
        <v>9.0500000000000007</v>
      </c>
      <c r="G22" s="41">
        <v>0</v>
      </c>
      <c r="H22" s="42">
        <v>0</v>
      </c>
    </row>
    <row r="23" spans="1:8" x14ac:dyDescent="0.35">
      <c r="A23" t="str">
        <f t="shared" si="0"/>
        <v>C</v>
      </c>
      <c r="B23" s="16" t="s">
        <v>121</v>
      </c>
      <c r="C23" s="15" t="s">
        <v>122</v>
      </c>
      <c r="D23" s="41">
        <v>0</v>
      </c>
      <c r="E23" s="39">
        <v>9.0500000000000007</v>
      </c>
      <c r="F23" s="39">
        <v>9.0500000000000007</v>
      </c>
      <c r="G23" s="41">
        <v>0</v>
      </c>
      <c r="H23" s="42">
        <v>0</v>
      </c>
    </row>
    <row r="24" spans="1:8" x14ac:dyDescent="0.35">
      <c r="A24" t="str">
        <f t="shared" si="0"/>
        <v>C</v>
      </c>
      <c r="B24" s="17" t="s">
        <v>123</v>
      </c>
      <c r="C24" s="15" t="s">
        <v>124</v>
      </c>
      <c r="D24" s="41">
        <v>0</v>
      </c>
      <c r="E24" s="39">
        <v>9.0500000000000007</v>
      </c>
      <c r="F24" s="39">
        <v>9.0500000000000007</v>
      </c>
      <c r="G24" s="41">
        <v>0</v>
      </c>
      <c r="H24" s="42">
        <v>0</v>
      </c>
    </row>
    <row r="25" spans="1:8" x14ac:dyDescent="0.35">
      <c r="A25" t="str">
        <f t="shared" si="0"/>
        <v>1</v>
      </c>
      <c r="B25" s="37">
        <v>11391098</v>
      </c>
      <c r="C25" s="15" t="s">
        <v>5</v>
      </c>
      <c r="D25" s="41">
        <v>0</v>
      </c>
      <c r="E25" s="39">
        <v>9.0500000000000007</v>
      </c>
      <c r="F25" s="39">
        <v>9.0500000000000007</v>
      </c>
      <c r="G25" s="41">
        <v>0</v>
      </c>
      <c r="H25" s="42">
        <v>0</v>
      </c>
    </row>
    <row r="26" spans="1:8" x14ac:dyDescent="0.35">
      <c r="A26" t="str">
        <f t="shared" si="0"/>
        <v>C</v>
      </c>
      <c r="B26" s="14" t="s">
        <v>125</v>
      </c>
      <c r="C26" s="15" t="s">
        <v>126</v>
      </c>
      <c r="D26" s="39">
        <v>1045306.3</v>
      </c>
      <c r="E26" s="39">
        <v>11205.77</v>
      </c>
      <c r="F26" s="41">
        <v>0</v>
      </c>
      <c r="G26" s="39">
        <v>11205.77</v>
      </c>
      <c r="H26" s="40">
        <v>1056512.07</v>
      </c>
    </row>
    <row r="27" spans="1:8" x14ac:dyDescent="0.35">
      <c r="A27" t="str">
        <f t="shared" si="0"/>
        <v>C</v>
      </c>
      <c r="B27" s="16" t="s">
        <v>127</v>
      </c>
      <c r="C27" s="15" t="s">
        <v>128</v>
      </c>
      <c r="D27" s="39">
        <v>158968.63</v>
      </c>
      <c r="E27" s="41">
        <v>0</v>
      </c>
      <c r="F27" s="41">
        <v>0</v>
      </c>
      <c r="G27" s="41">
        <v>0</v>
      </c>
      <c r="H27" s="40">
        <v>158968.63</v>
      </c>
    </row>
    <row r="28" spans="1:8" x14ac:dyDescent="0.35">
      <c r="A28" t="str">
        <f t="shared" si="0"/>
        <v>C</v>
      </c>
      <c r="B28" s="17" t="s">
        <v>129</v>
      </c>
      <c r="C28" s="15" t="s">
        <v>130</v>
      </c>
      <c r="D28" s="39">
        <v>158968.63</v>
      </c>
      <c r="E28" s="41">
        <v>0</v>
      </c>
      <c r="F28" s="41">
        <v>0</v>
      </c>
      <c r="G28" s="41">
        <v>0</v>
      </c>
      <c r="H28" s="40">
        <v>158968.63</v>
      </c>
    </row>
    <row r="29" spans="1:8" x14ac:dyDescent="0.35">
      <c r="A29" t="str">
        <f t="shared" si="0"/>
        <v>1</v>
      </c>
      <c r="B29" s="37">
        <v>11610099</v>
      </c>
      <c r="C29" s="15" t="s">
        <v>6</v>
      </c>
      <c r="D29" s="39">
        <v>158968.63</v>
      </c>
      <c r="E29" s="41">
        <v>0</v>
      </c>
      <c r="F29" s="41">
        <v>0</v>
      </c>
      <c r="G29" s="41">
        <v>0</v>
      </c>
      <c r="H29" s="40">
        <v>158968.63</v>
      </c>
    </row>
    <row r="30" spans="1:8" x14ac:dyDescent="0.35">
      <c r="A30" t="str">
        <f t="shared" si="0"/>
        <v>C</v>
      </c>
      <c r="B30" s="16" t="s">
        <v>131</v>
      </c>
      <c r="C30" s="15" t="s">
        <v>132</v>
      </c>
      <c r="D30" s="39">
        <v>886337.67</v>
      </c>
      <c r="E30" s="39">
        <v>11205.77</v>
      </c>
      <c r="F30" s="41">
        <v>0</v>
      </c>
      <c r="G30" s="39">
        <v>11205.77</v>
      </c>
      <c r="H30" s="40">
        <v>897543.44</v>
      </c>
    </row>
    <row r="31" spans="1:8" x14ac:dyDescent="0.35">
      <c r="A31" t="str">
        <f t="shared" si="0"/>
        <v>C</v>
      </c>
      <c r="B31" s="17" t="s">
        <v>133</v>
      </c>
      <c r="C31" s="15" t="s">
        <v>134</v>
      </c>
      <c r="D31" s="39">
        <v>131562.4</v>
      </c>
      <c r="E31" s="39">
        <v>3399.58</v>
      </c>
      <c r="F31" s="41">
        <v>0</v>
      </c>
      <c r="G31" s="39">
        <v>3399.58</v>
      </c>
      <c r="H31" s="40">
        <v>134961.98000000001</v>
      </c>
    </row>
    <row r="32" spans="1:8" x14ac:dyDescent="0.35">
      <c r="A32" t="str">
        <f t="shared" si="0"/>
        <v>C</v>
      </c>
      <c r="B32" s="37" t="s">
        <v>135</v>
      </c>
      <c r="C32" s="15" t="s">
        <v>136</v>
      </c>
      <c r="D32" s="39">
        <v>101235.55</v>
      </c>
      <c r="E32" s="39">
        <v>3399.58</v>
      </c>
      <c r="F32" s="41">
        <v>0</v>
      </c>
      <c r="G32" s="39">
        <v>3399.58</v>
      </c>
      <c r="H32" s="40">
        <v>104635.13</v>
      </c>
    </row>
    <row r="33" spans="1:8" x14ac:dyDescent="0.35">
      <c r="A33" t="str">
        <f t="shared" si="0"/>
        <v>1</v>
      </c>
      <c r="B33" s="105">
        <v>11641001</v>
      </c>
      <c r="C33" s="15" t="s">
        <v>54</v>
      </c>
      <c r="D33" s="39">
        <v>101235.55</v>
      </c>
      <c r="E33" s="39">
        <v>3399.58</v>
      </c>
      <c r="F33" s="41">
        <v>0</v>
      </c>
      <c r="G33" s="39">
        <v>3399.58</v>
      </c>
      <c r="H33" s="40">
        <v>104635.13</v>
      </c>
    </row>
    <row r="34" spans="1:8" x14ac:dyDescent="0.35">
      <c r="A34" t="str">
        <f t="shared" si="0"/>
        <v>C</v>
      </c>
      <c r="B34" s="37" t="s">
        <v>297</v>
      </c>
      <c r="C34" s="15" t="s">
        <v>298</v>
      </c>
      <c r="D34" s="39">
        <v>30326.85</v>
      </c>
      <c r="E34" s="41">
        <v>0</v>
      </c>
      <c r="F34" s="41">
        <v>0</v>
      </c>
      <c r="G34" s="41">
        <v>0</v>
      </c>
      <c r="H34" s="40">
        <v>30326.85</v>
      </c>
    </row>
    <row r="35" spans="1:8" x14ac:dyDescent="0.35">
      <c r="A35" t="str">
        <f t="shared" si="0"/>
        <v>1</v>
      </c>
      <c r="B35" s="105">
        <v>11641002</v>
      </c>
      <c r="C35" s="15" t="s">
        <v>39</v>
      </c>
      <c r="D35" s="39">
        <v>30326.85</v>
      </c>
      <c r="E35" s="41">
        <v>0</v>
      </c>
      <c r="F35" s="41">
        <v>0</v>
      </c>
      <c r="G35" s="41">
        <v>0</v>
      </c>
      <c r="H35" s="40">
        <v>30326.85</v>
      </c>
    </row>
    <row r="36" spans="1:8" x14ac:dyDescent="0.35">
      <c r="A36" t="str">
        <f t="shared" si="0"/>
        <v>C</v>
      </c>
      <c r="B36" s="17" t="s">
        <v>137</v>
      </c>
      <c r="C36" s="15" t="s">
        <v>138</v>
      </c>
      <c r="D36" s="39">
        <v>754775.27</v>
      </c>
      <c r="E36" s="39">
        <v>7806.19</v>
      </c>
      <c r="F36" s="41">
        <v>0</v>
      </c>
      <c r="G36" s="39">
        <v>7806.19</v>
      </c>
      <c r="H36" s="40">
        <v>762581.46</v>
      </c>
    </row>
    <row r="37" spans="1:8" x14ac:dyDescent="0.35">
      <c r="A37" t="str">
        <f t="shared" si="0"/>
        <v>C</v>
      </c>
      <c r="B37" s="37" t="s">
        <v>139</v>
      </c>
      <c r="C37" s="15" t="s">
        <v>140</v>
      </c>
      <c r="D37" s="39">
        <v>740918.81</v>
      </c>
      <c r="E37" s="39">
        <v>7806.19</v>
      </c>
      <c r="F37" s="41">
        <v>0</v>
      </c>
      <c r="G37" s="39">
        <v>7806.19</v>
      </c>
      <c r="H37" s="40">
        <v>748725</v>
      </c>
    </row>
    <row r="38" spans="1:8" x14ac:dyDescent="0.35">
      <c r="A38" t="str">
        <f t="shared" si="0"/>
        <v>1</v>
      </c>
      <c r="B38" s="105">
        <v>11642001</v>
      </c>
      <c r="C38" s="15" t="s">
        <v>46</v>
      </c>
      <c r="D38" s="39">
        <v>740918.81</v>
      </c>
      <c r="E38" s="39">
        <v>7806.19</v>
      </c>
      <c r="F38" s="41">
        <v>0</v>
      </c>
      <c r="G38" s="39">
        <v>7806.19</v>
      </c>
      <c r="H38" s="40">
        <v>748725</v>
      </c>
    </row>
    <row r="39" spans="1:8" x14ac:dyDescent="0.35">
      <c r="A39" t="str">
        <f t="shared" si="0"/>
        <v>C</v>
      </c>
      <c r="B39" s="37" t="s">
        <v>299</v>
      </c>
      <c r="C39" s="15" t="s">
        <v>300</v>
      </c>
      <c r="D39" s="39">
        <v>13856.46</v>
      </c>
      <c r="E39" s="41">
        <v>0</v>
      </c>
      <c r="F39" s="41">
        <v>0</v>
      </c>
      <c r="G39" s="41">
        <v>0</v>
      </c>
      <c r="H39" s="40">
        <v>13856.46</v>
      </c>
    </row>
    <row r="40" spans="1:8" x14ac:dyDescent="0.35">
      <c r="A40" t="str">
        <f t="shared" si="0"/>
        <v>1</v>
      </c>
      <c r="B40" s="105">
        <v>11642002</v>
      </c>
      <c r="C40" s="15" t="s">
        <v>40</v>
      </c>
      <c r="D40" s="39">
        <v>13856.46</v>
      </c>
      <c r="E40" s="41">
        <v>0</v>
      </c>
      <c r="F40" s="41">
        <v>0</v>
      </c>
      <c r="G40" s="41">
        <v>0</v>
      </c>
      <c r="H40" s="40">
        <v>13856.46</v>
      </c>
    </row>
    <row r="41" spans="1:8" x14ac:dyDescent="0.35">
      <c r="A41" t="str">
        <f t="shared" si="0"/>
        <v>C</v>
      </c>
      <c r="B41" s="12" t="s">
        <v>141</v>
      </c>
      <c r="C41" s="13" t="s">
        <v>142</v>
      </c>
      <c r="D41" s="39">
        <v>377777.79</v>
      </c>
      <c r="E41" s="39">
        <v>528.67999999999995</v>
      </c>
      <c r="F41" s="39">
        <v>11639.79</v>
      </c>
      <c r="G41" s="39">
        <v>-11111.11</v>
      </c>
      <c r="H41" s="40">
        <v>366666.68</v>
      </c>
    </row>
    <row r="42" spans="1:8" x14ac:dyDescent="0.35">
      <c r="A42" t="str">
        <f t="shared" si="0"/>
        <v>C</v>
      </c>
      <c r="B42" s="14" t="s">
        <v>143</v>
      </c>
      <c r="C42" s="15" t="s">
        <v>144</v>
      </c>
      <c r="D42" s="39">
        <v>377777.79</v>
      </c>
      <c r="E42" s="39">
        <v>528.67999999999995</v>
      </c>
      <c r="F42" s="39">
        <v>11639.79</v>
      </c>
      <c r="G42" s="39">
        <v>-11111.11</v>
      </c>
      <c r="H42" s="40">
        <v>366666.68</v>
      </c>
    </row>
    <row r="43" spans="1:8" x14ac:dyDescent="0.35">
      <c r="A43" t="str">
        <f t="shared" si="0"/>
        <v>C</v>
      </c>
      <c r="B43" s="16" t="s">
        <v>145</v>
      </c>
      <c r="C43" s="15" t="s">
        <v>126</v>
      </c>
      <c r="D43" s="39">
        <v>377777.79</v>
      </c>
      <c r="E43" s="39">
        <v>528.67999999999995</v>
      </c>
      <c r="F43" s="39">
        <v>11639.79</v>
      </c>
      <c r="G43" s="39">
        <v>-11111.11</v>
      </c>
      <c r="H43" s="40">
        <v>366666.68</v>
      </c>
    </row>
    <row r="44" spans="1:8" x14ac:dyDescent="0.35">
      <c r="A44" t="str">
        <f t="shared" si="0"/>
        <v>C</v>
      </c>
      <c r="B44" s="17" t="s">
        <v>146</v>
      </c>
      <c r="C44" s="15" t="s">
        <v>128</v>
      </c>
      <c r="D44" s="39">
        <v>377777.79</v>
      </c>
      <c r="E44" s="39">
        <v>528.67999999999995</v>
      </c>
      <c r="F44" s="39">
        <v>11639.79</v>
      </c>
      <c r="G44" s="39">
        <v>-11111.11</v>
      </c>
      <c r="H44" s="40">
        <v>366666.68</v>
      </c>
    </row>
    <row r="45" spans="1:8" x14ac:dyDescent="0.35">
      <c r="A45" t="str">
        <f t="shared" si="0"/>
        <v>C</v>
      </c>
      <c r="B45" s="37" t="s">
        <v>147</v>
      </c>
      <c r="C45" s="15" t="s">
        <v>128</v>
      </c>
      <c r="D45" s="39">
        <v>377777.79</v>
      </c>
      <c r="E45" s="39">
        <v>528.67999999999995</v>
      </c>
      <c r="F45" s="39">
        <v>11639.79</v>
      </c>
      <c r="G45" s="39">
        <v>-11111.11</v>
      </c>
      <c r="H45" s="40">
        <v>366666.68</v>
      </c>
    </row>
    <row r="46" spans="1:8" x14ac:dyDescent="0.35">
      <c r="A46" t="str">
        <f t="shared" si="0"/>
        <v>1</v>
      </c>
      <c r="B46" s="105">
        <v>12610001</v>
      </c>
      <c r="C46" s="15" t="s">
        <v>12</v>
      </c>
      <c r="D46" s="39">
        <v>377777.79</v>
      </c>
      <c r="E46" s="39">
        <v>528.67999999999995</v>
      </c>
      <c r="F46" s="39">
        <v>11639.79</v>
      </c>
      <c r="G46" s="39">
        <v>-11111.11</v>
      </c>
      <c r="H46" s="40">
        <v>366666.68</v>
      </c>
    </row>
    <row r="47" spans="1:8" x14ac:dyDescent="0.35">
      <c r="A47" t="str">
        <f t="shared" si="0"/>
        <v>C</v>
      </c>
      <c r="B47" s="14" t="s">
        <v>148</v>
      </c>
      <c r="C47" s="15" t="s">
        <v>149</v>
      </c>
      <c r="D47" s="41">
        <v>0</v>
      </c>
      <c r="E47" s="41">
        <v>0</v>
      </c>
      <c r="F47" s="41">
        <v>0</v>
      </c>
      <c r="G47" s="41">
        <v>0</v>
      </c>
      <c r="H47" s="42">
        <v>0</v>
      </c>
    </row>
    <row r="48" spans="1:8" x14ac:dyDescent="0.35">
      <c r="A48" t="str">
        <f t="shared" si="0"/>
        <v>C</v>
      </c>
      <c r="B48" s="16" t="s">
        <v>150</v>
      </c>
      <c r="C48" s="15" t="s">
        <v>151</v>
      </c>
      <c r="D48" s="41">
        <v>0</v>
      </c>
      <c r="E48" s="41">
        <v>0</v>
      </c>
      <c r="F48" s="41">
        <v>0</v>
      </c>
      <c r="G48" s="41">
        <v>0</v>
      </c>
      <c r="H48" s="42">
        <v>0</v>
      </c>
    </row>
    <row r="49" spans="1:8" x14ac:dyDescent="0.35">
      <c r="A49" t="str">
        <f t="shared" si="0"/>
        <v>C</v>
      </c>
      <c r="B49" s="17" t="s">
        <v>152</v>
      </c>
      <c r="C49" s="15" t="s">
        <v>153</v>
      </c>
      <c r="D49" s="39">
        <v>16679.39</v>
      </c>
      <c r="E49" s="41">
        <v>0</v>
      </c>
      <c r="F49" s="41">
        <v>0</v>
      </c>
      <c r="G49" s="41">
        <v>0</v>
      </c>
      <c r="H49" s="40">
        <v>16679.39</v>
      </c>
    </row>
    <row r="50" spans="1:8" x14ac:dyDescent="0.35">
      <c r="A50" t="str">
        <f t="shared" si="0"/>
        <v>C</v>
      </c>
      <c r="B50" s="37" t="s">
        <v>154</v>
      </c>
      <c r="C50" s="15" t="s">
        <v>155</v>
      </c>
      <c r="D50" s="39">
        <v>16679.39</v>
      </c>
      <c r="E50" s="41">
        <v>0</v>
      </c>
      <c r="F50" s="41">
        <v>0</v>
      </c>
      <c r="G50" s="41">
        <v>0</v>
      </c>
      <c r="H50" s="40">
        <v>16679.39</v>
      </c>
    </row>
    <row r="51" spans="1:8" x14ac:dyDescent="0.35">
      <c r="A51" t="str">
        <f t="shared" si="0"/>
        <v>1</v>
      </c>
      <c r="B51" s="105">
        <v>14221001</v>
      </c>
      <c r="C51" s="15" t="s">
        <v>47</v>
      </c>
      <c r="D51" s="39">
        <v>16679.39</v>
      </c>
      <c r="E51" s="41">
        <v>0</v>
      </c>
      <c r="F51" s="41">
        <v>0</v>
      </c>
      <c r="G51" s="41">
        <v>0</v>
      </c>
      <c r="H51" s="40">
        <v>16679.39</v>
      </c>
    </row>
    <row r="52" spans="1:8" x14ac:dyDescent="0.35">
      <c r="A52" t="str">
        <f t="shared" si="0"/>
        <v>C</v>
      </c>
      <c r="B52" s="17" t="s">
        <v>156</v>
      </c>
      <c r="C52" s="15" t="s">
        <v>48</v>
      </c>
      <c r="D52" s="39">
        <v>6147</v>
      </c>
      <c r="E52" s="41">
        <v>0</v>
      </c>
      <c r="F52" s="41">
        <v>0</v>
      </c>
      <c r="G52" s="41">
        <v>0</v>
      </c>
      <c r="H52" s="40">
        <v>6147</v>
      </c>
    </row>
    <row r="53" spans="1:8" x14ac:dyDescent="0.35">
      <c r="A53" t="str">
        <f t="shared" si="0"/>
        <v>1</v>
      </c>
      <c r="B53" s="37">
        <v>14222001</v>
      </c>
      <c r="C53" s="15" t="s">
        <v>48</v>
      </c>
      <c r="D53" s="39">
        <v>6147</v>
      </c>
      <c r="E53" s="41">
        <v>0</v>
      </c>
      <c r="F53" s="41">
        <v>0</v>
      </c>
      <c r="G53" s="41">
        <v>0</v>
      </c>
      <c r="H53" s="40">
        <v>6147</v>
      </c>
    </row>
    <row r="54" spans="1:8" x14ac:dyDescent="0.35">
      <c r="A54" t="str">
        <f t="shared" si="0"/>
        <v>C</v>
      </c>
      <c r="B54" s="17" t="s">
        <v>157</v>
      </c>
      <c r="C54" s="15" t="s">
        <v>158</v>
      </c>
      <c r="D54" s="39">
        <v>-22826.39</v>
      </c>
      <c r="E54" s="41">
        <v>0</v>
      </c>
      <c r="F54" s="41">
        <v>0</v>
      </c>
      <c r="G54" s="41">
        <v>0</v>
      </c>
      <c r="H54" s="40">
        <v>-22826.39</v>
      </c>
    </row>
    <row r="55" spans="1:8" x14ac:dyDescent="0.35">
      <c r="A55" t="str">
        <f t="shared" si="0"/>
        <v>C</v>
      </c>
      <c r="B55" s="37" t="s">
        <v>159</v>
      </c>
      <c r="C55" s="15" t="s">
        <v>158</v>
      </c>
      <c r="D55" s="39">
        <v>-22826.39</v>
      </c>
      <c r="E55" s="41">
        <v>0</v>
      </c>
      <c r="F55" s="41">
        <v>0</v>
      </c>
      <c r="G55" s="41">
        <v>0</v>
      </c>
      <c r="H55" s="40">
        <v>-22826.39</v>
      </c>
    </row>
    <row r="56" spans="1:8" x14ac:dyDescent="0.35">
      <c r="A56" t="str">
        <f t="shared" si="0"/>
        <v>1</v>
      </c>
      <c r="B56" s="105">
        <v>14229001</v>
      </c>
      <c r="C56" s="15" t="s">
        <v>49</v>
      </c>
      <c r="D56" s="39">
        <v>-16679.39</v>
      </c>
      <c r="E56" s="41">
        <v>0</v>
      </c>
      <c r="F56" s="41">
        <v>0</v>
      </c>
      <c r="G56" s="41">
        <v>0</v>
      </c>
      <c r="H56" s="40">
        <v>-16679.39</v>
      </c>
    </row>
    <row r="57" spans="1:8" x14ac:dyDescent="0.35">
      <c r="A57" t="str">
        <f t="shared" si="0"/>
        <v>1</v>
      </c>
      <c r="B57" s="105">
        <v>14229003</v>
      </c>
      <c r="C57" s="15" t="s">
        <v>50</v>
      </c>
      <c r="D57" s="39">
        <v>-6147</v>
      </c>
      <c r="E57" s="41">
        <v>0</v>
      </c>
      <c r="F57" s="41">
        <v>0</v>
      </c>
      <c r="G57" s="41">
        <v>0</v>
      </c>
      <c r="H57" s="40">
        <v>-6147</v>
      </c>
    </row>
    <row r="58" spans="1:8" x14ac:dyDescent="0.35">
      <c r="A58" t="str">
        <f t="shared" si="0"/>
        <v>C</v>
      </c>
      <c r="B58" s="10" t="s">
        <v>160</v>
      </c>
      <c r="C58" s="11" t="s">
        <v>161</v>
      </c>
      <c r="D58" s="39">
        <v>-2718170.88</v>
      </c>
      <c r="E58" s="39">
        <v>287675.84999999998</v>
      </c>
      <c r="F58" s="39">
        <v>292480.81</v>
      </c>
      <c r="G58" s="39">
        <v>-4804.96</v>
      </c>
      <c r="H58" s="40">
        <v>-2722975.84</v>
      </c>
    </row>
    <row r="59" spans="1:8" x14ac:dyDescent="0.35">
      <c r="A59" t="str">
        <f t="shared" si="0"/>
        <v>C</v>
      </c>
      <c r="B59" s="12" t="s">
        <v>162</v>
      </c>
      <c r="C59" s="13" t="s">
        <v>103</v>
      </c>
      <c r="D59" s="39">
        <v>-104954.59</v>
      </c>
      <c r="E59" s="39">
        <v>287675.84999999998</v>
      </c>
      <c r="F59" s="39">
        <v>292480.81</v>
      </c>
      <c r="G59" s="39">
        <v>-4804.96</v>
      </c>
      <c r="H59" s="40">
        <v>-109759.55</v>
      </c>
    </row>
    <row r="60" spans="1:8" x14ac:dyDescent="0.35">
      <c r="A60" t="str">
        <f t="shared" si="0"/>
        <v>C</v>
      </c>
      <c r="B60" s="14" t="s">
        <v>163</v>
      </c>
      <c r="C60" s="15" t="s">
        <v>164</v>
      </c>
      <c r="D60" s="39">
        <v>-104954.59</v>
      </c>
      <c r="E60" s="39">
        <v>287675.84999999998</v>
      </c>
      <c r="F60" s="39">
        <v>292480.81</v>
      </c>
      <c r="G60" s="39">
        <v>-4804.96</v>
      </c>
      <c r="H60" s="40">
        <v>-109759.55</v>
      </c>
    </row>
    <row r="61" spans="1:8" x14ac:dyDescent="0.35">
      <c r="A61" t="str">
        <f t="shared" si="0"/>
        <v>C</v>
      </c>
      <c r="B61" s="16" t="s">
        <v>165</v>
      </c>
      <c r="C61" s="15" t="s">
        <v>166</v>
      </c>
      <c r="D61" s="39">
        <v>-85928.53</v>
      </c>
      <c r="E61" s="39">
        <v>21128.06</v>
      </c>
      <c r="F61" s="39">
        <v>26700.19</v>
      </c>
      <c r="G61" s="39">
        <v>-5572.13</v>
      </c>
      <c r="H61" s="40">
        <v>-91500.66</v>
      </c>
    </row>
    <row r="62" spans="1:8" x14ac:dyDescent="0.35">
      <c r="A62" t="str">
        <f t="shared" si="0"/>
        <v>C</v>
      </c>
      <c r="B62" s="17" t="s">
        <v>167</v>
      </c>
      <c r="C62" s="15" t="s">
        <v>168</v>
      </c>
      <c r="D62" s="39">
        <v>-83309.5</v>
      </c>
      <c r="E62" s="39">
        <v>21128.06</v>
      </c>
      <c r="F62" s="39">
        <v>21128.06</v>
      </c>
      <c r="G62" s="41">
        <v>0</v>
      </c>
      <c r="H62" s="40">
        <v>-83309.5</v>
      </c>
    </row>
    <row r="63" spans="1:8" x14ac:dyDescent="0.35">
      <c r="A63" t="str">
        <f t="shared" si="0"/>
        <v>2</v>
      </c>
      <c r="B63" s="37">
        <v>21111001</v>
      </c>
      <c r="C63" s="15" t="s">
        <v>13</v>
      </c>
      <c r="D63" s="39">
        <v>-83309.5</v>
      </c>
      <c r="E63" s="39">
        <v>21128.06</v>
      </c>
      <c r="F63" s="39">
        <v>21128.06</v>
      </c>
      <c r="G63" s="41">
        <v>0</v>
      </c>
      <c r="H63" s="40">
        <v>-83309.5</v>
      </c>
    </row>
    <row r="64" spans="1:8" x14ac:dyDescent="0.35">
      <c r="A64" t="str">
        <f t="shared" si="0"/>
        <v>C</v>
      </c>
      <c r="B64" s="17" t="s">
        <v>169</v>
      </c>
      <c r="C64" s="15" t="s">
        <v>170</v>
      </c>
      <c r="D64" s="39">
        <v>-2619.0300000000002</v>
      </c>
      <c r="E64" s="41">
        <v>0</v>
      </c>
      <c r="F64" s="39">
        <v>5572.13</v>
      </c>
      <c r="G64" s="39">
        <v>-5572.13</v>
      </c>
      <c r="H64" s="40">
        <v>-8191.16</v>
      </c>
    </row>
    <row r="65" spans="1:8" x14ac:dyDescent="0.35">
      <c r="A65" t="str">
        <f t="shared" si="0"/>
        <v>C</v>
      </c>
      <c r="B65" s="37" t="s">
        <v>171</v>
      </c>
      <c r="C65" s="15" t="s">
        <v>172</v>
      </c>
      <c r="D65" s="39">
        <v>-2619.0300000000002</v>
      </c>
      <c r="E65" s="41">
        <v>0</v>
      </c>
      <c r="F65" s="39">
        <v>5572.13</v>
      </c>
      <c r="G65" s="39">
        <v>-5572.13</v>
      </c>
      <c r="H65" s="40">
        <v>-8191.16</v>
      </c>
    </row>
    <row r="66" spans="1:8" x14ac:dyDescent="0.35">
      <c r="A66" t="str">
        <f t="shared" si="0"/>
        <v>2</v>
      </c>
      <c r="B66" s="105">
        <v>21111099</v>
      </c>
      <c r="C66" s="15" t="s">
        <v>44</v>
      </c>
      <c r="D66" s="39">
        <v>-2619.0300000000002</v>
      </c>
      <c r="E66" s="41">
        <v>0</v>
      </c>
      <c r="F66" s="39">
        <v>5572.13</v>
      </c>
      <c r="G66" s="39">
        <v>-5572.13</v>
      </c>
      <c r="H66" s="40">
        <v>-8191.16</v>
      </c>
    </row>
    <row r="67" spans="1:8" x14ac:dyDescent="0.35">
      <c r="A67" t="str">
        <f t="shared" ref="A67:A130" si="1">LEFT(B67,1)</f>
        <v>C</v>
      </c>
      <c r="B67" s="16" t="s">
        <v>173</v>
      </c>
      <c r="C67" s="15" t="s">
        <v>174</v>
      </c>
      <c r="D67" s="39">
        <v>-9662.33</v>
      </c>
      <c r="E67" s="39">
        <v>14268.59</v>
      </c>
      <c r="F67" s="39">
        <v>9478.11</v>
      </c>
      <c r="G67" s="39">
        <v>4790.4799999999996</v>
      </c>
      <c r="H67" s="40">
        <v>-4871.8500000000004</v>
      </c>
    </row>
    <row r="68" spans="1:8" x14ac:dyDescent="0.35">
      <c r="A68" t="str">
        <f t="shared" si="1"/>
        <v>C</v>
      </c>
      <c r="B68" s="17" t="s">
        <v>175</v>
      </c>
      <c r="C68" s="15" t="s">
        <v>176</v>
      </c>
      <c r="D68" s="39">
        <v>-1470.52</v>
      </c>
      <c r="E68" s="39">
        <v>1470.52</v>
      </c>
      <c r="F68" s="41">
        <v>0</v>
      </c>
      <c r="G68" s="39">
        <v>1470.52</v>
      </c>
      <c r="H68" s="42">
        <v>0</v>
      </c>
    </row>
    <row r="69" spans="1:8" x14ac:dyDescent="0.35">
      <c r="A69" t="str">
        <f t="shared" si="1"/>
        <v>2</v>
      </c>
      <c r="B69" s="37">
        <v>21131104</v>
      </c>
      <c r="C69" s="15" t="s">
        <v>66</v>
      </c>
      <c r="D69" s="39">
        <v>-1470.52</v>
      </c>
      <c r="E69" s="39">
        <v>1470.52</v>
      </c>
      <c r="F69" s="41">
        <v>0</v>
      </c>
      <c r="G69" s="39">
        <v>1470.52</v>
      </c>
      <c r="H69" s="42">
        <v>0</v>
      </c>
    </row>
    <row r="70" spans="1:8" x14ac:dyDescent="0.35">
      <c r="A70" t="str">
        <f t="shared" si="1"/>
        <v>C</v>
      </c>
      <c r="B70" s="17" t="s">
        <v>177</v>
      </c>
      <c r="C70" s="15" t="s">
        <v>178</v>
      </c>
      <c r="D70" s="39">
        <v>-8191.81</v>
      </c>
      <c r="E70" s="39">
        <v>12798.07</v>
      </c>
      <c r="F70" s="39">
        <v>9478.11</v>
      </c>
      <c r="G70" s="39">
        <v>3319.96</v>
      </c>
      <c r="H70" s="40">
        <v>-4871.8500000000004</v>
      </c>
    </row>
    <row r="71" spans="1:8" x14ac:dyDescent="0.35">
      <c r="A71" t="str">
        <f t="shared" si="1"/>
        <v>2</v>
      </c>
      <c r="B71" s="37">
        <v>21131601</v>
      </c>
      <c r="C71" s="15" t="s">
        <v>14</v>
      </c>
      <c r="D71" s="39">
        <v>-3013.61</v>
      </c>
      <c r="E71" s="39">
        <v>6843.37</v>
      </c>
      <c r="F71" s="39">
        <v>7859.46</v>
      </c>
      <c r="G71" s="39">
        <v>-1016.09</v>
      </c>
      <c r="H71" s="40">
        <v>-4029.7</v>
      </c>
    </row>
    <row r="72" spans="1:8" x14ac:dyDescent="0.35">
      <c r="A72" t="str">
        <f t="shared" si="1"/>
        <v>2</v>
      </c>
      <c r="B72" s="37">
        <v>21131602</v>
      </c>
      <c r="C72" s="15" t="s">
        <v>15</v>
      </c>
      <c r="D72" s="39">
        <v>-619.61</v>
      </c>
      <c r="E72" s="39">
        <v>1396.11</v>
      </c>
      <c r="F72" s="39">
        <v>1618.65</v>
      </c>
      <c r="G72" s="39">
        <v>-222.54</v>
      </c>
      <c r="H72" s="40">
        <v>-842.15</v>
      </c>
    </row>
    <row r="73" spans="1:8" x14ac:dyDescent="0.35">
      <c r="A73" t="str">
        <f t="shared" si="1"/>
        <v>2</v>
      </c>
      <c r="B73" s="37">
        <v>21131701</v>
      </c>
      <c r="C73" s="15" t="s">
        <v>67</v>
      </c>
      <c r="D73" s="39">
        <v>-4558.59</v>
      </c>
      <c r="E73" s="39">
        <v>4558.59</v>
      </c>
      <c r="F73" s="41">
        <v>0</v>
      </c>
      <c r="G73" s="39">
        <v>4558.59</v>
      </c>
      <c r="H73" s="42">
        <v>0</v>
      </c>
    </row>
    <row r="74" spans="1:8" x14ac:dyDescent="0.35">
      <c r="A74" t="str">
        <f t="shared" si="1"/>
        <v>C</v>
      </c>
      <c r="B74" s="16" t="s">
        <v>179</v>
      </c>
      <c r="C74" s="15" t="s">
        <v>180</v>
      </c>
      <c r="D74" s="39">
        <v>-9363.73</v>
      </c>
      <c r="E74" s="39">
        <v>252279.2</v>
      </c>
      <c r="F74" s="39">
        <v>256302.51</v>
      </c>
      <c r="G74" s="39">
        <v>-4023.31</v>
      </c>
      <c r="H74" s="40">
        <v>-13387.04</v>
      </c>
    </row>
    <row r="75" spans="1:8" x14ac:dyDescent="0.35">
      <c r="A75" t="str">
        <f t="shared" si="1"/>
        <v>C</v>
      </c>
      <c r="B75" s="17" t="s">
        <v>181</v>
      </c>
      <c r="C75" s="15" t="s">
        <v>182</v>
      </c>
      <c r="D75" s="39">
        <v>-5517.91</v>
      </c>
      <c r="E75" s="39">
        <v>177143.31</v>
      </c>
      <c r="F75" s="39">
        <v>180939.4</v>
      </c>
      <c r="G75" s="39">
        <v>-3796.09</v>
      </c>
      <c r="H75" s="40">
        <v>-9314</v>
      </c>
    </row>
    <row r="76" spans="1:8" x14ac:dyDescent="0.35">
      <c r="A76" t="str">
        <f t="shared" si="1"/>
        <v>C</v>
      </c>
      <c r="B76" s="37" t="s">
        <v>183</v>
      </c>
      <c r="C76" s="15" t="s">
        <v>182</v>
      </c>
      <c r="D76" s="39">
        <v>-169251.71</v>
      </c>
      <c r="E76" s="39">
        <v>169251.71</v>
      </c>
      <c r="F76" s="39">
        <v>9314</v>
      </c>
      <c r="G76" s="39">
        <v>159937.71</v>
      </c>
      <c r="H76" s="40">
        <v>-9314</v>
      </c>
    </row>
    <row r="77" spans="1:8" x14ac:dyDescent="0.35">
      <c r="A77" t="str">
        <f t="shared" si="1"/>
        <v>2</v>
      </c>
      <c r="B77" s="105">
        <v>21131101</v>
      </c>
      <c r="C77" s="15" t="s">
        <v>37</v>
      </c>
      <c r="D77" s="39">
        <v>-169251.71</v>
      </c>
      <c r="E77" s="39">
        <v>169251.71</v>
      </c>
      <c r="F77" s="39">
        <v>9314</v>
      </c>
      <c r="G77" s="39">
        <v>159937.71</v>
      </c>
      <c r="H77" s="40">
        <v>-9314</v>
      </c>
    </row>
    <row r="78" spans="1:8" x14ac:dyDescent="0.35">
      <c r="A78" t="str">
        <f t="shared" si="1"/>
        <v>C</v>
      </c>
      <c r="B78" s="37" t="s">
        <v>184</v>
      </c>
      <c r="C78" s="15" t="s">
        <v>185</v>
      </c>
      <c r="D78" s="39">
        <v>163733.79999999999</v>
      </c>
      <c r="E78" s="39">
        <v>7891.6</v>
      </c>
      <c r="F78" s="39">
        <v>171625.4</v>
      </c>
      <c r="G78" s="39">
        <v>-163733.79999999999</v>
      </c>
      <c r="H78" s="42">
        <v>0</v>
      </c>
    </row>
    <row r="79" spans="1:8" x14ac:dyDescent="0.35">
      <c r="A79" t="str">
        <f t="shared" si="1"/>
        <v>2</v>
      </c>
      <c r="B79" s="105">
        <v>21131102</v>
      </c>
      <c r="C79" s="15" t="s">
        <v>58</v>
      </c>
      <c r="D79" s="39">
        <v>163733.79999999999</v>
      </c>
      <c r="E79" s="39">
        <v>7891.6</v>
      </c>
      <c r="F79" s="39">
        <v>171625.4</v>
      </c>
      <c r="G79" s="39">
        <v>-163733.79999999999</v>
      </c>
      <c r="H79" s="42">
        <v>0</v>
      </c>
    </row>
    <row r="80" spans="1:8" x14ac:dyDescent="0.35">
      <c r="A80" t="str">
        <f t="shared" si="1"/>
        <v>C</v>
      </c>
      <c r="B80" s="17" t="s">
        <v>186</v>
      </c>
      <c r="C80" s="15" t="s">
        <v>140</v>
      </c>
      <c r="D80" s="39">
        <v>-3845.82</v>
      </c>
      <c r="E80" s="39">
        <v>75135.89</v>
      </c>
      <c r="F80" s="39">
        <v>75363.11</v>
      </c>
      <c r="G80" s="39">
        <v>-227.22</v>
      </c>
      <c r="H80" s="40">
        <v>-4073.04</v>
      </c>
    </row>
    <row r="81" spans="1:8" x14ac:dyDescent="0.35">
      <c r="A81" t="str">
        <f t="shared" si="1"/>
        <v>C</v>
      </c>
      <c r="B81" s="37" t="s">
        <v>187</v>
      </c>
      <c r="C81" s="15" t="s">
        <v>140</v>
      </c>
      <c r="D81" s="39">
        <v>-70709.990000000005</v>
      </c>
      <c r="E81" s="39">
        <v>70709.990000000005</v>
      </c>
      <c r="F81" s="39">
        <v>4073.04</v>
      </c>
      <c r="G81" s="39">
        <v>66636.95</v>
      </c>
      <c r="H81" s="40">
        <v>-4073.04</v>
      </c>
    </row>
    <row r="82" spans="1:8" x14ac:dyDescent="0.35">
      <c r="A82" t="str">
        <f t="shared" si="1"/>
        <v>2</v>
      </c>
      <c r="B82" s="105">
        <v>21131201</v>
      </c>
      <c r="C82" s="15" t="s">
        <v>38</v>
      </c>
      <c r="D82" s="39">
        <v>-70709.990000000005</v>
      </c>
      <c r="E82" s="39">
        <v>70709.990000000005</v>
      </c>
      <c r="F82" s="39">
        <v>4073.04</v>
      </c>
      <c r="G82" s="39">
        <v>66636.95</v>
      </c>
      <c r="H82" s="40">
        <v>-4073.04</v>
      </c>
    </row>
    <row r="83" spans="1:8" x14ac:dyDescent="0.35">
      <c r="A83" t="str">
        <f t="shared" si="1"/>
        <v>C</v>
      </c>
      <c r="B83" s="37" t="s">
        <v>188</v>
      </c>
      <c r="C83" s="15" t="s">
        <v>189</v>
      </c>
      <c r="D83" s="39">
        <v>66864.17</v>
      </c>
      <c r="E83" s="39">
        <v>4425.8999999999996</v>
      </c>
      <c r="F83" s="39">
        <v>71290.070000000007</v>
      </c>
      <c r="G83" s="39">
        <v>-66864.17</v>
      </c>
      <c r="H83" s="42">
        <v>0</v>
      </c>
    </row>
    <row r="84" spans="1:8" x14ac:dyDescent="0.35">
      <c r="A84" t="str">
        <f t="shared" si="1"/>
        <v>2</v>
      </c>
      <c r="B84" s="105">
        <v>21131202</v>
      </c>
      <c r="C84" s="15" t="s">
        <v>59</v>
      </c>
      <c r="D84" s="39">
        <v>66864.17</v>
      </c>
      <c r="E84" s="39">
        <v>4425.8999999999996</v>
      </c>
      <c r="F84" s="39">
        <v>71290.070000000007</v>
      </c>
      <c r="G84" s="39">
        <v>-66864.17</v>
      </c>
      <c r="H84" s="42">
        <v>0</v>
      </c>
    </row>
    <row r="85" spans="1:8" x14ac:dyDescent="0.35">
      <c r="A85" t="str">
        <f t="shared" si="1"/>
        <v>C</v>
      </c>
      <c r="B85" s="12" t="s">
        <v>190</v>
      </c>
      <c r="C85" s="13" t="s">
        <v>191</v>
      </c>
      <c r="D85" s="39">
        <v>-2613216.29</v>
      </c>
      <c r="E85" s="41">
        <v>0</v>
      </c>
      <c r="F85" s="41">
        <v>0</v>
      </c>
      <c r="G85" s="41">
        <v>0</v>
      </c>
      <c r="H85" s="40">
        <v>-2613216.29</v>
      </c>
    </row>
    <row r="86" spans="1:8" x14ac:dyDescent="0.35">
      <c r="A86" t="str">
        <f t="shared" si="1"/>
        <v>C</v>
      </c>
      <c r="B86" s="14" t="s">
        <v>192</v>
      </c>
      <c r="C86" s="15" t="s">
        <v>193</v>
      </c>
      <c r="D86" s="39">
        <v>-2613216.29</v>
      </c>
      <c r="E86" s="41">
        <v>0</v>
      </c>
      <c r="F86" s="41">
        <v>0</v>
      </c>
      <c r="G86" s="41">
        <v>0</v>
      </c>
      <c r="H86" s="40">
        <v>-2613216.29</v>
      </c>
    </row>
    <row r="87" spans="1:8" x14ac:dyDescent="0.35">
      <c r="A87" t="str">
        <f t="shared" si="1"/>
        <v>C</v>
      </c>
      <c r="B87" s="16" t="s">
        <v>194</v>
      </c>
      <c r="C87" s="15" t="s">
        <v>195</v>
      </c>
      <c r="D87" s="39">
        <v>-1707264</v>
      </c>
      <c r="E87" s="41">
        <v>0</v>
      </c>
      <c r="F87" s="41">
        <v>0</v>
      </c>
      <c r="G87" s="41">
        <v>0</v>
      </c>
      <c r="H87" s="40">
        <v>-1707264</v>
      </c>
    </row>
    <row r="88" spans="1:8" x14ac:dyDescent="0.35">
      <c r="A88" t="str">
        <f t="shared" si="1"/>
        <v>C</v>
      </c>
      <c r="B88" s="17" t="s">
        <v>196</v>
      </c>
      <c r="C88" s="15" t="s">
        <v>197</v>
      </c>
      <c r="D88" s="39">
        <v>-1707264</v>
      </c>
      <c r="E88" s="41">
        <v>0</v>
      </c>
      <c r="F88" s="41">
        <v>0</v>
      </c>
      <c r="G88" s="41">
        <v>0</v>
      </c>
      <c r="H88" s="40">
        <v>-1707264</v>
      </c>
    </row>
    <row r="89" spans="1:8" x14ac:dyDescent="0.35">
      <c r="A89" t="str">
        <f t="shared" si="1"/>
        <v>C</v>
      </c>
      <c r="B89" s="37" t="s">
        <v>198</v>
      </c>
      <c r="C89" s="15" t="s">
        <v>51</v>
      </c>
      <c r="D89" s="39">
        <v>-1707264</v>
      </c>
      <c r="E89" s="41">
        <v>0</v>
      </c>
      <c r="F89" s="41">
        <v>0</v>
      </c>
      <c r="G89" s="41">
        <v>0</v>
      </c>
      <c r="H89" s="40">
        <v>-1707264</v>
      </c>
    </row>
    <row r="90" spans="1:8" x14ac:dyDescent="0.35">
      <c r="A90" t="str">
        <f t="shared" si="1"/>
        <v>2</v>
      </c>
      <c r="B90" s="105">
        <v>24111001</v>
      </c>
      <c r="C90" s="15" t="s">
        <v>51</v>
      </c>
      <c r="D90" s="39">
        <v>-1707264</v>
      </c>
      <c r="E90" s="41">
        <v>0</v>
      </c>
      <c r="F90" s="41">
        <v>0</v>
      </c>
      <c r="G90" s="41">
        <v>0</v>
      </c>
      <c r="H90" s="40">
        <v>-1707264</v>
      </c>
    </row>
    <row r="91" spans="1:8" x14ac:dyDescent="0.35">
      <c r="A91" t="str">
        <f t="shared" si="1"/>
        <v>C</v>
      </c>
      <c r="B91" s="16" t="s">
        <v>199</v>
      </c>
      <c r="C91" s="15" t="s">
        <v>200</v>
      </c>
      <c r="D91" s="39">
        <v>-905952.29</v>
      </c>
      <c r="E91" s="41">
        <v>0</v>
      </c>
      <c r="F91" s="41">
        <v>0</v>
      </c>
      <c r="G91" s="41">
        <v>0</v>
      </c>
      <c r="H91" s="40">
        <v>-905952.29</v>
      </c>
    </row>
    <row r="92" spans="1:8" x14ac:dyDescent="0.35">
      <c r="A92" t="str">
        <f t="shared" si="1"/>
        <v>C</v>
      </c>
      <c r="B92" s="17" t="s">
        <v>201</v>
      </c>
      <c r="C92" s="15" t="s">
        <v>202</v>
      </c>
      <c r="D92" s="39">
        <v>-905952.29</v>
      </c>
      <c r="E92" s="41">
        <v>0</v>
      </c>
      <c r="F92" s="41">
        <v>0</v>
      </c>
      <c r="G92" s="41">
        <v>0</v>
      </c>
      <c r="H92" s="40">
        <v>-905952.29</v>
      </c>
    </row>
    <row r="93" spans="1:8" x14ac:dyDescent="0.35">
      <c r="A93" t="str">
        <f t="shared" si="1"/>
        <v>2</v>
      </c>
      <c r="B93" s="37">
        <v>24180004</v>
      </c>
      <c r="C93" s="15" t="s">
        <v>17</v>
      </c>
      <c r="D93" s="39">
        <v>-905952.29</v>
      </c>
      <c r="E93" s="41">
        <v>0</v>
      </c>
      <c r="F93" s="41">
        <v>0</v>
      </c>
      <c r="G93" s="41">
        <v>0</v>
      </c>
      <c r="H93" s="40">
        <v>-905952.29</v>
      </c>
    </row>
    <row r="94" spans="1:8" x14ac:dyDescent="0.35">
      <c r="A94" t="str">
        <f t="shared" si="1"/>
        <v>C</v>
      </c>
      <c r="B94" s="10" t="s">
        <v>203</v>
      </c>
      <c r="C94" s="11" t="s">
        <v>204</v>
      </c>
      <c r="D94" s="41">
        <v>0</v>
      </c>
      <c r="E94" s="39">
        <v>270248.90000000002</v>
      </c>
      <c r="F94" s="39">
        <v>267065.57</v>
      </c>
      <c r="G94" s="39">
        <v>3183.33</v>
      </c>
      <c r="H94" s="40">
        <v>3183.33</v>
      </c>
    </row>
    <row r="95" spans="1:8" x14ac:dyDescent="0.35">
      <c r="A95" t="str">
        <f t="shared" si="1"/>
        <v>C</v>
      </c>
      <c r="B95" s="12" t="s">
        <v>205</v>
      </c>
      <c r="C95" s="13" t="s">
        <v>206</v>
      </c>
      <c r="D95" s="41">
        <v>0</v>
      </c>
      <c r="E95" s="39">
        <v>5572.13</v>
      </c>
      <c r="F95" s="39">
        <v>7990.17</v>
      </c>
      <c r="G95" s="39">
        <v>-2418.04</v>
      </c>
      <c r="H95" s="40">
        <v>-2418.04</v>
      </c>
    </row>
    <row r="96" spans="1:8" x14ac:dyDescent="0.35">
      <c r="A96" t="str">
        <f t="shared" si="1"/>
        <v>C</v>
      </c>
      <c r="B96" s="14" t="s">
        <v>207</v>
      </c>
      <c r="C96" s="15" t="s">
        <v>208</v>
      </c>
      <c r="D96" s="41">
        <v>0</v>
      </c>
      <c r="E96" s="39">
        <v>5572.13</v>
      </c>
      <c r="F96" s="39">
        <v>7990.17</v>
      </c>
      <c r="G96" s="39">
        <v>-2418.04</v>
      </c>
      <c r="H96" s="40">
        <v>-2418.04</v>
      </c>
    </row>
    <row r="97" spans="1:8" x14ac:dyDescent="0.35">
      <c r="A97" t="str">
        <f t="shared" si="1"/>
        <v>C</v>
      </c>
      <c r="B97" s="16" t="s">
        <v>209</v>
      </c>
      <c r="C97" s="15" t="s">
        <v>210</v>
      </c>
      <c r="D97" s="41">
        <v>0</v>
      </c>
      <c r="E97" s="41">
        <v>0</v>
      </c>
      <c r="F97" s="39">
        <v>7990.17</v>
      </c>
      <c r="G97" s="39">
        <v>-7990.17</v>
      </c>
      <c r="H97" s="40">
        <v>-7990.17</v>
      </c>
    </row>
    <row r="98" spans="1:8" x14ac:dyDescent="0.35">
      <c r="A98" t="str">
        <f t="shared" si="1"/>
        <v>C</v>
      </c>
      <c r="B98" s="17" t="s">
        <v>211</v>
      </c>
      <c r="C98" s="15" t="s">
        <v>212</v>
      </c>
      <c r="D98" s="41">
        <v>0</v>
      </c>
      <c r="E98" s="41">
        <v>0</v>
      </c>
      <c r="F98" s="39">
        <v>7990.17</v>
      </c>
      <c r="G98" s="39">
        <v>-7990.17</v>
      </c>
      <c r="H98" s="40">
        <v>-7990.17</v>
      </c>
    </row>
    <row r="99" spans="1:8" x14ac:dyDescent="0.35">
      <c r="A99" t="str">
        <f t="shared" si="1"/>
        <v>C</v>
      </c>
      <c r="B99" s="37" t="s">
        <v>213</v>
      </c>
      <c r="C99" s="15" t="s">
        <v>214</v>
      </c>
      <c r="D99" s="41">
        <v>0</v>
      </c>
      <c r="E99" s="41">
        <v>0</v>
      </c>
      <c r="F99" s="39">
        <v>7990.17</v>
      </c>
      <c r="G99" s="39">
        <v>-7990.17</v>
      </c>
      <c r="H99" s="40">
        <v>-7990.17</v>
      </c>
    </row>
    <row r="100" spans="1:8" x14ac:dyDescent="0.35">
      <c r="A100" t="str">
        <f t="shared" si="1"/>
        <v>C</v>
      </c>
      <c r="B100" s="105" t="s">
        <v>215</v>
      </c>
      <c r="C100" s="15" t="s">
        <v>216</v>
      </c>
      <c r="D100" s="41">
        <v>0</v>
      </c>
      <c r="E100" s="41">
        <v>0</v>
      </c>
      <c r="F100" s="39">
        <v>7990.17</v>
      </c>
      <c r="G100" s="39">
        <v>-7990.17</v>
      </c>
      <c r="H100" s="40">
        <v>-7990.17</v>
      </c>
    </row>
    <row r="101" spans="1:8" x14ac:dyDescent="0.35">
      <c r="A101" t="str">
        <f t="shared" si="1"/>
        <v>3</v>
      </c>
      <c r="B101" s="106">
        <v>35199998</v>
      </c>
      <c r="C101" s="15" t="s">
        <v>18</v>
      </c>
      <c r="D101" s="41">
        <v>0</v>
      </c>
      <c r="E101" s="41">
        <v>0</v>
      </c>
      <c r="F101" s="39">
        <v>7990.17</v>
      </c>
      <c r="G101" s="39">
        <v>-7990.17</v>
      </c>
      <c r="H101" s="40">
        <v>-7990.17</v>
      </c>
    </row>
    <row r="102" spans="1:8" x14ac:dyDescent="0.35">
      <c r="A102" t="str">
        <f t="shared" si="1"/>
        <v>C</v>
      </c>
      <c r="B102" s="16" t="s">
        <v>217</v>
      </c>
      <c r="C102" s="15" t="s">
        <v>218</v>
      </c>
      <c r="D102" s="41">
        <v>0</v>
      </c>
      <c r="E102" s="39">
        <v>5572.13</v>
      </c>
      <c r="F102" s="41">
        <v>0</v>
      </c>
      <c r="G102" s="39">
        <v>5572.13</v>
      </c>
      <c r="H102" s="40">
        <v>5572.13</v>
      </c>
    </row>
    <row r="103" spans="1:8" x14ac:dyDescent="0.35">
      <c r="A103" t="str">
        <f t="shared" si="1"/>
        <v>C</v>
      </c>
      <c r="B103" s="17" t="s">
        <v>219</v>
      </c>
      <c r="C103" s="15" t="s">
        <v>220</v>
      </c>
      <c r="D103" s="41">
        <v>0</v>
      </c>
      <c r="E103" s="39">
        <v>5572.13</v>
      </c>
      <c r="F103" s="41">
        <v>0</v>
      </c>
      <c r="G103" s="39">
        <v>5572.13</v>
      </c>
      <c r="H103" s="40">
        <v>5572.13</v>
      </c>
    </row>
    <row r="104" spans="1:8" x14ac:dyDescent="0.35">
      <c r="A104" t="str">
        <f t="shared" si="1"/>
        <v>C</v>
      </c>
      <c r="B104" s="37" t="s">
        <v>221</v>
      </c>
      <c r="C104" s="15" t="s">
        <v>222</v>
      </c>
      <c r="D104" s="41">
        <v>0</v>
      </c>
      <c r="E104" s="39">
        <v>5572.13</v>
      </c>
      <c r="F104" s="41">
        <v>0</v>
      </c>
      <c r="G104" s="39">
        <v>5572.13</v>
      </c>
      <c r="H104" s="40">
        <v>5572.13</v>
      </c>
    </row>
    <row r="105" spans="1:8" x14ac:dyDescent="0.35">
      <c r="A105" t="str">
        <f t="shared" si="1"/>
        <v>C</v>
      </c>
      <c r="B105" s="105" t="s">
        <v>223</v>
      </c>
      <c r="C105" s="15" t="s">
        <v>216</v>
      </c>
      <c r="D105" s="41">
        <v>0</v>
      </c>
      <c r="E105" s="39">
        <v>5572.13</v>
      </c>
      <c r="F105" s="41">
        <v>0</v>
      </c>
      <c r="G105" s="39">
        <v>5572.13</v>
      </c>
      <c r="H105" s="40">
        <v>5572.13</v>
      </c>
    </row>
    <row r="106" spans="1:8" x14ac:dyDescent="0.35">
      <c r="A106" t="str">
        <f t="shared" si="1"/>
        <v>4</v>
      </c>
      <c r="B106" s="106">
        <v>44189013</v>
      </c>
      <c r="C106" s="15" t="s">
        <v>70</v>
      </c>
      <c r="D106" s="41">
        <v>0</v>
      </c>
      <c r="E106" s="39">
        <v>5572.13</v>
      </c>
      <c r="F106" s="41">
        <v>0</v>
      </c>
      <c r="G106" s="39">
        <v>5572.13</v>
      </c>
      <c r="H106" s="40">
        <v>5572.13</v>
      </c>
    </row>
    <row r="107" spans="1:8" x14ac:dyDescent="0.35">
      <c r="A107" t="str">
        <f t="shared" si="1"/>
        <v>C</v>
      </c>
      <c r="B107" s="12" t="s">
        <v>225</v>
      </c>
      <c r="C107" s="13" t="s">
        <v>226</v>
      </c>
      <c r="D107" s="41">
        <v>0</v>
      </c>
      <c r="E107" s="39">
        <v>10499.15</v>
      </c>
      <c r="F107" s="39">
        <v>4132.76</v>
      </c>
      <c r="G107" s="39">
        <v>6366.39</v>
      </c>
      <c r="H107" s="40">
        <v>6366.39</v>
      </c>
    </row>
    <row r="108" spans="1:8" x14ac:dyDescent="0.35">
      <c r="A108" t="str">
        <f t="shared" si="1"/>
        <v>C</v>
      </c>
      <c r="B108" s="14" t="s">
        <v>235</v>
      </c>
      <c r="C108" s="15" t="s">
        <v>236</v>
      </c>
      <c r="D108" s="41">
        <v>0</v>
      </c>
      <c r="E108" s="39">
        <v>287.2</v>
      </c>
      <c r="F108" s="41">
        <v>0</v>
      </c>
      <c r="G108" s="39">
        <v>287.2</v>
      </c>
      <c r="H108" s="40">
        <v>287.2</v>
      </c>
    </row>
    <row r="109" spans="1:8" x14ac:dyDescent="0.35">
      <c r="A109" t="str">
        <f t="shared" si="1"/>
        <v>C</v>
      </c>
      <c r="B109" s="16" t="s">
        <v>237</v>
      </c>
      <c r="C109" s="15" t="s">
        <v>236</v>
      </c>
      <c r="D109" s="41">
        <v>0</v>
      </c>
      <c r="E109" s="39">
        <v>287.2</v>
      </c>
      <c r="F109" s="41">
        <v>0</v>
      </c>
      <c r="G109" s="39">
        <v>287.2</v>
      </c>
      <c r="H109" s="40">
        <v>287.2</v>
      </c>
    </row>
    <row r="110" spans="1:8" x14ac:dyDescent="0.35">
      <c r="A110" t="str">
        <f t="shared" si="1"/>
        <v>C</v>
      </c>
      <c r="B110" s="17" t="s">
        <v>238</v>
      </c>
      <c r="C110" s="15" t="s">
        <v>239</v>
      </c>
      <c r="D110" s="41">
        <v>0</v>
      </c>
      <c r="E110" s="39">
        <v>287.2</v>
      </c>
      <c r="F110" s="41">
        <v>0</v>
      </c>
      <c r="G110" s="39">
        <v>287.2</v>
      </c>
      <c r="H110" s="40">
        <v>287.2</v>
      </c>
    </row>
    <row r="111" spans="1:8" x14ac:dyDescent="0.35">
      <c r="A111" t="str">
        <f t="shared" si="1"/>
        <v>C</v>
      </c>
      <c r="B111" s="37" t="s">
        <v>240</v>
      </c>
      <c r="C111" s="15" t="s">
        <v>241</v>
      </c>
      <c r="D111" s="41">
        <v>0</v>
      </c>
      <c r="E111" s="39">
        <v>287.2</v>
      </c>
      <c r="F111" s="41">
        <v>0</v>
      </c>
      <c r="G111" s="39">
        <v>287.2</v>
      </c>
      <c r="H111" s="40">
        <v>287.2</v>
      </c>
    </row>
    <row r="112" spans="1:8" x14ac:dyDescent="0.35">
      <c r="A112" t="str">
        <f t="shared" si="1"/>
        <v>4</v>
      </c>
      <c r="B112" s="105">
        <v>46312006</v>
      </c>
      <c r="C112" s="15" t="s">
        <v>22</v>
      </c>
      <c r="D112" s="41">
        <v>0</v>
      </c>
      <c r="E112" s="39">
        <v>287.2</v>
      </c>
      <c r="F112" s="41">
        <v>0</v>
      </c>
      <c r="G112" s="39">
        <v>287.2</v>
      </c>
      <c r="H112" s="40">
        <v>287.2</v>
      </c>
    </row>
    <row r="113" spans="1:8" x14ac:dyDescent="0.35">
      <c r="A113" t="str">
        <f t="shared" si="1"/>
        <v>C</v>
      </c>
      <c r="B113" s="14" t="s">
        <v>242</v>
      </c>
      <c r="C113" s="15" t="s">
        <v>243</v>
      </c>
      <c r="D113" s="41">
        <v>0</v>
      </c>
      <c r="E113" s="39">
        <v>10170.65</v>
      </c>
      <c r="F113" s="39">
        <v>4132.76</v>
      </c>
      <c r="G113" s="39">
        <v>6037.89</v>
      </c>
      <c r="H113" s="40">
        <v>6037.89</v>
      </c>
    </row>
    <row r="114" spans="1:8" x14ac:dyDescent="0.35">
      <c r="A114" t="str">
        <f t="shared" si="1"/>
        <v>C</v>
      </c>
      <c r="B114" s="16" t="s">
        <v>244</v>
      </c>
      <c r="C114" s="15" t="s">
        <v>243</v>
      </c>
      <c r="D114" s="41">
        <v>0</v>
      </c>
      <c r="E114" s="39">
        <v>10170.65</v>
      </c>
      <c r="F114" s="39">
        <v>4132.76</v>
      </c>
      <c r="G114" s="39">
        <v>6037.89</v>
      </c>
      <c r="H114" s="40">
        <v>6037.89</v>
      </c>
    </row>
    <row r="115" spans="1:8" x14ac:dyDescent="0.35">
      <c r="A115" t="str">
        <f t="shared" si="1"/>
        <v>C</v>
      </c>
      <c r="B115" s="17" t="s">
        <v>245</v>
      </c>
      <c r="C115" s="15" t="s">
        <v>246</v>
      </c>
      <c r="D115" s="41">
        <v>0</v>
      </c>
      <c r="E115" s="39">
        <v>9004.61</v>
      </c>
      <c r="F115" s="39">
        <v>4132.76</v>
      </c>
      <c r="G115" s="39">
        <v>4871.8500000000004</v>
      </c>
      <c r="H115" s="40">
        <v>4871.8500000000004</v>
      </c>
    </row>
    <row r="116" spans="1:8" x14ac:dyDescent="0.35">
      <c r="A116" t="str">
        <f t="shared" si="1"/>
        <v>C</v>
      </c>
      <c r="B116" s="37" t="s">
        <v>247</v>
      </c>
      <c r="C116" s="15" t="s">
        <v>248</v>
      </c>
      <c r="D116" s="41">
        <v>0</v>
      </c>
      <c r="E116" s="39">
        <v>9004.61</v>
      </c>
      <c r="F116" s="39">
        <v>4132.76</v>
      </c>
      <c r="G116" s="39">
        <v>4871.8500000000004</v>
      </c>
      <c r="H116" s="40">
        <v>4871.8500000000004</v>
      </c>
    </row>
    <row r="117" spans="1:8" x14ac:dyDescent="0.35">
      <c r="A117" t="str">
        <f t="shared" si="1"/>
        <v>C</v>
      </c>
      <c r="B117" s="105" t="s">
        <v>249</v>
      </c>
      <c r="C117" s="15" t="s">
        <v>23</v>
      </c>
      <c r="D117" s="41">
        <v>0</v>
      </c>
      <c r="E117" s="39">
        <v>7452.15</v>
      </c>
      <c r="F117" s="39">
        <v>3422.45</v>
      </c>
      <c r="G117" s="39">
        <v>4029.7</v>
      </c>
      <c r="H117" s="40">
        <v>4029.7</v>
      </c>
    </row>
    <row r="118" spans="1:8" x14ac:dyDescent="0.35">
      <c r="A118" t="str">
        <f t="shared" si="1"/>
        <v>4</v>
      </c>
      <c r="B118" s="106">
        <v>46511001</v>
      </c>
      <c r="C118" s="15" t="s">
        <v>23</v>
      </c>
      <c r="D118" s="41">
        <v>0</v>
      </c>
      <c r="E118" s="39">
        <v>7452.15</v>
      </c>
      <c r="F118" s="39">
        <v>3422.45</v>
      </c>
      <c r="G118" s="39">
        <v>4029.7</v>
      </c>
      <c r="H118" s="40">
        <v>4029.7</v>
      </c>
    </row>
    <row r="119" spans="1:8" x14ac:dyDescent="0.35">
      <c r="A119" t="str">
        <f t="shared" si="1"/>
        <v>C</v>
      </c>
      <c r="B119" s="105" t="s">
        <v>250</v>
      </c>
      <c r="C119" s="15" t="s">
        <v>251</v>
      </c>
      <c r="D119" s="41">
        <v>0</v>
      </c>
      <c r="E119" s="39">
        <v>1552.46</v>
      </c>
      <c r="F119" s="39">
        <v>710.31</v>
      </c>
      <c r="G119" s="39">
        <v>842.15</v>
      </c>
      <c r="H119" s="40">
        <v>842.15</v>
      </c>
    </row>
    <row r="120" spans="1:8" x14ac:dyDescent="0.35">
      <c r="A120" t="str">
        <f t="shared" si="1"/>
        <v>4</v>
      </c>
      <c r="B120" s="106">
        <v>46511002</v>
      </c>
      <c r="C120" s="15" t="s">
        <v>24</v>
      </c>
      <c r="D120" s="41">
        <v>0</v>
      </c>
      <c r="E120" s="39">
        <v>1552.46</v>
      </c>
      <c r="F120" s="39">
        <v>710.31</v>
      </c>
      <c r="G120" s="39">
        <v>842.15</v>
      </c>
      <c r="H120" s="40">
        <v>842.15</v>
      </c>
    </row>
    <row r="121" spans="1:8" x14ac:dyDescent="0.35">
      <c r="A121" t="str">
        <f t="shared" si="1"/>
        <v>C</v>
      </c>
      <c r="B121" s="17" t="s">
        <v>252</v>
      </c>
      <c r="C121" s="15" t="s">
        <v>253</v>
      </c>
      <c r="D121" s="41">
        <v>0</v>
      </c>
      <c r="E121" s="39">
        <v>1166.04</v>
      </c>
      <c r="F121" s="41">
        <v>0</v>
      </c>
      <c r="G121" s="39">
        <v>1166.04</v>
      </c>
      <c r="H121" s="40">
        <v>1166.04</v>
      </c>
    </row>
    <row r="122" spans="1:8" x14ac:dyDescent="0.35">
      <c r="A122" t="str">
        <f t="shared" si="1"/>
        <v>C</v>
      </c>
      <c r="B122" s="37" t="s">
        <v>254</v>
      </c>
      <c r="C122" s="15" t="s">
        <v>255</v>
      </c>
      <c r="D122" s="41">
        <v>0</v>
      </c>
      <c r="E122" s="39">
        <v>1166.04</v>
      </c>
      <c r="F122" s="41">
        <v>0</v>
      </c>
      <c r="G122" s="39">
        <v>1166.04</v>
      </c>
      <c r="H122" s="40">
        <v>1166.04</v>
      </c>
    </row>
    <row r="123" spans="1:8" x14ac:dyDescent="0.35">
      <c r="A123" t="str">
        <f t="shared" si="1"/>
        <v>4</v>
      </c>
      <c r="B123" s="105">
        <v>46540007</v>
      </c>
      <c r="C123" s="15" t="s">
        <v>45</v>
      </c>
      <c r="D123" s="41">
        <v>0</v>
      </c>
      <c r="E123" s="39">
        <v>1166.04</v>
      </c>
      <c r="F123" s="41">
        <v>0</v>
      </c>
      <c r="G123" s="39">
        <v>1166.04</v>
      </c>
      <c r="H123" s="40">
        <v>1166.04</v>
      </c>
    </row>
    <row r="124" spans="1:8" x14ac:dyDescent="0.35">
      <c r="A124" t="str">
        <f t="shared" si="1"/>
        <v>C</v>
      </c>
      <c r="B124" s="14" t="s">
        <v>256</v>
      </c>
      <c r="C124" s="15" t="s">
        <v>257</v>
      </c>
      <c r="D124" s="41">
        <v>0</v>
      </c>
      <c r="E124" s="39">
        <v>41.3</v>
      </c>
      <c r="F124" s="41">
        <v>0</v>
      </c>
      <c r="G124" s="39">
        <v>41.3</v>
      </c>
      <c r="H124" s="40">
        <v>41.3</v>
      </c>
    </row>
    <row r="125" spans="1:8" x14ac:dyDescent="0.35">
      <c r="A125" t="str">
        <f t="shared" si="1"/>
        <v>C</v>
      </c>
      <c r="B125" s="16" t="s">
        <v>258</v>
      </c>
      <c r="C125" s="15" t="s">
        <v>226</v>
      </c>
      <c r="D125" s="41">
        <v>0</v>
      </c>
      <c r="E125" s="39">
        <v>41.3</v>
      </c>
      <c r="F125" s="41">
        <v>0</v>
      </c>
      <c r="G125" s="39">
        <v>41.3</v>
      </c>
      <c r="H125" s="40">
        <v>41.3</v>
      </c>
    </row>
    <row r="126" spans="1:8" x14ac:dyDescent="0.35">
      <c r="A126" t="str">
        <f t="shared" si="1"/>
        <v>C</v>
      </c>
      <c r="B126" s="17" t="s">
        <v>259</v>
      </c>
      <c r="C126" s="15" t="s">
        <v>260</v>
      </c>
      <c r="D126" s="41">
        <v>0</v>
      </c>
      <c r="E126" s="39">
        <v>41.3</v>
      </c>
      <c r="F126" s="41">
        <v>0</v>
      </c>
      <c r="G126" s="39">
        <v>41.3</v>
      </c>
      <c r="H126" s="40">
        <v>41.3</v>
      </c>
    </row>
    <row r="127" spans="1:8" x14ac:dyDescent="0.35">
      <c r="A127" t="str">
        <f t="shared" si="1"/>
        <v>C</v>
      </c>
      <c r="B127" s="37" t="s">
        <v>261</v>
      </c>
      <c r="C127" s="15" t="s">
        <v>262</v>
      </c>
      <c r="D127" s="41">
        <v>0</v>
      </c>
      <c r="E127" s="39">
        <v>41.3</v>
      </c>
      <c r="F127" s="41">
        <v>0</v>
      </c>
      <c r="G127" s="39">
        <v>41.3</v>
      </c>
      <c r="H127" s="40">
        <v>41.3</v>
      </c>
    </row>
    <row r="128" spans="1:8" x14ac:dyDescent="0.35">
      <c r="A128" t="str">
        <f t="shared" si="1"/>
        <v>4</v>
      </c>
      <c r="B128" s="105">
        <v>46920003</v>
      </c>
      <c r="C128" s="15" t="s">
        <v>26</v>
      </c>
      <c r="D128" s="41">
        <v>0</v>
      </c>
      <c r="E128" s="39">
        <v>41.3</v>
      </c>
      <c r="F128" s="41">
        <v>0</v>
      </c>
      <c r="G128" s="39">
        <v>41.3</v>
      </c>
      <c r="H128" s="40">
        <v>41.3</v>
      </c>
    </row>
    <row r="129" spans="1:8" x14ac:dyDescent="0.35">
      <c r="A129" t="str">
        <f t="shared" si="1"/>
        <v>C</v>
      </c>
      <c r="B129" s="12" t="s">
        <v>263</v>
      </c>
      <c r="C129" s="13" t="s">
        <v>264</v>
      </c>
      <c r="D129" s="41">
        <v>0</v>
      </c>
      <c r="E129" s="39">
        <v>828.88</v>
      </c>
      <c r="F129" s="39">
        <v>14980.94</v>
      </c>
      <c r="G129" s="39">
        <v>-14152.06</v>
      </c>
      <c r="H129" s="40">
        <v>-14152.06</v>
      </c>
    </row>
    <row r="130" spans="1:8" x14ac:dyDescent="0.35">
      <c r="A130" t="str">
        <f t="shared" si="1"/>
        <v>C</v>
      </c>
      <c r="B130" s="14" t="s">
        <v>265</v>
      </c>
      <c r="C130" s="15" t="s">
        <v>36</v>
      </c>
      <c r="D130" s="41">
        <v>0</v>
      </c>
      <c r="E130" s="41">
        <v>0</v>
      </c>
      <c r="F130" s="39">
        <v>14980.94</v>
      </c>
      <c r="G130" s="39">
        <v>-14980.94</v>
      </c>
      <c r="H130" s="40">
        <v>-14980.94</v>
      </c>
    </row>
    <row r="131" spans="1:8" x14ac:dyDescent="0.35">
      <c r="A131" t="str">
        <f t="shared" ref="A131:A168" si="2">LEFT(B131,1)</f>
        <v>C</v>
      </c>
      <c r="B131" s="16" t="s">
        <v>266</v>
      </c>
      <c r="C131" s="15" t="s">
        <v>267</v>
      </c>
      <c r="D131" s="41">
        <v>0</v>
      </c>
      <c r="E131" s="41">
        <v>0</v>
      </c>
      <c r="F131" s="39">
        <v>14980.94</v>
      </c>
      <c r="G131" s="39">
        <v>-14980.94</v>
      </c>
      <c r="H131" s="40">
        <v>-14980.94</v>
      </c>
    </row>
    <row r="132" spans="1:8" x14ac:dyDescent="0.35">
      <c r="A132" t="str">
        <f t="shared" si="2"/>
        <v>C</v>
      </c>
      <c r="B132" s="17" t="s">
        <v>268</v>
      </c>
      <c r="C132" s="15" t="s">
        <v>269</v>
      </c>
      <c r="D132" s="41">
        <v>0</v>
      </c>
      <c r="E132" s="41">
        <v>0</v>
      </c>
      <c r="F132" s="39">
        <v>8252</v>
      </c>
      <c r="G132" s="39">
        <v>-8252</v>
      </c>
      <c r="H132" s="40">
        <v>-8252</v>
      </c>
    </row>
    <row r="133" spans="1:8" x14ac:dyDescent="0.35">
      <c r="A133" t="str">
        <f t="shared" si="2"/>
        <v>C</v>
      </c>
      <c r="B133" s="37" t="s">
        <v>270</v>
      </c>
      <c r="C133" s="15" t="s">
        <v>271</v>
      </c>
      <c r="D133" s="41">
        <v>0</v>
      </c>
      <c r="E133" s="41">
        <v>0</v>
      </c>
      <c r="F133" s="39">
        <v>8252</v>
      </c>
      <c r="G133" s="39">
        <v>-8252</v>
      </c>
      <c r="H133" s="40">
        <v>-8252</v>
      </c>
    </row>
    <row r="134" spans="1:8" x14ac:dyDescent="0.35">
      <c r="A134" t="str">
        <f t="shared" si="2"/>
        <v>3</v>
      </c>
      <c r="B134" s="105">
        <v>36910001</v>
      </c>
      <c r="C134" s="15" t="s">
        <v>20</v>
      </c>
      <c r="D134" s="41">
        <v>0</v>
      </c>
      <c r="E134" s="41">
        <v>0</v>
      </c>
      <c r="F134" s="39">
        <v>8252</v>
      </c>
      <c r="G134" s="39">
        <v>-8252</v>
      </c>
      <c r="H134" s="40">
        <v>-8252</v>
      </c>
    </row>
    <row r="135" spans="1:8" x14ac:dyDescent="0.35">
      <c r="A135" t="str">
        <f t="shared" si="2"/>
        <v>C</v>
      </c>
      <c r="B135" s="17" t="s">
        <v>272</v>
      </c>
      <c r="C135" s="15" t="s">
        <v>273</v>
      </c>
      <c r="D135" s="41">
        <v>0</v>
      </c>
      <c r="E135" s="41">
        <v>0</v>
      </c>
      <c r="F135" s="39">
        <v>6200.26</v>
      </c>
      <c r="G135" s="39">
        <v>-6200.26</v>
      </c>
      <c r="H135" s="40">
        <v>-6200.26</v>
      </c>
    </row>
    <row r="136" spans="1:8" x14ac:dyDescent="0.35">
      <c r="A136" t="str">
        <f t="shared" si="2"/>
        <v>C</v>
      </c>
      <c r="B136" s="37" t="s">
        <v>274</v>
      </c>
      <c r="C136" s="15" t="s">
        <v>275</v>
      </c>
      <c r="D136" s="41">
        <v>0</v>
      </c>
      <c r="E136" s="41">
        <v>0</v>
      </c>
      <c r="F136" s="39">
        <v>6200.26</v>
      </c>
      <c r="G136" s="39">
        <v>-6200.26</v>
      </c>
      <c r="H136" s="40">
        <v>-6200.26</v>
      </c>
    </row>
    <row r="137" spans="1:8" x14ac:dyDescent="0.35">
      <c r="A137" t="str">
        <f t="shared" si="2"/>
        <v>C</v>
      </c>
      <c r="B137" s="105" t="s">
        <v>276</v>
      </c>
      <c r="C137" s="15" t="s">
        <v>277</v>
      </c>
      <c r="D137" s="41">
        <v>0</v>
      </c>
      <c r="E137" s="41">
        <v>0</v>
      </c>
      <c r="F137" s="39">
        <v>6200.26</v>
      </c>
      <c r="G137" s="39">
        <v>-6200.26</v>
      </c>
      <c r="H137" s="40">
        <v>-6200.26</v>
      </c>
    </row>
    <row r="138" spans="1:8" x14ac:dyDescent="0.35">
      <c r="A138" t="str">
        <f t="shared" si="2"/>
        <v>C</v>
      </c>
      <c r="B138" s="106" t="s">
        <v>278</v>
      </c>
      <c r="C138" s="15" t="s">
        <v>279</v>
      </c>
      <c r="D138" s="41">
        <v>0</v>
      </c>
      <c r="E138" s="41">
        <v>0</v>
      </c>
      <c r="F138" s="39">
        <v>6200.26</v>
      </c>
      <c r="G138" s="39">
        <v>-6200.26</v>
      </c>
      <c r="H138" s="40">
        <v>-6200.26</v>
      </c>
    </row>
    <row r="139" spans="1:8" x14ac:dyDescent="0.35">
      <c r="A139" t="str">
        <f t="shared" si="2"/>
        <v>3</v>
      </c>
      <c r="B139" s="107">
        <v>36114001</v>
      </c>
      <c r="C139" s="15" t="s">
        <v>19</v>
      </c>
      <c r="D139" s="41">
        <v>0</v>
      </c>
      <c r="E139" s="41">
        <v>0</v>
      </c>
      <c r="F139" s="39">
        <v>6200.26</v>
      </c>
      <c r="G139" s="39">
        <v>-6200.26</v>
      </c>
      <c r="H139" s="40">
        <v>-6200.26</v>
      </c>
    </row>
    <row r="140" spans="1:8" x14ac:dyDescent="0.35">
      <c r="A140" t="str">
        <f t="shared" si="2"/>
        <v>C</v>
      </c>
      <c r="B140" s="17" t="s">
        <v>280</v>
      </c>
      <c r="C140" s="15" t="s">
        <v>36</v>
      </c>
      <c r="D140" s="41">
        <v>0</v>
      </c>
      <c r="E140" s="41">
        <v>0</v>
      </c>
      <c r="F140" s="39">
        <v>528.67999999999995</v>
      </c>
      <c r="G140" s="39">
        <v>-528.67999999999995</v>
      </c>
      <c r="H140" s="40">
        <v>-528.67999999999995</v>
      </c>
    </row>
    <row r="141" spans="1:8" x14ac:dyDescent="0.35">
      <c r="A141" t="str">
        <f t="shared" si="2"/>
        <v>C</v>
      </c>
      <c r="B141" s="37" t="s">
        <v>281</v>
      </c>
      <c r="C141" s="15" t="s">
        <v>214</v>
      </c>
      <c r="D141" s="41">
        <v>0</v>
      </c>
      <c r="E141" s="41">
        <v>0</v>
      </c>
      <c r="F141" s="39">
        <v>528.67999999999995</v>
      </c>
      <c r="G141" s="39">
        <v>-528.67999999999995</v>
      </c>
      <c r="H141" s="40">
        <v>-528.67999999999995</v>
      </c>
    </row>
    <row r="142" spans="1:8" x14ac:dyDescent="0.35">
      <c r="A142" t="str">
        <f t="shared" si="2"/>
        <v>3</v>
      </c>
      <c r="B142" s="105">
        <v>36990099</v>
      </c>
      <c r="C142" s="15" t="s">
        <v>21</v>
      </c>
      <c r="D142" s="41">
        <v>0</v>
      </c>
      <c r="E142" s="41">
        <v>0</v>
      </c>
      <c r="F142" s="39">
        <v>528.67999999999995</v>
      </c>
      <c r="G142" s="39">
        <v>-528.67999999999995</v>
      </c>
      <c r="H142" s="40">
        <v>-528.67999999999995</v>
      </c>
    </row>
    <row r="143" spans="1:8" x14ac:dyDescent="0.35">
      <c r="A143" t="str">
        <f t="shared" si="2"/>
        <v>C</v>
      </c>
      <c r="B143" s="14" t="s">
        <v>282</v>
      </c>
      <c r="C143" s="15" t="s">
        <v>283</v>
      </c>
      <c r="D143" s="41">
        <v>0</v>
      </c>
      <c r="E143" s="39">
        <v>828.88</v>
      </c>
      <c r="F143" s="41">
        <v>0</v>
      </c>
      <c r="G143" s="39">
        <v>828.88</v>
      </c>
      <c r="H143" s="40">
        <v>828.88</v>
      </c>
    </row>
    <row r="144" spans="1:8" x14ac:dyDescent="0.35">
      <c r="A144" t="str">
        <f t="shared" si="2"/>
        <v>C</v>
      </c>
      <c r="B144" s="16" t="s">
        <v>284</v>
      </c>
      <c r="C144" s="15" t="s">
        <v>285</v>
      </c>
      <c r="D144" s="41">
        <v>0</v>
      </c>
      <c r="E144" s="39">
        <v>828.88</v>
      </c>
      <c r="F144" s="41">
        <v>0</v>
      </c>
      <c r="G144" s="39">
        <v>828.88</v>
      </c>
      <c r="H144" s="40">
        <v>828.88</v>
      </c>
    </row>
    <row r="145" spans="1:8" x14ac:dyDescent="0.35">
      <c r="A145" t="str">
        <f t="shared" si="2"/>
        <v>C</v>
      </c>
      <c r="B145" s="17" t="s">
        <v>286</v>
      </c>
      <c r="C145" s="15" t="s">
        <v>283</v>
      </c>
      <c r="D145" s="41">
        <v>0</v>
      </c>
      <c r="E145" s="39">
        <v>828.88</v>
      </c>
      <c r="F145" s="41">
        <v>0</v>
      </c>
      <c r="G145" s="39">
        <v>828.88</v>
      </c>
      <c r="H145" s="40">
        <v>828.88</v>
      </c>
    </row>
    <row r="146" spans="1:8" x14ac:dyDescent="0.35">
      <c r="A146" t="str">
        <f t="shared" si="2"/>
        <v>C</v>
      </c>
      <c r="B146" s="37" t="s">
        <v>287</v>
      </c>
      <c r="C146" s="15" t="s">
        <v>222</v>
      </c>
      <c r="D146" s="41">
        <v>0</v>
      </c>
      <c r="E146" s="39">
        <v>828.88</v>
      </c>
      <c r="F146" s="41">
        <v>0</v>
      </c>
      <c r="G146" s="39">
        <v>828.88</v>
      </c>
      <c r="H146" s="40">
        <v>828.88</v>
      </c>
    </row>
    <row r="147" spans="1:8" x14ac:dyDescent="0.35">
      <c r="A147" t="str">
        <f t="shared" si="2"/>
        <v>4</v>
      </c>
      <c r="B147" s="105">
        <v>45990005</v>
      </c>
      <c r="C147" s="15" t="s">
        <v>84</v>
      </c>
      <c r="D147" s="41">
        <v>0</v>
      </c>
      <c r="E147" s="39">
        <v>828.88</v>
      </c>
      <c r="F147" s="41">
        <v>0</v>
      </c>
      <c r="G147" s="39">
        <v>828.88</v>
      </c>
      <c r="H147" s="40">
        <v>828.88</v>
      </c>
    </row>
    <row r="148" spans="1:8" x14ac:dyDescent="0.35">
      <c r="A148" t="str">
        <f t="shared" si="2"/>
        <v>C</v>
      </c>
      <c r="B148" s="12" t="s">
        <v>288</v>
      </c>
      <c r="C148" s="13" t="s">
        <v>289</v>
      </c>
      <c r="D148" s="41">
        <v>0</v>
      </c>
      <c r="E148" s="39">
        <v>253348.74</v>
      </c>
      <c r="F148" s="39">
        <v>239961.7</v>
      </c>
      <c r="G148" s="39">
        <v>13387.04</v>
      </c>
      <c r="H148" s="40">
        <v>13387.04</v>
      </c>
    </row>
    <row r="149" spans="1:8" x14ac:dyDescent="0.35">
      <c r="A149" t="str">
        <f t="shared" si="2"/>
        <v>C</v>
      </c>
      <c r="B149" s="14" t="s">
        <v>290</v>
      </c>
      <c r="C149" s="15" t="s">
        <v>180</v>
      </c>
      <c r="D149" s="41">
        <v>0</v>
      </c>
      <c r="E149" s="39">
        <v>253348.74</v>
      </c>
      <c r="F149" s="39">
        <v>239961.7</v>
      </c>
      <c r="G149" s="39">
        <v>13387.04</v>
      </c>
      <c r="H149" s="40">
        <v>13387.04</v>
      </c>
    </row>
    <row r="150" spans="1:8" x14ac:dyDescent="0.35">
      <c r="A150" t="str">
        <f t="shared" si="2"/>
        <v>C</v>
      </c>
      <c r="B150" s="16" t="s">
        <v>291</v>
      </c>
      <c r="C150" s="15" t="s">
        <v>180</v>
      </c>
      <c r="D150" s="41">
        <v>0</v>
      </c>
      <c r="E150" s="39">
        <v>253348.74</v>
      </c>
      <c r="F150" s="39">
        <v>239961.7</v>
      </c>
      <c r="G150" s="39">
        <v>13387.04</v>
      </c>
      <c r="H150" s="40">
        <v>13387.04</v>
      </c>
    </row>
    <row r="151" spans="1:8" x14ac:dyDescent="0.35">
      <c r="A151" t="str">
        <f t="shared" si="2"/>
        <v>C</v>
      </c>
      <c r="B151" s="17" t="s">
        <v>292</v>
      </c>
      <c r="C151" s="15" t="s">
        <v>180</v>
      </c>
      <c r="D151" s="41">
        <v>0</v>
      </c>
      <c r="E151" s="39">
        <v>253348.74</v>
      </c>
      <c r="F151" s="39">
        <v>239961.7</v>
      </c>
      <c r="G151" s="39">
        <v>13387.04</v>
      </c>
      <c r="H151" s="40">
        <v>13387.04</v>
      </c>
    </row>
    <row r="152" spans="1:8" x14ac:dyDescent="0.35">
      <c r="A152" t="str">
        <f t="shared" si="2"/>
        <v>C</v>
      </c>
      <c r="B152" s="37" t="s">
        <v>293</v>
      </c>
      <c r="C152" s="15" t="s">
        <v>182</v>
      </c>
      <c r="D152" s="41">
        <v>0</v>
      </c>
      <c r="E152" s="39">
        <v>178565.71</v>
      </c>
      <c r="F152" s="39">
        <v>169251.71</v>
      </c>
      <c r="G152" s="39">
        <v>9314</v>
      </c>
      <c r="H152" s="40">
        <v>9314</v>
      </c>
    </row>
    <row r="153" spans="1:8" x14ac:dyDescent="0.35">
      <c r="A153" t="str">
        <f t="shared" si="2"/>
        <v>5</v>
      </c>
      <c r="B153" s="105">
        <v>51110001</v>
      </c>
      <c r="C153" s="15" t="s">
        <v>52</v>
      </c>
      <c r="D153" s="41">
        <v>0</v>
      </c>
      <c r="E153" s="39">
        <v>178565.71</v>
      </c>
      <c r="F153" s="39">
        <v>169251.71</v>
      </c>
      <c r="G153" s="39">
        <v>9314</v>
      </c>
      <c r="H153" s="40">
        <v>9314</v>
      </c>
    </row>
    <row r="154" spans="1:8" x14ac:dyDescent="0.35">
      <c r="A154" t="str">
        <f t="shared" si="2"/>
        <v>C</v>
      </c>
      <c r="B154" s="37" t="s">
        <v>294</v>
      </c>
      <c r="C154" s="15" t="s">
        <v>140</v>
      </c>
      <c r="D154" s="41">
        <v>0</v>
      </c>
      <c r="E154" s="39">
        <v>74783.03</v>
      </c>
      <c r="F154" s="39">
        <v>70709.990000000005</v>
      </c>
      <c r="G154" s="39">
        <v>4073.04</v>
      </c>
      <c r="H154" s="40">
        <v>4073.04</v>
      </c>
    </row>
    <row r="155" spans="1:8" x14ac:dyDescent="0.35">
      <c r="A155" t="str">
        <f t="shared" si="2"/>
        <v>5</v>
      </c>
      <c r="B155" s="105">
        <v>51110002</v>
      </c>
      <c r="C155" s="15" t="s">
        <v>53</v>
      </c>
      <c r="D155" s="41">
        <v>0</v>
      </c>
      <c r="E155" s="39">
        <v>74783.03</v>
      </c>
      <c r="F155" s="39">
        <v>70709.990000000005</v>
      </c>
      <c r="G155" s="39">
        <v>4073.04</v>
      </c>
      <c r="H155" s="40">
        <v>4073.04</v>
      </c>
    </row>
    <row r="156" spans="1:8" x14ac:dyDescent="0.35">
      <c r="A156" t="str">
        <f t="shared" si="2"/>
        <v>N</v>
      </c>
      <c r="B156" s="18" t="s">
        <v>295</v>
      </c>
      <c r="C156" s="19" t="s">
        <v>295</v>
      </c>
      <c r="D156" s="39">
        <v>758085.45</v>
      </c>
      <c r="E156" s="39">
        <v>732945.68</v>
      </c>
      <c r="F156" s="39">
        <v>867876.4</v>
      </c>
      <c r="G156" s="39">
        <v>-134930.72</v>
      </c>
      <c r="H156" s="40">
        <v>623154.73</v>
      </c>
    </row>
    <row r="157" spans="1:8" x14ac:dyDescent="0.35">
      <c r="A157" t="str">
        <f t="shared" si="2"/>
        <v>1</v>
      </c>
      <c r="B157" s="10">
        <v>11311011</v>
      </c>
      <c r="C157" s="11" t="s">
        <v>4</v>
      </c>
      <c r="D157" s="41">
        <v>0</v>
      </c>
      <c r="E157" s="39">
        <v>7990.17</v>
      </c>
      <c r="F157" s="41">
        <v>0</v>
      </c>
      <c r="G157" s="39">
        <v>7990.17</v>
      </c>
      <c r="H157" s="40">
        <v>7990.17</v>
      </c>
    </row>
    <row r="158" spans="1:8" x14ac:dyDescent="0.35">
      <c r="A158" t="str">
        <f t="shared" si="2"/>
        <v>1</v>
      </c>
      <c r="B158" s="10">
        <v>11311094</v>
      </c>
      <c r="C158" s="11" t="s">
        <v>65</v>
      </c>
      <c r="D158" s="39">
        <v>8468</v>
      </c>
      <c r="E158" s="39">
        <v>40381</v>
      </c>
      <c r="F158" s="39">
        <v>48849</v>
      </c>
      <c r="G158" s="39">
        <v>-8468</v>
      </c>
      <c r="H158" s="42">
        <v>0</v>
      </c>
    </row>
    <row r="159" spans="1:8" x14ac:dyDescent="0.35">
      <c r="A159" t="str">
        <f t="shared" si="2"/>
        <v>1</v>
      </c>
      <c r="B159" s="10">
        <v>11610018</v>
      </c>
      <c r="C159" s="11" t="s">
        <v>55</v>
      </c>
      <c r="D159" s="39">
        <v>98034.4</v>
      </c>
      <c r="E159" s="39">
        <v>98034.4</v>
      </c>
      <c r="F159" s="39">
        <v>196068.8</v>
      </c>
      <c r="G159" s="39">
        <v>-98034.4</v>
      </c>
      <c r="H159" s="42">
        <v>0</v>
      </c>
    </row>
    <row r="160" spans="1:8" x14ac:dyDescent="0.35">
      <c r="A160" t="str">
        <f t="shared" si="2"/>
        <v>1</v>
      </c>
      <c r="B160" s="10">
        <v>11641008</v>
      </c>
      <c r="C160" s="11" t="s">
        <v>7</v>
      </c>
      <c r="D160" s="39">
        <v>443505.9</v>
      </c>
      <c r="E160" s="41">
        <v>0</v>
      </c>
      <c r="F160" s="41">
        <v>0</v>
      </c>
      <c r="G160" s="41">
        <v>0</v>
      </c>
      <c r="H160" s="40">
        <v>443505.9</v>
      </c>
    </row>
    <row r="161" spans="1:8" x14ac:dyDescent="0.35">
      <c r="A161" t="str">
        <f t="shared" si="2"/>
        <v>1</v>
      </c>
      <c r="B161" s="10">
        <v>11641009</v>
      </c>
      <c r="C161" s="11" t="s">
        <v>8</v>
      </c>
      <c r="D161" s="39">
        <v>61629.67</v>
      </c>
      <c r="E161" s="39">
        <v>676.02</v>
      </c>
      <c r="F161" s="41">
        <v>0</v>
      </c>
      <c r="G161" s="39">
        <v>676.02</v>
      </c>
      <c r="H161" s="40">
        <v>62305.69</v>
      </c>
    </row>
    <row r="162" spans="1:8" x14ac:dyDescent="0.35">
      <c r="A162" t="str">
        <f t="shared" si="2"/>
        <v>1</v>
      </c>
      <c r="B162" s="10">
        <v>11642005</v>
      </c>
      <c r="C162" s="11" t="s">
        <v>9</v>
      </c>
      <c r="D162" s="39">
        <v>53454.35</v>
      </c>
      <c r="E162" s="39">
        <v>456.17</v>
      </c>
      <c r="F162" s="41">
        <v>0</v>
      </c>
      <c r="G162" s="39">
        <v>456.17</v>
      </c>
      <c r="H162" s="40">
        <v>53910.52</v>
      </c>
    </row>
    <row r="163" spans="1:8" x14ac:dyDescent="0.35">
      <c r="A163" t="str">
        <f t="shared" si="2"/>
        <v>1</v>
      </c>
      <c r="B163" s="10">
        <v>11644004</v>
      </c>
      <c r="C163" s="11" t="s">
        <v>10</v>
      </c>
      <c r="D163" s="39">
        <v>16517.25</v>
      </c>
      <c r="E163" s="39">
        <v>362.69</v>
      </c>
      <c r="F163" s="39">
        <v>685.8</v>
      </c>
      <c r="G163" s="39">
        <v>-323.11</v>
      </c>
      <c r="H163" s="40">
        <v>16194.14</v>
      </c>
    </row>
    <row r="164" spans="1:8" x14ac:dyDescent="0.35">
      <c r="A164" t="str">
        <f t="shared" si="2"/>
        <v>1</v>
      </c>
      <c r="B164" s="10">
        <v>11644005</v>
      </c>
      <c r="C164" s="11" t="s">
        <v>11</v>
      </c>
      <c r="D164" s="39">
        <v>78041.039999999994</v>
      </c>
      <c r="E164" s="39">
        <v>1775.79</v>
      </c>
      <c r="F164" s="39">
        <v>3420.92</v>
      </c>
      <c r="G164" s="39">
        <v>-1645.13</v>
      </c>
      <c r="H164" s="40">
        <v>76395.91</v>
      </c>
    </row>
    <row r="165" spans="1:8" x14ac:dyDescent="0.35">
      <c r="A165" t="str">
        <f t="shared" si="2"/>
        <v>2</v>
      </c>
      <c r="B165" s="10">
        <v>21133102</v>
      </c>
      <c r="C165" s="11" t="s">
        <v>16</v>
      </c>
      <c r="D165" s="39">
        <v>-1565.16</v>
      </c>
      <c r="E165" s="39">
        <v>1565.06</v>
      </c>
      <c r="F165" s="39">
        <v>2095.2199999999998</v>
      </c>
      <c r="G165" s="39">
        <v>-530.16</v>
      </c>
      <c r="H165" s="40">
        <v>-2095.3200000000002</v>
      </c>
    </row>
    <row r="166" spans="1:8" x14ac:dyDescent="0.35">
      <c r="A166" t="str">
        <f t="shared" si="2"/>
        <v>3</v>
      </c>
      <c r="B166" s="10">
        <v>35199995</v>
      </c>
      <c r="C166" s="11" t="s">
        <v>68</v>
      </c>
      <c r="D166" s="41">
        <v>0</v>
      </c>
      <c r="E166" s="39">
        <v>3233.5</v>
      </c>
      <c r="F166" s="39">
        <v>40381</v>
      </c>
      <c r="G166" s="39">
        <v>-37147.5</v>
      </c>
      <c r="H166" s="40">
        <v>-37147.5</v>
      </c>
    </row>
    <row r="167" spans="1:8" x14ac:dyDescent="0.35">
      <c r="A167" t="str">
        <f t="shared" si="2"/>
        <v>4</v>
      </c>
      <c r="B167" s="10">
        <v>46530007</v>
      </c>
      <c r="C167" s="11" t="s">
        <v>25</v>
      </c>
      <c r="D167" s="41">
        <v>0</v>
      </c>
      <c r="E167" s="39">
        <v>2095.2199999999998</v>
      </c>
      <c r="F167" s="41">
        <v>0</v>
      </c>
      <c r="G167" s="39">
        <v>2095.2199999999998</v>
      </c>
      <c r="H167" s="40">
        <v>2095.2199999999998</v>
      </c>
    </row>
    <row r="168" spans="1:8" x14ac:dyDescent="0.35">
      <c r="A168" t="str">
        <f t="shared" si="2"/>
        <v>7</v>
      </c>
      <c r="B168" s="10">
        <v>70000000</v>
      </c>
      <c r="C168" s="11" t="s">
        <v>27</v>
      </c>
      <c r="D168" s="41">
        <v>0</v>
      </c>
      <c r="E168" s="39">
        <v>576375.66</v>
      </c>
      <c r="F168" s="39">
        <v>576375.66</v>
      </c>
      <c r="G168" s="41">
        <v>0</v>
      </c>
      <c r="H168" s="4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65EA-5E31-4F9E-9B93-70742486C603}">
  <dimension ref="A1:I138"/>
  <sheetViews>
    <sheetView showGridLines="0" workbookViewId="0">
      <selection sqref="A1:G1048576"/>
    </sheetView>
  </sheetViews>
  <sheetFormatPr defaultRowHeight="14.5" x14ac:dyDescent="0.35"/>
  <cols>
    <col min="1" max="1" width="13.1796875" customWidth="1"/>
    <col min="2" max="2" width="21.7265625" bestFit="1" customWidth="1"/>
    <col min="3" max="3" width="13.36328125" bestFit="1" customWidth="1"/>
    <col min="4" max="4" width="11.453125" bestFit="1" customWidth="1"/>
    <col min="5" max="5" width="14.1796875" bestFit="1" customWidth="1"/>
    <col min="6" max="6" width="12" bestFit="1" customWidth="1"/>
    <col min="7" max="7" width="13.36328125" bestFit="1" customWidth="1"/>
  </cols>
  <sheetData>
    <row r="1" spans="1:9" x14ac:dyDescent="0.35">
      <c r="A1" s="96"/>
      <c r="B1" s="96"/>
      <c r="C1" s="96"/>
      <c r="D1" s="96"/>
      <c r="E1" s="96"/>
      <c r="F1" s="96"/>
      <c r="G1" s="96"/>
    </row>
    <row r="2" spans="1:9" x14ac:dyDescent="0.35">
      <c r="A2" s="6"/>
      <c r="B2" s="6"/>
      <c r="C2" s="7"/>
      <c r="D2" s="7"/>
      <c r="E2" s="7"/>
      <c r="F2" s="7"/>
      <c r="G2" s="7"/>
    </row>
    <row r="3" spans="1:9" x14ac:dyDescent="0.35">
      <c r="A3" s="6"/>
      <c r="B3" s="6"/>
      <c r="C3" s="7"/>
      <c r="D3" s="7"/>
      <c r="E3" s="7"/>
      <c r="F3" s="7"/>
      <c r="G3" s="7"/>
    </row>
    <row r="4" spans="1:9" x14ac:dyDescent="0.35">
      <c r="A4" s="7"/>
      <c r="B4" s="7"/>
      <c r="C4" s="39"/>
      <c r="D4" s="39"/>
      <c r="E4" s="39"/>
      <c r="F4" s="39"/>
      <c r="G4" s="40"/>
    </row>
    <row r="5" spans="1:9" x14ac:dyDescent="0.35">
      <c r="A5" s="7"/>
      <c r="B5" s="7"/>
      <c r="C5" s="39"/>
      <c r="D5" s="39"/>
      <c r="E5" s="39"/>
      <c r="F5" s="39"/>
      <c r="G5" s="40"/>
    </row>
    <row r="6" spans="1:9" x14ac:dyDescent="0.35">
      <c r="A6" s="7"/>
      <c r="B6" s="7"/>
      <c r="C6" s="39"/>
      <c r="D6" s="39"/>
      <c r="E6" s="39"/>
      <c r="F6" s="39"/>
      <c r="G6" s="40"/>
    </row>
    <row r="7" spans="1:9" x14ac:dyDescent="0.35">
      <c r="A7" s="7"/>
      <c r="B7" s="7"/>
      <c r="C7" s="39"/>
      <c r="D7" s="39"/>
      <c r="E7" s="39"/>
      <c r="F7" s="39"/>
      <c r="G7" s="42"/>
    </row>
    <row r="8" spans="1:9" x14ac:dyDescent="0.35">
      <c r="A8" s="7"/>
      <c r="B8" s="7"/>
      <c r="C8" s="39"/>
      <c r="D8" s="39"/>
      <c r="E8" s="39"/>
      <c r="F8" s="39"/>
      <c r="G8" s="42"/>
    </row>
    <row r="9" spans="1:9" x14ac:dyDescent="0.35">
      <c r="A9" s="7"/>
      <c r="B9" s="7"/>
      <c r="C9" s="39"/>
      <c r="D9" s="39"/>
      <c r="E9" s="39"/>
      <c r="F9" s="39"/>
      <c r="G9" s="42"/>
    </row>
    <row r="10" spans="1:9" x14ac:dyDescent="0.35">
      <c r="A10" s="7"/>
      <c r="B10" s="7"/>
      <c r="C10" s="39"/>
      <c r="D10" s="39"/>
      <c r="E10" s="39"/>
      <c r="F10" s="39"/>
      <c r="G10" s="40"/>
    </row>
    <row r="11" spans="1:9" x14ac:dyDescent="0.35">
      <c r="A11" s="7"/>
      <c r="B11" s="7"/>
      <c r="C11" s="41"/>
      <c r="D11" s="39"/>
      <c r="E11" s="39"/>
      <c r="F11" s="41"/>
      <c r="G11" s="42"/>
      <c r="H11" s="78"/>
      <c r="I11" s="78"/>
    </row>
    <row r="12" spans="1:9" x14ac:dyDescent="0.35">
      <c r="A12" s="7"/>
      <c r="B12" s="7"/>
      <c r="C12" s="41"/>
      <c r="D12" s="39"/>
      <c r="E12" s="39"/>
      <c r="F12" s="39"/>
      <c r="G12" s="40"/>
    </row>
    <row r="13" spans="1:9" x14ac:dyDescent="0.35">
      <c r="A13" s="7"/>
      <c r="B13" s="7"/>
      <c r="C13" s="41"/>
      <c r="D13" s="39"/>
      <c r="E13" s="41"/>
      <c r="F13" s="39"/>
      <c r="G13" s="40"/>
    </row>
    <row r="14" spans="1:9" x14ac:dyDescent="0.35">
      <c r="A14" s="7"/>
      <c r="B14" s="7"/>
      <c r="C14" s="39"/>
      <c r="D14" s="39"/>
      <c r="E14" s="41"/>
      <c r="F14" s="39"/>
      <c r="G14" s="40"/>
    </row>
    <row r="15" spans="1:9" x14ac:dyDescent="0.35">
      <c r="A15" s="7"/>
      <c r="B15" s="7"/>
      <c r="C15" s="39"/>
      <c r="D15" s="39"/>
      <c r="E15" s="41"/>
      <c r="F15" s="39"/>
      <c r="G15" s="40"/>
      <c r="H15" s="78"/>
      <c r="I15" s="78"/>
    </row>
    <row r="16" spans="1:9" x14ac:dyDescent="0.35">
      <c r="A16" s="7"/>
      <c r="B16" s="7"/>
      <c r="C16" s="39"/>
      <c r="D16" s="41"/>
      <c r="E16" s="41"/>
      <c r="F16" s="41"/>
      <c r="G16" s="40"/>
    </row>
    <row r="17" spans="1:9" x14ac:dyDescent="0.35">
      <c r="A17" s="7"/>
      <c r="B17" s="7"/>
      <c r="C17" s="39"/>
      <c r="D17" s="39"/>
      <c r="E17" s="41"/>
      <c r="F17" s="39"/>
      <c r="G17" s="40"/>
    </row>
    <row r="18" spans="1:9" x14ac:dyDescent="0.35">
      <c r="A18" s="7"/>
      <c r="B18" s="7"/>
      <c r="C18" s="39"/>
      <c r="D18" s="39"/>
      <c r="E18" s="41"/>
      <c r="F18" s="39"/>
      <c r="G18" s="40"/>
    </row>
    <row r="19" spans="1:9" x14ac:dyDescent="0.35">
      <c r="A19" s="7"/>
      <c r="B19" s="7"/>
      <c r="C19" s="39"/>
      <c r="D19" s="39"/>
      <c r="E19" s="41"/>
      <c r="F19" s="39"/>
      <c r="G19" s="40"/>
    </row>
    <row r="20" spans="1:9" x14ac:dyDescent="0.35">
      <c r="A20" s="7"/>
      <c r="B20" s="7"/>
      <c r="C20" s="39"/>
      <c r="D20" s="41"/>
      <c r="E20" s="41"/>
      <c r="F20" s="41"/>
      <c r="G20" s="40"/>
    </row>
    <row r="21" spans="1:9" x14ac:dyDescent="0.35">
      <c r="A21" s="7"/>
      <c r="B21" s="7"/>
      <c r="C21" s="39"/>
      <c r="D21" s="39"/>
      <c r="E21" s="41"/>
      <c r="F21" s="39"/>
      <c r="G21" s="40"/>
    </row>
    <row r="22" spans="1:9" x14ac:dyDescent="0.35">
      <c r="A22" s="7"/>
      <c r="B22" s="7"/>
      <c r="C22" s="39"/>
      <c r="D22" s="39"/>
      <c r="E22" s="39"/>
      <c r="F22" s="39"/>
      <c r="G22" s="40"/>
    </row>
    <row r="23" spans="1:9" x14ac:dyDescent="0.35">
      <c r="A23" s="7"/>
      <c r="B23" s="7"/>
      <c r="C23" s="39"/>
      <c r="D23" s="39"/>
      <c r="E23" s="39"/>
      <c r="F23" s="39"/>
      <c r="G23" s="40"/>
    </row>
    <row r="24" spans="1:9" x14ac:dyDescent="0.35">
      <c r="A24" s="7"/>
      <c r="B24" s="7"/>
      <c r="C24" s="39"/>
      <c r="D24" s="39"/>
      <c r="E24" s="39"/>
      <c r="F24" s="39"/>
      <c r="G24" s="40"/>
    </row>
    <row r="25" spans="1:9" x14ac:dyDescent="0.35">
      <c r="A25" s="7"/>
      <c r="B25" s="7"/>
      <c r="C25" s="39"/>
      <c r="D25" s="41"/>
      <c r="E25" s="41"/>
      <c r="F25" s="41"/>
      <c r="G25" s="40"/>
    </row>
    <row r="26" spans="1:9" x14ac:dyDescent="0.35">
      <c r="A26" s="7"/>
      <c r="B26" s="7"/>
      <c r="C26" s="39"/>
      <c r="D26" s="41"/>
      <c r="E26" s="41"/>
      <c r="F26" s="41"/>
      <c r="G26" s="40"/>
    </row>
    <row r="27" spans="1:9" x14ac:dyDescent="0.35">
      <c r="A27" s="7"/>
      <c r="B27" s="7"/>
      <c r="C27" s="39"/>
      <c r="D27" s="41"/>
      <c r="E27" s="41"/>
      <c r="F27" s="41"/>
      <c r="G27" s="40"/>
      <c r="H27" s="78"/>
      <c r="I27" s="78"/>
    </row>
    <row r="28" spans="1:9" x14ac:dyDescent="0.35">
      <c r="A28" s="7"/>
      <c r="B28" s="7"/>
      <c r="C28" s="39"/>
      <c r="D28" s="41"/>
      <c r="E28" s="41"/>
      <c r="F28" s="41"/>
      <c r="G28" s="40"/>
      <c r="H28" s="92">
        <f>G27+G28</f>
        <v>0</v>
      </c>
      <c r="I28" s="78"/>
    </row>
    <row r="29" spans="1:9" x14ac:dyDescent="0.35">
      <c r="A29" s="7"/>
      <c r="B29" s="7"/>
      <c r="C29" s="39"/>
      <c r="D29" s="39"/>
      <c r="E29" s="39"/>
      <c r="F29" s="41"/>
      <c r="G29" s="40"/>
      <c r="H29" s="78"/>
      <c r="I29" s="78"/>
    </row>
    <row r="30" spans="1:9" x14ac:dyDescent="0.35">
      <c r="A30" s="7"/>
      <c r="B30" s="7"/>
      <c r="C30" s="41"/>
      <c r="D30" s="39"/>
      <c r="E30" s="39"/>
      <c r="F30" s="41"/>
      <c r="G30" s="42"/>
      <c r="H30" s="92">
        <f>G29+G30</f>
        <v>0</v>
      </c>
      <c r="I30" s="78"/>
    </row>
    <row r="31" spans="1:9" x14ac:dyDescent="0.35">
      <c r="A31" s="7"/>
      <c r="B31" s="7"/>
      <c r="C31" s="39"/>
      <c r="D31" s="41"/>
      <c r="E31" s="39"/>
      <c r="F31" s="39"/>
      <c r="G31" s="40"/>
    </row>
    <row r="32" spans="1:9" x14ac:dyDescent="0.35">
      <c r="A32" s="7"/>
      <c r="B32" s="7"/>
      <c r="C32" s="39"/>
      <c r="D32" s="41"/>
      <c r="E32" s="41"/>
      <c r="F32" s="41"/>
      <c r="G32" s="40"/>
    </row>
    <row r="33" spans="1:7" x14ac:dyDescent="0.35">
      <c r="A33" s="7"/>
      <c r="B33" s="7"/>
      <c r="C33" s="39"/>
      <c r="D33" s="39"/>
      <c r="E33" s="41"/>
      <c r="F33" s="39"/>
      <c r="G33" s="40"/>
    </row>
    <row r="34" spans="1:7" x14ac:dyDescent="0.35">
      <c r="A34" s="7"/>
      <c r="B34" s="7"/>
      <c r="C34" s="41"/>
      <c r="D34" s="41"/>
      <c r="E34" s="39"/>
      <c r="F34" s="39"/>
      <c r="G34" s="40"/>
    </row>
    <row r="35" spans="1:7" x14ac:dyDescent="0.35">
      <c r="A35" s="7"/>
      <c r="B35" s="7"/>
      <c r="C35" s="39"/>
      <c r="D35" s="41"/>
      <c r="E35" s="41"/>
      <c r="F35" s="41"/>
      <c r="G35" s="40"/>
    </row>
    <row r="36" spans="1:7" x14ac:dyDescent="0.35">
      <c r="A36" s="7"/>
      <c r="B36" s="7"/>
      <c r="C36" s="39"/>
      <c r="D36" s="39"/>
      <c r="E36" s="41"/>
      <c r="F36" s="39"/>
      <c r="G36" s="40"/>
    </row>
    <row r="37" spans="1:7" x14ac:dyDescent="0.35">
      <c r="A37" s="88"/>
      <c r="B37" s="88"/>
      <c r="C37" s="89"/>
      <c r="D37" s="89"/>
      <c r="E37" s="89"/>
      <c r="F37" s="89"/>
      <c r="G37" s="91"/>
    </row>
    <row r="38" spans="1:7" x14ac:dyDescent="0.35">
      <c r="A38" s="88"/>
      <c r="B38" s="88"/>
      <c r="C38" s="89"/>
      <c r="D38" s="89"/>
      <c r="E38" s="89"/>
      <c r="F38" s="89"/>
      <c r="G38" s="91"/>
    </row>
    <row r="39" spans="1:7" x14ac:dyDescent="0.35">
      <c r="A39" s="7"/>
      <c r="B39" s="7"/>
      <c r="C39" s="41"/>
      <c r="D39" s="41"/>
      <c r="E39" s="39"/>
      <c r="F39" s="39"/>
      <c r="G39" s="40"/>
    </row>
    <row r="40" spans="1:7" x14ac:dyDescent="0.35">
      <c r="A40" s="7"/>
      <c r="B40" s="7"/>
      <c r="C40" s="39"/>
      <c r="D40" s="39"/>
      <c r="E40" s="39"/>
      <c r="F40" s="39"/>
      <c r="G40" s="40"/>
    </row>
    <row r="41" spans="1:7" x14ac:dyDescent="0.35">
      <c r="A41" s="7"/>
      <c r="B41" s="7"/>
      <c r="C41" s="39"/>
      <c r="D41" s="41"/>
      <c r="E41" s="41"/>
      <c r="F41" s="41"/>
      <c r="G41" s="40"/>
    </row>
    <row r="42" spans="1:7" x14ac:dyDescent="0.35">
      <c r="A42" s="7"/>
      <c r="B42" s="7"/>
      <c r="C42" s="39"/>
      <c r="D42" s="41"/>
      <c r="E42" s="41"/>
      <c r="F42" s="41"/>
      <c r="G42" s="40"/>
    </row>
    <row r="43" spans="1:7" x14ac:dyDescent="0.35">
      <c r="A43" s="7"/>
      <c r="B43" s="7"/>
      <c r="C43" s="41"/>
      <c r="D43" s="39"/>
      <c r="E43" s="39"/>
      <c r="F43" s="39"/>
      <c r="G43" s="40"/>
    </row>
    <row r="44" spans="1:7" x14ac:dyDescent="0.35">
      <c r="A44" s="7"/>
      <c r="B44" s="7"/>
      <c r="C44" s="39"/>
      <c r="D44" s="41"/>
      <c r="E44" s="39"/>
      <c r="F44" s="39"/>
      <c r="G44" s="40"/>
    </row>
    <row r="45" spans="1:7" x14ac:dyDescent="0.35">
      <c r="A45" s="7"/>
      <c r="B45" s="7"/>
      <c r="C45" s="39"/>
      <c r="D45" s="41"/>
      <c r="E45" s="39"/>
      <c r="F45" s="39"/>
      <c r="G45" s="40"/>
    </row>
    <row r="46" spans="1:7" x14ac:dyDescent="0.35">
      <c r="A46" s="7"/>
      <c r="B46" s="7"/>
      <c r="C46" s="39"/>
      <c r="D46" s="41"/>
      <c r="E46" s="39"/>
      <c r="F46" s="39"/>
      <c r="G46" s="40"/>
    </row>
    <row r="47" spans="1:7" x14ac:dyDescent="0.35">
      <c r="A47" s="7"/>
      <c r="B47" s="7"/>
      <c r="C47" s="39"/>
      <c r="D47" s="41"/>
      <c r="E47" s="39"/>
      <c r="F47" s="39"/>
      <c r="G47" s="40"/>
    </row>
    <row r="48" spans="1:7" x14ac:dyDescent="0.35">
      <c r="A48" s="7"/>
      <c r="B48" s="7"/>
      <c r="C48" s="41"/>
      <c r="D48" s="39"/>
      <c r="E48" s="41"/>
      <c r="F48" s="39"/>
      <c r="G48" s="40"/>
    </row>
    <row r="49" spans="1:7" x14ac:dyDescent="0.35">
      <c r="A49" s="7"/>
      <c r="B49" s="7"/>
      <c r="C49" s="41"/>
      <c r="D49" s="39"/>
      <c r="E49" s="41"/>
      <c r="F49" s="39"/>
      <c r="G49" s="40"/>
    </row>
    <row r="50" spans="1:7" x14ac:dyDescent="0.35">
      <c r="A50" s="7"/>
      <c r="B50" s="7"/>
      <c r="C50" s="39"/>
      <c r="D50" s="41"/>
      <c r="E50" s="41"/>
      <c r="F50" s="41"/>
      <c r="G50" s="40"/>
    </row>
    <row r="51" spans="1:7" x14ac:dyDescent="0.35">
      <c r="A51" s="7"/>
      <c r="B51" s="7"/>
      <c r="C51" s="39"/>
      <c r="D51" s="41"/>
      <c r="E51" s="41"/>
      <c r="F51" s="41"/>
      <c r="G51" s="40"/>
    </row>
    <row r="52" spans="1:7" x14ac:dyDescent="0.35">
      <c r="A52" s="7"/>
      <c r="B52" s="7"/>
      <c r="C52" s="39"/>
      <c r="D52" s="41"/>
      <c r="E52" s="41"/>
      <c r="F52" s="41"/>
      <c r="G52" s="40"/>
    </row>
    <row r="53" spans="1:7" x14ac:dyDescent="0.35">
      <c r="A53" s="7"/>
      <c r="B53" s="7"/>
      <c r="C53" s="39"/>
      <c r="D53" s="41"/>
      <c r="E53" s="41"/>
      <c r="F53" s="41"/>
      <c r="G53" s="40"/>
    </row>
    <row r="54" spans="1:7" x14ac:dyDescent="0.35">
      <c r="A54" s="7"/>
      <c r="B54" s="7"/>
      <c r="C54" s="39"/>
      <c r="D54" s="41"/>
      <c r="E54" s="41"/>
      <c r="F54" s="41"/>
      <c r="G54" s="40"/>
    </row>
    <row r="55" spans="1:7" x14ac:dyDescent="0.35">
      <c r="A55" s="7"/>
      <c r="B55" s="7"/>
      <c r="C55" s="39"/>
      <c r="D55" s="41"/>
      <c r="E55" s="41"/>
      <c r="F55" s="41"/>
      <c r="G55" s="40"/>
    </row>
    <row r="56" spans="1:7" x14ac:dyDescent="0.35">
      <c r="A56" s="7"/>
      <c r="B56" s="7"/>
      <c r="C56" s="39"/>
      <c r="D56" s="41"/>
      <c r="E56" s="41"/>
      <c r="F56" s="41"/>
      <c r="G56" s="40"/>
    </row>
    <row r="57" spans="1:7" x14ac:dyDescent="0.35">
      <c r="A57" s="7"/>
      <c r="B57" s="7"/>
      <c r="C57" s="39"/>
      <c r="D57" s="41"/>
      <c r="E57" s="41"/>
      <c r="F57" s="41"/>
      <c r="G57" s="40"/>
    </row>
    <row r="58" spans="1:7" x14ac:dyDescent="0.35">
      <c r="A58" s="7"/>
      <c r="B58" s="7"/>
      <c r="C58" s="39"/>
      <c r="D58" s="41"/>
      <c r="E58" s="41"/>
      <c r="F58" s="41"/>
      <c r="G58" s="40"/>
    </row>
    <row r="59" spans="1:7" x14ac:dyDescent="0.35">
      <c r="A59" s="7"/>
      <c r="B59" s="7"/>
      <c r="C59" s="39"/>
      <c r="D59" s="41"/>
      <c r="E59" s="41"/>
      <c r="F59" s="41"/>
      <c r="G59" s="40"/>
    </row>
    <row r="60" spans="1:7" x14ac:dyDescent="0.35">
      <c r="A60" s="7"/>
      <c r="B60" s="7"/>
      <c r="C60" s="39"/>
      <c r="D60" s="41"/>
      <c r="E60" s="41"/>
      <c r="F60" s="41"/>
      <c r="G60" s="40"/>
    </row>
    <row r="61" spans="1:7" x14ac:dyDescent="0.35">
      <c r="A61" s="7"/>
      <c r="B61" s="7"/>
      <c r="C61" s="39"/>
      <c r="D61" s="41"/>
      <c r="E61" s="41"/>
      <c r="F61" s="41"/>
      <c r="G61" s="40"/>
    </row>
    <row r="62" spans="1:7" x14ac:dyDescent="0.35">
      <c r="A62" s="7"/>
      <c r="B62" s="7"/>
      <c r="C62" s="39"/>
      <c r="D62" s="41"/>
      <c r="E62" s="41"/>
      <c r="F62" s="41"/>
      <c r="G62" s="40"/>
    </row>
    <row r="63" spans="1:7" x14ac:dyDescent="0.35">
      <c r="A63" s="7"/>
      <c r="B63" s="7"/>
      <c r="C63" s="39"/>
      <c r="D63" s="41"/>
      <c r="E63" s="41"/>
      <c r="F63" s="41"/>
      <c r="G63" s="40"/>
    </row>
    <row r="64" spans="1:7" x14ac:dyDescent="0.35">
      <c r="A64" s="7"/>
      <c r="B64" s="7"/>
      <c r="C64" s="39"/>
      <c r="D64" s="41"/>
      <c r="E64" s="41"/>
      <c r="F64" s="41"/>
      <c r="G64" s="40"/>
    </row>
    <row r="65" spans="1:7" x14ac:dyDescent="0.35">
      <c r="A65" s="7"/>
      <c r="B65" s="7"/>
      <c r="C65" s="39"/>
      <c r="D65" s="41"/>
      <c r="E65" s="41"/>
      <c r="F65" s="41"/>
      <c r="G65" s="40"/>
    </row>
    <row r="66" spans="1:7" x14ac:dyDescent="0.35">
      <c r="A66" s="7"/>
      <c r="B66" s="7"/>
      <c r="C66" s="39"/>
      <c r="D66" s="41"/>
      <c r="E66" s="41"/>
      <c r="F66" s="41"/>
      <c r="G66" s="40"/>
    </row>
    <row r="67" spans="1:7" x14ac:dyDescent="0.35">
      <c r="A67" s="7"/>
      <c r="B67" s="7"/>
      <c r="C67" s="39"/>
      <c r="D67" s="41"/>
      <c r="E67" s="41"/>
      <c r="F67" s="41"/>
      <c r="G67" s="40"/>
    </row>
    <row r="68" spans="1:7" x14ac:dyDescent="0.35">
      <c r="A68" s="7"/>
      <c r="B68" s="7"/>
      <c r="C68" s="39"/>
      <c r="D68" s="41"/>
      <c r="E68" s="41"/>
      <c r="F68" s="41"/>
      <c r="G68" s="40"/>
    </row>
    <row r="69" spans="1:7" x14ac:dyDescent="0.35">
      <c r="A69" s="7"/>
      <c r="B69" s="7"/>
      <c r="C69" s="39"/>
      <c r="D69" s="41"/>
      <c r="E69" s="41"/>
      <c r="F69" s="41"/>
      <c r="G69" s="40"/>
    </row>
    <row r="70" spans="1:7" x14ac:dyDescent="0.35">
      <c r="A70" s="7"/>
      <c r="B70" s="7"/>
      <c r="C70" s="39"/>
      <c r="D70" s="41"/>
      <c r="E70" s="41"/>
      <c r="F70" s="41"/>
      <c r="G70" s="40"/>
    </row>
    <row r="71" spans="1:7" x14ac:dyDescent="0.35">
      <c r="A71" s="7"/>
      <c r="B71" s="7"/>
      <c r="C71" s="39"/>
      <c r="D71" s="41"/>
      <c r="E71" s="41"/>
      <c r="F71" s="41"/>
      <c r="G71" s="40"/>
    </row>
    <row r="72" spans="1:7" x14ac:dyDescent="0.35">
      <c r="A72" s="7"/>
      <c r="B72" s="7"/>
      <c r="C72" s="39"/>
      <c r="D72" s="41"/>
      <c r="E72" s="41"/>
      <c r="F72" s="41"/>
      <c r="G72" s="40"/>
    </row>
    <row r="73" spans="1:7" x14ac:dyDescent="0.35">
      <c r="A73" s="7"/>
      <c r="B73" s="7"/>
      <c r="C73" s="39"/>
      <c r="D73" s="41"/>
      <c r="E73" s="41"/>
      <c r="F73" s="41"/>
      <c r="G73" s="40"/>
    </row>
    <row r="74" spans="1:7" x14ac:dyDescent="0.35">
      <c r="A74" s="7"/>
      <c r="B74" s="7"/>
      <c r="C74" s="39"/>
      <c r="D74" s="41"/>
      <c r="E74" s="41"/>
      <c r="F74" s="41"/>
      <c r="G74" s="40"/>
    </row>
    <row r="75" spans="1:7" x14ac:dyDescent="0.35">
      <c r="A75" s="7"/>
      <c r="B75" s="7"/>
      <c r="C75" s="39"/>
      <c r="D75" s="41"/>
      <c r="E75" s="41"/>
      <c r="F75" s="41"/>
      <c r="G75" s="40"/>
    </row>
    <row r="76" spans="1:7" x14ac:dyDescent="0.35">
      <c r="A76" s="7"/>
      <c r="B76" s="7"/>
      <c r="C76" s="39"/>
      <c r="D76" s="41"/>
      <c r="E76" s="41"/>
      <c r="F76" s="41"/>
      <c r="G76" s="40"/>
    </row>
    <row r="77" spans="1:7" x14ac:dyDescent="0.35">
      <c r="A77" s="7"/>
      <c r="B77" s="7"/>
      <c r="C77" s="41"/>
      <c r="D77" s="39"/>
      <c r="E77" s="39"/>
      <c r="F77" s="41"/>
      <c r="G77" s="42"/>
    </row>
    <row r="78" spans="1:7" x14ac:dyDescent="0.35">
      <c r="A78" s="7"/>
      <c r="B78" s="7"/>
      <c r="C78" s="39"/>
      <c r="D78" s="41"/>
      <c r="E78" s="41"/>
      <c r="F78" s="41"/>
      <c r="G78" s="40"/>
    </row>
    <row r="79" spans="1:7" x14ac:dyDescent="0.35">
      <c r="A79" s="7"/>
      <c r="B79" s="7"/>
      <c r="C79" s="39"/>
      <c r="D79" s="41"/>
      <c r="E79" s="41"/>
      <c r="F79" s="41"/>
      <c r="G79" s="40"/>
    </row>
    <row r="80" spans="1:7" x14ac:dyDescent="0.35">
      <c r="A80" s="7"/>
      <c r="B80" s="7"/>
      <c r="C80" s="39"/>
      <c r="D80" s="41"/>
      <c r="E80" s="41"/>
      <c r="F80" s="41"/>
      <c r="G80" s="40"/>
    </row>
    <row r="81" spans="1:7" x14ac:dyDescent="0.35">
      <c r="A81" s="7"/>
      <c r="B81" s="7"/>
      <c r="C81" s="39"/>
      <c r="D81" s="41"/>
      <c r="E81" s="41"/>
      <c r="F81" s="41"/>
      <c r="G81" s="40"/>
    </row>
    <row r="82" spans="1:7" x14ac:dyDescent="0.35">
      <c r="A82" s="7"/>
      <c r="B82" s="7"/>
      <c r="C82" s="39"/>
      <c r="D82" s="41"/>
      <c r="E82" s="41"/>
      <c r="F82" s="41"/>
      <c r="G82" s="40"/>
    </row>
    <row r="83" spans="1:7" x14ac:dyDescent="0.35">
      <c r="A83" s="7"/>
      <c r="B83" s="7"/>
      <c r="C83" s="39"/>
      <c r="D83" s="41"/>
      <c r="E83" s="41"/>
      <c r="F83" s="41"/>
      <c r="G83" s="40"/>
    </row>
    <row r="84" spans="1:7" x14ac:dyDescent="0.35">
      <c r="A84" s="7"/>
      <c r="B84" s="7"/>
      <c r="C84" s="39"/>
      <c r="D84" s="39"/>
      <c r="E84" s="41"/>
      <c r="F84" s="39"/>
      <c r="G84" s="40"/>
    </row>
    <row r="85" spans="1:7" x14ac:dyDescent="0.35">
      <c r="A85" s="7"/>
      <c r="B85" s="7"/>
      <c r="C85" s="39"/>
      <c r="D85" s="41"/>
      <c r="E85" s="41"/>
      <c r="F85" s="41"/>
      <c r="G85" s="40"/>
    </row>
    <row r="86" spans="1:7" x14ac:dyDescent="0.35">
      <c r="A86" s="7"/>
      <c r="B86" s="7"/>
      <c r="C86" s="39"/>
      <c r="D86" s="41"/>
      <c r="E86" s="41"/>
      <c r="F86" s="41"/>
      <c r="G86" s="40"/>
    </row>
    <row r="87" spans="1:7" x14ac:dyDescent="0.35">
      <c r="A87" s="7"/>
      <c r="B87" s="7"/>
      <c r="C87" s="39"/>
      <c r="D87" s="41"/>
      <c r="E87" s="41"/>
      <c r="F87" s="41"/>
      <c r="G87" s="40"/>
    </row>
    <row r="88" spans="1:7" x14ac:dyDescent="0.35">
      <c r="A88" s="7"/>
      <c r="B88" s="7"/>
      <c r="C88" s="39"/>
      <c r="D88" s="41"/>
      <c r="E88" s="41"/>
      <c r="F88" s="41"/>
      <c r="G88" s="40"/>
    </row>
    <row r="89" spans="1:7" x14ac:dyDescent="0.35">
      <c r="A89" s="7"/>
      <c r="B89" s="7"/>
      <c r="C89" s="39"/>
      <c r="D89" s="41"/>
      <c r="E89" s="41"/>
      <c r="F89" s="41"/>
      <c r="G89" s="40"/>
    </row>
    <row r="90" spans="1:7" x14ac:dyDescent="0.35">
      <c r="A90" s="7"/>
      <c r="B90" s="7"/>
      <c r="C90" s="39"/>
      <c r="D90" s="41"/>
      <c r="E90" s="41"/>
      <c r="F90" s="41"/>
      <c r="G90" s="40"/>
    </row>
    <row r="91" spans="1:7" x14ac:dyDescent="0.35">
      <c r="A91" s="7"/>
      <c r="B91" s="7"/>
      <c r="C91" s="39"/>
      <c r="D91" s="41"/>
      <c r="E91" s="41"/>
      <c r="F91" s="41"/>
      <c r="G91" s="40"/>
    </row>
    <row r="92" spans="1:7" x14ac:dyDescent="0.35">
      <c r="A92" s="7"/>
      <c r="B92" s="7"/>
      <c r="C92" s="39"/>
      <c r="D92" s="41"/>
      <c r="E92" s="41"/>
      <c r="F92" s="41"/>
      <c r="G92" s="40"/>
    </row>
    <row r="93" spans="1:7" x14ac:dyDescent="0.35">
      <c r="A93" s="7"/>
      <c r="B93" s="7"/>
      <c r="C93" s="39"/>
      <c r="D93" s="41"/>
      <c r="E93" s="41"/>
      <c r="F93" s="41"/>
      <c r="G93" s="40"/>
    </row>
    <row r="94" spans="1:7" x14ac:dyDescent="0.35">
      <c r="A94" s="7"/>
      <c r="B94" s="7"/>
      <c r="C94" s="39"/>
      <c r="D94" s="41"/>
      <c r="E94" s="41"/>
      <c r="F94" s="41"/>
      <c r="G94" s="40"/>
    </row>
    <row r="95" spans="1:7" x14ac:dyDescent="0.35">
      <c r="A95" s="7"/>
      <c r="B95" s="7"/>
      <c r="C95" s="39"/>
      <c r="D95" s="39"/>
      <c r="E95" s="41"/>
      <c r="F95" s="39"/>
      <c r="G95" s="40"/>
    </row>
    <row r="96" spans="1:7" x14ac:dyDescent="0.35">
      <c r="A96" s="7"/>
      <c r="B96" s="7"/>
      <c r="C96" s="39"/>
      <c r="D96" s="39"/>
      <c r="E96" s="41"/>
      <c r="F96" s="39"/>
      <c r="G96" s="40"/>
    </row>
    <row r="97" spans="1:7" x14ac:dyDescent="0.35">
      <c r="A97" s="7"/>
      <c r="B97" s="7"/>
      <c r="C97" s="39"/>
      <c r="D97" s="39"/>
      <c r="E97" s="39"/>
      <c r="F97" s="39"/>
      <c r="G97" s="40"/>
    </row>
    <row r="98" spans="1:7" x14ac:dyDescent="0.35">
      <c r="A98" s="7"/>
      <c r="B98" s="7"/>
      <c r="C98" s="39"/>
      <c r="D98" s="41"/>
      <c r="E98" s="41"/>
      <c r="F98" s="41"/>
      <c r="G98" s="40"/>
    </row>
    <row r="99" spans="1:7" x14ac:dyDescent="0.35">
      <c r="A99" s="7"/>
      <c r="B99" s="7"/>
      <c r="C99" s="39"/>
      <c r="D99" s="39"/>
      <c r="E99" s="39"/>
      <c r="F99" s="41"/>
      <c r="G99" s="40"/>
    </row>
    <row r="100" spans="1:7" x14ac:dyDescent="0.35">
      <c r="A100" s="7"/>
      <c r="B100" s="7"/>
      <c r="C100" s="39"/>
      <c r="D100" s="41"/>
      <c r="E100" s="41"/>
      <c r="F100" s="41"/>
      <c r="G100" s="40"/>
    </row>
    <row r="101" spans="1:7" x14ac:dyDescent="0.35">
      <c r="A101" s="7"/>
      <c r="B101" s="7"/>
      <c r="C101" s="39"/>
      <c r="D101" s="41"/>
      <c r="E101" s="41"/>
      <c r="F101" s="41"/>
      <c r="G101" s="40"/>
    </row>
    <row r="102" spans="1:7" x14ac:dyDescent="0.35">
      <c r="A102" s="7"/>
      <c r="B102" s="7"/>
      <c r="C102" s="39"/>
      <c r="D102" s="41"/>
      <c r="E102" s="41"/>
      <c r="F102" s="41"/>
      <c r="G102" s="40"/>
    </row>
    <row r="103" spans="1:7" x14ac:dyDescent="0.35">
      <c r="A103" s="7"/>
      <c r="B103" s="7"/>
      <c r="C103" s="39"/>
      <c r="D103" s="41"/>
      <c r="E103" s="41"/>
      <c r="F103" s="41"/>
      <c r="G103" s="40"/>
    </row>
    <row r="104" spans="1:7" x14ac:dyDescent="0.35">
      <c r="A104" s="7"/>
      <c r="B104" s="7"/>
      <c r="C104" s="39"/>
      <c r="D104" s="41"/>
      <c r="E104" s="41"/>
      <c r="F104" s="41"/>
      <c r="G104" s="40"/>
    </row>
    <row r="105" spans="1:7" x14ac:dyDescent="0.35">
      <c r="A105" s="7"/>
      <c r="B105" s="7"/>
      <c r="C105" s="41"/>
      <c r="D105" s="39"/>
      <c r="E105" s="39"/>
      <c r="F105" s="41"/>
      <c r="G105" s="42"/>
    </row>
    <row r="106" spans="1:7" x14ac:dyDescent="0.35">
      <c r="A106" s="7"/>
      <c r="B106" s="7"/>
      <c r="C106" s="7"/>
      <c r="D106" s="7"/>
      <c r="E106" s="39"/>
      <c r="F106" s="41"/>
      <c r="G106" s="41"/>
    </row>
    <row r="107" spans="1:7" x14ac:dyDescent="0.35">
      <c r="A107" s="7"/>
      <c r="B107" s="7"/>
      <c r="C107" s="7"/>
      <c r="D107" s="7"/>
      <c r="E107" s="39"/>
      <c r="F107" s="41"/>
      <c r="G107" s="41"/>
    </row>
    <row r="108" spans="1:7" x14ac:dyDescent="0.35">
      <c r="A108" s="7"/>
      <c r="B108" s="7"/>
      <c r="C108" s="7"/>
      <c r="D108" s="7"/>
      <c r="E108" s="39"/>
      <c r="F108" s="41"/>
      <c r="G108" s="41"/>
    </row>
    <row r="109" spans="1:7" x14ac:dyDescent="0.35">
      <c r="A109" s="7"/>
      <c r="B109" s="7"/>
      <c r="C109" s="7"/>
      <c r="D109" s="7"/>
      <c r="E109" s="39"/>
      <c r="F109" s="41"/>
      <c r="G109" s="41"/>
    </row>
    <row r="110" spans="1:7" x14ac:dyDescent="0.35">
      <c r="A110" s="7"/>
      <c r="B110" s="7"/>
      <c r="C110" s="7"/>
      <c r="D110" s="7"/>
      <c r="E110" s="39"/>
      <c r="F110" s="41"/>
      <c r="G110" s="41"/>
    </row>
    <row r="111" spans="1:7" x14ac:dyDescent="0.35">
      <c r="A111" s="7"/>
      <c r="B111" s="7"/>
      <c r="C111" s="7"/>
      <c r="D111" s="7"/>
      <c r="E111" s="39"/>
      <c r="F111" s="41"/>
      <c r="G111" s="41"/>
    </row>
    <row r="112" spans="1:7" x14ac:dyDescent="0.35">
      <c r="A112" s="7"/>
      <c r="B112" s="7"/>
      <c r="C112" s="7"/>
      <c r="D112" s="7"/>
      <c r="E112" s="39"/>
      <c r="F112" s="41"/>
      <c r="G112" s="41"/>
    </row>
    <row r="113" spans="1:7" x14ac:dyDescent="0.35">
      <c r="A113" s="7"/>
      <c r="B113" s="7"/>
      <c r="C113" s="7"/>
      <c r="D113" s="7"/>
      <c r="E113" s="39"/>
      <c r="F113" s="41"/>
      <c r="G113" s="41"/>
    </row>
    <row r="114" spans="1:7" x14ac:dyDescent="0.35">
      <c r="A114" s="7"/>
      <c r="B114" s="7"/>
      <c r="C114" s="7"/>
      <c r="D114" s="7"/>
      <c r="E114" s="39"/>
      <c r="F114" s="41"/>
      <c r="G114" s="41"/>
    </row>
    <row r="115" spans="1:7" x14ac:dyDescent="0.35">
      <c r="A115" s="7"/>
      <c r="B115" s="7"/>
      <c r="C115" s="7"/>
      <c r="D115" s="7"/>
      <c r="E115" s="39"/>
      <c r="F115" s="41"/>
      <c r="G115" s="41"/>
    </row>
    <row r="116" spans="1:7" x14ac:dyDescent="0.35">
      <c r="A116" s="7"/>
      <c r="B116" s="7"/>
      <c r="C116" s="7"/>
      <c r="D116" s="7"/>
      <c r="E116" s="39"/>
      <c r="F116" s="39"/>
      <c r="G116" s="41"/>
    </row>
    <row r="117" spans="1:7" x14ac:dyDescent="0.35">
      <c r="A117" s="7"/>
      <c r="B117" s="7"/>
      <c r="C117" s="7"/>
      <c r="D117" s="7"/>
      <c r="E117" s="39"/>
      <c r="F117" s="41"/>
      <c r="G117" s="41"/>
    </row>
    <row r="118" spans="1:7" x14ac:dyDescent="0.35">
      <c r="A118" s="7"/>
      <c r="B118" s="7"/>
      <c r="C118" s="7"/>
      <c r="D118" s="7"/>
      <c r="E118" s="39"/>
      <c r="F118" s="41"/>
      <c r="G118" s="41"/>
    </row>
    <row r="119" spans="1:7" x14ac:dyDescent="0.35">
      <c r="A119" s="7"/>
      <c r="B119" s="7"/>
      <c r="C119" s="7"/>
      <c r="D119" s="7"/>
      <c r="E119" s="39"/>
      <c r="F119" s="41"/>
      <c r="G119" s="41"/>
    </row>
    <row r="120" spans="1:7" x14ac:dyDescent="0.35">
      <c r="A120" s="7"/>
      <c r="B120" s="7"/>
      <c r="C120" s="7"/>
      <c r="D120" s="7"/>
      <c r="E120" s="39"/>
      <c r="F120" s="41"/>
      <c r="G120" s="41"/>
    </row>
    <row r="121" spans="1:7" x14ac:dyDescent="0.35">
      <c r="A121" s="7"/>
      <c r="B121" s="7"/>
      <c r="C121" s="7"/>
      <c r="D121" s="7"/>
      <c r="E121" s="39"/>
      <c r="F121" s="41"/>
      <c r="G121" s="41"/>
    </row>
    <row r="122" spans="1:7" x14ac:dyDescent="0.35">
      <c r="A122" s="7"/>
      <c r="B122" s="7"/>
      <c r="C122" s="7"/>
      <c r="D122" s="7"/>
      <c r="E122" s="39"/>
      <c r="F122" s="41"/>
      <c r="G122" s="41"/>
    </row>
    <row r="123" spans="1:7" x14ac:dyDescent="0.35">
      <c r="A123" s="7"/>
      <c r="B123" s="7"/>
      <c r="C123" s="7"/>
      <c r="D123" s="7"/>
      <c r="E123" s="39"/>
      <c r="F123" s="41"/>
      <c r="G123" s="41"/>
    </row>
    <row r="124" spans="1:7" x14ac:dyDescent="0.35">
      <c r="A124" s="7"/>
      <c r="B124" s="7"/>
      <c r="C124" s="7"/>
      <c r="D124" s="7"/>
      <c r="E124" s="39"/>
      <c r="F124" s="41"/>
      <c r="G124" s="41"/>
    </row>
    <row r="125" spans="1:7" x14ac:dyDescent="0.35">
      <c r="A125" s="7"/>
      <c r="B125" s="7"/>
      <c r="C125" s="7"/>
      <c r="D125" s="7"/>
      <c r="E125" s="39"/>
      <c r="F125" s="41"/>
      <c r="G125" s="41"/>
    </row>
    <row r="126" spans="1:7" x14ac:dyDescent="0.35">
      <c r="A126" s="7"/>
      <c r="B126" s="7"/>
      <c r="C126" s="7"/>
      <c r="D126" s="7"/>
      <c r="E126" s="39"/>
      <c r="F126" s="41"/>
      <c r="G126" s="41"/>
    </row>
    <row r="127" spans="1:7" x14ac:dyDescent="0.35">
      <c r="A127" s="7"/>
      <c r="B127" s="7"/>
      <c r="C127" s="7"/>
      <c r="D127" s="7"/>
      <c r="E127" s="39"/>
      <c r="F127" s="41"/>
      <c r="G127" s="41"/>
    </row>
    <row r="128" spans="1:7" x14ac:dyDescent="0.35">
      <c r="A128" s="7"/>
      <c r="B128" s="7"/>
      <c r="C128" s="7"/>
      <c r="D128" s="7"/>
      <c r="E128" s="39"/>
      <c r="F128" s="41"/>
      <c r="G128" s="41"/>
    </row>
    <row r="129" spans="1:7" x14ac:dyDescent="0.35">
      <c r="A129" s="7"/>
      <c r="B129" s="7"/>
      <c r="C129" s="7"/>
      <c r="D129" s="7"/>
      <c r="E129" s="39"/>
      <c r="F129" s="41"/>
      <c r="G129" s="41"/>
    </row>
    <row r="130" spans="1:7" x14ac:dyDescent="0.35">
      <c r="A130" s="7"/>
      <c r="B130" s="7"/>
      <c r="C130" s="7"/>
      <c r="D130" s="7"/>
      <c r="E130" s="39"/>
      <c r="F130" s="41"/>
      <c r="G130" s="41"/>
    </row>
    <row r="131" spans="1:7" x14ac:dyDescent="0.35">
      <c r="A131" s="7"/>
      <c r="B131" s="7"/>
      <c r="C131" s="7"/>
      <c r="D131" s="7"/>
      <c r="E131" s="39"/>
      <c r="F131" s="41"/>
      <c r="G131" s="41"/>
    </row>
    <row r="132" spans="1:7" x14ac:dyDescent="0.35">
      <c r="A132" s="7"/>
      <c r="B132" s="7"/>
      <c r="C132" s="7"/>
      <c r="D132" s="7"/>
      <c r="E132" s="39"/>
      <c r="F132" s="41"/>
      <c r="G132" s="41"/>
    </row>
    <row r="133" spans="1:7" x14ac:dyDescent="0.35">
      <c r="A133" s="7"/>
      <c r="B133" s="7"/>
      <c r="C133" s="7"/>
      <c r="D133" s="7"/>
      <c r="E133" s="39"/>
      <c r="F133" s="41"/>
      <c r="G133" s="41"/>
    </row>
    <row r="134" spans="1:7" x14ac:dyDescent="0.35">
      <c r="A134" s="7"/>
      <c r="B134" s="7"/>
      <c r="C134" s="7"/>
      <c r="D134" s="7"/>
      <c r="E134" s="39"/>
      <c r="F134" s="41"/>
      <c r="G134" s="41"/>
    </row>
    <row r="135" spans="1:7" x14ac:dyDescent="0.35">
      <c r="A135" s="7"/>
      <c r="B135" s="7"/>
      <c r="C135" s="7"/>
      <c r="D135" s="7"/>
      <c r="E135" s="39"/>
      <c r="F135" s="41"/>
      <c r="G135" s="41"/>
    </row>
    <row r="136" spans="1:7" x14ac:dyDescent="0.35">
      <c r="A136" s="7"/>
      <c r="B136" s="7"/>
      <c r="C136" s="7"/>
      <c r="D136" s="7"/>
      <c r="E136" s="39"/>
      <c r="F136" s="41"/>
      <c r="G136" s="41"/>
    </row>
    <row r="137" spans="1:7" x14ac:dyDescent="0.35">
      <c r="A137" s="7"/>
      <c r="B137" s="7"/>
      <c r="C137" s="7"/>
      <c r="D137" s="7"/>
      <c r="E137" s="39"/>
      <c r="F137" s="39"/>
      <c r="G137" s="39"/>
    </row>
    <row r="138" spans="1:7" x14ac:dyDescent="0.35">
      <c r="A138" s="7"/>
      <c r="B138" s="7"/>
      <c r="C138" s="7"/>
      <c r="D138" s="7"/>
      <c r="E138" s="39"/>
      <c r="F138" s="41"/>
      <c r="G138" s="41"/>
    </row>
  </sheetData>
  <autoFilter ref="A3:I105" xr:uid="{9F1165EA-5E31-4F9E-9B93-70742486C603}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2802-6FC1-495C-AA18-670008E43D3D}">
  <dimension ref="A1:I138"/>
  <sheetViews>
    <sheetView showGridLines="0" workbookViewId="0">
      <selection sqref="A1:G1048576"/>
    </sheetView>
  </sheetViews>
  <sheetFormatPr defaultRowHeight="14.5" x14ac:dyDescent="0.35"/>
  <cols>
    <col min="1" max="1" width="13.1796875" customWidth="1"/>
    <col min="2" max="2" width="21.7265625" bestFit="1" customWidth="1"/>
    <col min="3" max="3" width="13.36328125" bestFit="1" customWidth="1"/>
    <col min="4" max="4" width="11.453125" bestFit="1" customWidth="1"/>
    <col min="5" max="5" width="14.1796875" bestFit="1" customWidth="1"/>
    <col min="6" max="6" width="11.1796875" bestFit="1" customWidth="1"/>
    <col min="7" max="7" width="13.36328125" bestFit="1" customWidth="1"/>
  </cols>
  <sheetData>
    <row r="1" spans="1:9" x14ac:dyDescent="0.35">
      <c r="A1" s="95"/>
      <c r="B1" s="95"/>
      <c r="C1" s="95"/>
      <c r="D1" s="95"/>
      <c r="E1" s="95"/>
      <c r="F1" s="95"/>
      <c r="G1" s="95"/>
    </row>
    <row r="2" spans="1:9" x14ac:dyDescent="0.35">
      <c r="A2" s="6"/>
      <c r="B2" s="6"/>
      <c r="C2" s="7"/>
      <c r="D2" s="7"/>
      <c r="E2" s="7"/>
      <c r="F2" s="7"/>
      <c r="G2" s="7"/>
    </row>
    <row r="3" spans="1:9" x14ac:dyDescent="0.35">
      <c r="A3" s="6"/>
      <c r="B3" s="6"/>
      <c r="C3" s="7"/>
      <c r="D3" s="7"/>
      <c r="E3" s="7"/>
      <c r="F3" s="7"/>
      <c r="G3" s="7"/>
    </row>
    <row r="4" spans="1:9" x14ac:dyDescent="0.35">
      <c r="A4" s="7"/>
      <c r="B4" s="7"/>
      <c r="C4" s="39"/>
      <c r="D4" s="39"/>
      <c r="E4" s="39"/>
      <c r="F4" s="39"/>
      <c r="G4" s="40"/>
    </row>
    <row r="5" spans="1:9" x14ac:dyDescent="0.35">
      <c r="A5" s="7"/>
      <c r="B5" s="7"/>
      <c r="C5" s="41"/>
      <c r="D5" s="39"/>
      <c r="E5" s="39"/>
      <c r="F5" s="39"/>
      <c r="G5" s="40"/>
    </row>
    <row r="6" spans="1:9" x14ac:dyDescent="0.35">
      <c r="A6" s="7"/>
      <c r="B6" s="7"/>
      <c r="C6" s="41"/>
      <c r="D6" s="39"/>
      <c r="E6" s="39"/>
      <c r="F6" s="39"/>
      <c r="G6" s="40"/>
    </row>
    <row r="7" spans="1:9" x14ac:dyDescent="0.35">
      <c r="A7" s="7"/>
      <c r="B7" s="7"/>
      <c r="C7" s="41"/>
      <c r="D7" s="41"/>
      <c r="E7" s="39"/>
      <c r="F7" s="39"/>
      <c r="G7" s="40"/>
    </row>
    <row r="8" spans="1:9" x14ac:dyDescent="0.35">
      <c r="A8" s="7"/>
      <c r="B8" s="7"/>
      <c r="C8" s="39"/>
      <c r="D8" s="39"/>
      <c r="E8" s="39"/>
      <c r="F8" s="41"/>
      <c r="G8" s="40"/>
    </row>
    <row r="9" spans="1:9" x14ac:dyDescent="0.35">
      <c r="A9" s="7"/>
      <c r="B9" s="7"/>
      <c r="C9" s="41"/>
      <c r="D9" s="39"/>
      <c r="E9" s="39"/>
      <c r="F9" s="39"/>
      <c r="G9" s="40"/>
    </row>
    <row r="10" spans="1:9" x14ac:dyDescent="0.35">
      <c r="A10" s="7"/>
      <c r="B10" s="7"/>
      <c r="C10" s="39"/>
      <c r="D10" s="39"/>
      <c r="E10" s="39"/>
      <c r="F10" s="39"/>
      <c r="G10" s="40"/>
    </row>
    <row r="11" spans="1:9" x14ac:dyDescent="0.35">
      <c r="A11" s="7"/>
      <c r="B11" s="7"/>
      <c r="C11" s="39"/>
      <c r="D11" s="41"/>
      <c r="E11" s="41"/>
      <c r="F11" s="41"/>
      <c r="G11" s="40"/>
      <c r="H11" s="78"/>
      <c r="I11" s="78"/>
    </row>
    <row r="12" spans="1:9" x14ac:dyDescent="0.35">
      <c r="A12" s="7"/>
      <c r="B12" s="7"/>
      <c r="C12" s="39"/>
      <c r="D12" s="39"/>
      <c r="E12" s="41"/>
      <c r="F12" s="39"/>
      <c r="G12" s="40"/>
    </row>
    <row r="13" spans="1:9" x14ac:dyDescent="0.35">
      <c r="A13" s="7"/>
      <c r="B13" s="7"/>
      <c r="C13" s="39"/>
      <c r="D13" s="39"/>
      <c r="E13" s="39"/>
      <c r="F13" s="39"/>
      <c r="G13" s="40"/>
    </row>
    <row r="14" spans="1:9" x14ac:dyDescent="0.35">
      <c r="A14" s="7"/>
      <c r="B14" s="7"/>
      <c r="C14" s="39"/>
      <c r="D14" s="39"/>
      <c r="E14" s="41"/>
      <c r="F14" s="39"/>
      <c r="G14" s="40"/>
    </row>
    <row r="15" spans="1:9" x14ac:dyDescent="0.35">
      <c r="A15" s="7"/>
      <c r="B15" s="7"/>
      <c r="C15" s="39"/>
      <c r="D15" s="41"/>
      <c r="E15" s="41"/>
      <c r="F15" s="41"/>
      <c r="G15" s="40"/>
      <c r="H15" s="78"/>
      <c r="I15" s="78"/>
    </row>
    <row r="16" spans="1:9" x14ac:dyDescent="0.35">
      <c r="A16" s="7"/>
      <c r="B16" s="7"/>
      <c r="C16" s="39"/>
      <c r="D16" s="39"/>
      <c r="E16" s="41"/>
      <c r="F16" s="39"/>
      <c r="G16" s="40"/>
    </row>
    <row r="17" spans="1:9" x14ac:dyDescent="0.35">
      <c r="A17" s="7"/>
      <c r="B17" s="7"/>
      <c r="C17" s="39"/>
      <c r="D17" s="39"/>
      <c r="E17" s="39"/>
      <c r="F17" s="39"/>
      <c r="G17" s="40"/>
    </row>
    <row r="18" spans="1:9" x14ac:dyDescent="0.35">
      <c r="A18" s="7"/>
      <c r="B18" s="7"/>
      <c r="C18" s="39"/>
      <c r="D18" s="41"/>
      <c r="E18" s="41"/>
      <c r="F18" s="41"/>
      <c r="G18" s="40"/>
    </row>
    <row r="19" spans="1:9" x14ac:dyDescent="0.35">
      <c r="A19" s="7"/>
      <c r="B19" s="7"/>
      <c r="C19" s="39"/>
      <c r="D19" s="41"/>
      <c r="E19" s="39"/>
      <c r="F19" s="39"/>
      <c r="G19" s="40"/>
    </row>
    <row r="20" spans="1:9" x14ac:dyDescent="0.35">
      <c r="A20" s="7"/>
      <c r="B20" s="7"/>
      <c r="C20" s="39"/>
      <c r="D20" s="41"/>
      <c r="E20" s="39"/>
      <c r="F20" s="39"/>
      <c r="G20" s="40"/>
    </row>
    <row r="21" spans="1:9" x14ac:dyDescent="0.35">
      <c r="A21" s="7"/>
      <c r="B21" s="7"/>
      <c r="C21" s="39"/>
      <c r="D21" s="39"/>
      <c r="E21" s="39"/>
      <c r="F21" s="39"/>
      <c r="G21" s="40"/>
    </row>
    <row r="22" spans="1:9" x14ac:dyDescent="0.35">
      <c r="A22" s="7"/>
      <c r="B22" s="7"/>
      <c r="C22" s="39"/>
      <c r="D22" s="41"/>
      <c r="E22" s="41"/>
      <c r="F22" s="41"/>
      <c r="G22" s="40"/>
    </row>
    <row r="23" spans="1:9" x14ac:dyDescent="0.35">
      <c r="A23" s="7"/>
      <c r="B23" s="7"/>
      <c r="C23" s="39"/>
      <c r="D23" s="41"/>
      <c r="E23" s="41"/>
      <c r="F23" s="41"/>
      <c r="G23" s="40"/>
    </row>
    <row r="24" spans="1:9" x14ac:dyDescent="0.35">
      <c r="A24" s="7"/>
      <c r="B24" s="7"/>
      <c r="C24" s="39"/>
      <c r="D24" s="41"/>
      <c r="E24" s="41"/>
      <c r="F24" s="41"/>
      <c r="G24" s="40"/>
    </row>
    <row r="25" spans="1:9" x14ac:dyDescent="0.35">
      <c r="A25" s="7"/>
      <c r="B25" s="7"/>
      <c r="C25" s="39"/>
      <c r="D25" s="41"/>
      <c r="E25" s="41"/>
      <c r="F25" s="41"/>
      <c r="G25" s="40"/>
    </row>
    <row r="26" spans="1:9" x14ac:dyDescent="0.35">
      <c r="A26" s="7"/>
      <c r="B26" s="7"/>
      <c r="C26" s="39"/>
      <c r="D26" s="39"/>
      <c r="E26" s="39"/>
      <c r="F26" s="41"/>
      <c r="G26" s="40"/>
    </row>
    <row r="27" spans="1:9" x14ac:dyDescent="0.35">
      <c r="A27" s="7"/>
      <c r="B27" s="7"/>
      <c r="C27" s="39"/>
      <c r="D27" s="41"/>
      <c r="E27" s="41"/>
      <c r="F27" s="41"/>
      <c r="G27" s="40"/>
      <c r="H27" s="78"/>
      <c r="I27" s="78"/>
    </row>
    <row r="28" spans="1:9" x14ac:dyDescent="0.35">
      <c r="A28" s="7"/>
      <c r="B28" s="7"/>
      <c r="C28" s="39"/>
      <c r="D28" s="41"/>
      <c r="E28" s="41"/>
      <c r="F28" s="41"/>
      <c r="G28" s="40"/>
      <c r="H28" s="92">
        <f>G27+G28</f>
        <v>0</v>
      </c>
      <c r="I28" s="78"/>
    </row>
    <row r="29" spans="1:9" x14ac:dyDescent="0.35">
      <c r="A29" s="7"/>
      <c r="B29" s="7"/>
      <c r="C29" s="39"/>
      <c r="D29" s="39"/>
      <c r="E29" s="41"/>
      <c r="F29" s="39"/>
      <c r="G29" s="40"/>
      <c r="H29" s="78"/>
      <c r="I29" s="78"/>
    </row>
    <row r="30" spans="1:9" x14ac:dyDescent="0.35">
      <c r="A30" s="7"/>
      <c r="B30" s="7"/>
      <c r="C30" s="39"/>
      <c r="D30" s="41"/>
      <c r="E30" s="41"/>
      <c r="F30" s="41"/>
      <c r="G30" s="40"/>
      <c r="H30" s="92">
        <f>G29+G30</f>
        <v>0</v>
      </c>
      <c r="I30" s="78"/>
    </row>
    <row r="31" spans="1:9" x14ac:dyDescent="0.35">
      <c r="A31" s="7"/>
      <c r="B31" s="7"/>
      <c r="C31" s="39"/>
      <c r="D31" s="39"/>
      <c r="E31" s="41"/>
      <c r="F31" s="39"/>
      <c r="G31" s="40"/>
    </row>
    <row r="32" spans="1:9" x14ac:dyDescent="0.35">
      <c r="A32" s="7"/>
      <c r="B32" s="7"/>
      <c r="C32" s="39"/>
      <c r="D32" s="39"/>
      <c r="E32" s="39"/>
      <c r="F32" s="39"/>
      <c r="G32" s="40"/>
    </row>
    <row r="33" spans="1:7" x14ac:dyDescent="0.35">
      <c r="A33" s="7"/>
      <c r="B33" s="7"/>
      <c r="C33" s="39"/>
      <c r="D33" s="39"/>
      <c r="E33" s="39"/>
      <c r="F33" s="39"/>
      <c r="G33" s="40"/>
    </row>
    <row r="34" spans="1:7" x14ac:dyDescent="0.35">
      <c r="A34" s="7"/>
      <c r="B34" s="7"/>
      <c r="C34" s="39"/>
      <c r="D34" s="39"/>
      <c r="E34" s="41"/>
      <c r="F34" s="39"/>
      <c r="G34" s="40"/>
    </row>
    <row r="35" spans="1:7" x14ac:dyDescent="0.35">
      <c r="A35" s="7"/>
      <c r="B35" s="7"/>
      <c r="C35" s="39"/>
      <c r="D35" s="41"/>
      <c r="E35" s="41"/>
      <c r="F35" s="41"/>
      <c r="G35" s="40"/>
    </row>
    <row r="36" spans="1:7" x14ac:dyDescent="0.35">
      <c r="A36" s="7"/>
      <c r="B36" s="7"/>
      <c r="C36" s="39"/>
      <c r="D36" s="41"/>
      <c r="E36" s="41"/>
      <c r="F36" s="41"/>
      <c r="G36" s="40"/>
    </row>
    <row r="37" spans="1:7" x14ac:dyDescent="0.35">
      <c r="A37" s="7"/>
      <c r="B37" s="7"/>
      <c r="C37" s="39"/>
      <c r="D37" s="41"/>
      <c r="E37" s="41"/>
      <c r="F37" s="41"/>
      <c r="G37" s="40"/>
    </row>
    <row r="38" spans="1:7" x14ac:dyDescent="0.35">
      <c r="A38" s="7"/>
      <c r="B38" s="7"/>
      <c r="C38" s="39"/>
      <c r="D38" s="41"/>
      <c r="E38" s="39"/>
      <c r="F38" s="39"/>
      <c r="G38" s="40"/>
    </row>
    <row r="39" spans="1:7" x14ac:dyDescent="0.35">
      <c r="A39" s="7"/>
      <c r="B39" s="7"/>
      <c r="C39" s="39"/>
      <c r="D39" s="41"/>
      <c r="E39" s="39"/>
      <c r="F39" s="39"/>
      <c r="G39" s="40"/>
    </row>
    <row r="40" spans="1:7" x14ac:dyDescent="0.35">
      <c r="A40" s="7"/>
      <c r="B40" s="7"/>
      <c r="C40" s="39"/>
      <c r="D40" s="41"/>
      <c r="E40" s="39"/>
      <c r="F40" s="39"/>
      <c r="G40" s="40"/>
    </row>
    <row r="41" spans="1:7" x14ac:dyDescent="0.35">
      <c r="A41" s="7"/>
      <c r="B41" s="7"/>
      <c r="C41" s="39"/>
      <c r="D41" s="41"/>
      <c r="E41" s="41"/>
      <c r="F41" s="41"/>
      <c r="G41" s="40"/>
    </row>
    <row r="42" spans="1:7" x14ac:dyDescent="0.35">
      <c r="A42" s="7"/>
      <c r="B42" s="7"/>
      <c r="C42" s="39"/>
      <c r="D42" s="41"/>
      <c r="E42" s="41"/>
      <c r="F42" s="41"/>
      <c r="G42" s="40"/>
    </row>
    <row r="43" spans="1:7" x14ac:dyDescent="0.35">
      <c r="A43" s="7"/>
      <c r="B43" s="7"/>
      <c r="C43" s="39"/>
      <c r="D43" s="41"/>
      <c r="E43" s="41"/>
      <c r="F43" s="41"/>
      <c r="G43" s="40"/>
    </row>
    <row r="44" spans="1:7" x14ac:dyDescent="0.35">
      <c r="A44" s="7"/>
      <c r="B44" s="7"/>
      <c r="C44" s="39"/>
      <c r="D44" s="41"/>
      <c r="E44" s="41"/>
      <c r="F44" s="41"/>
      <c r="G44" s="40"/>
    </row>
    <row r="45" spans="1:7" x14ac:dyDescent="0.35">
      <c r="A45" s="7"/>
      <c r="B45" s="7"/>
      <c r="C45" s="39"/>
      <c r="D45" s="41"/>
      <c r="E45" s="41"/>
      <c r="F45" s="41"/>
      <c r="G45" s="40"/>
    </row>
    <row r="46" spans="1:7" x14ac:dyDescent="0.35">
      <c r="A46" s="7"/>
      <c r="B46" s="7"/>
      <c r="C46" s="39"/>
      <c r="D46" s="41"/>
      <c r="E46" s="41"/>
      <c r="F46" s="41"/>
      <c r="G46" s="40"/>
    </row>
    <row r="47" spans="1:7" x14ac:dyDescent="0.35">
      <c r="A47" s="7"/>
      <c r="B47" s="7"/>
      <c r="C47" s="39"/>
      <c r="D47" s="41"/>
      <c r="E47" s="41"/>
      <c r="F47" s="41"/>
      <c r="G47" s="40"/>
    </row>
    <row r="48" spans="1:7" x14ac:dyDescent="0.35">
      <c r="A48" s="7"/>
      <c r="B48" s="7"/>
      <c r="C48" s="39"/>
      <c r="D48" s="41"/>
      <c r="E48" s="41"/>
      <c r="F48" s="41"/>
      <c r="G48" s="40"/>
    </row>
    <row r="49" spans="1:7" x14ac:dyDescent="0.35">
      <c r="A49" s="7"/>
      <c r="B49" s="7"/>
      <c r="C49" s="39"/>
      <c r="D49" s="41"/>
      <c r="E49" s="41"/>
      <c r="F49" s="41"/>
      <c r="G49" s="40"/>
    </row>
    <row r="50" spans="1:7" x14ac:dyDescent="0.35">
      <c r="A50" s="7"/>
      <c r="B50" s="7"/>
      <c r="C50" s="39"/>
      <c r="D50" s="41"/>
      <c r="E50" s="41"/>
      <c r="F50" s="41"/>
      <c r="G50" s="40"/>
    </row>
    <row r="51" spans="1:7" x14ac:dyDescent="0.35">
      <c r="A51" s="7"/>
      <c r="B51" s="7"/>
      <c r="C51" s="39"/>
      <c r="D51" s="41"/>
      <c r="E51" s="41"/>
      <c r="F51" s="41"/>
      <c r="G51" s="40"/>
    </row>
    <row r="52" spans="1:7" x14ac:dyDescent="0.35">
      <c r="A52" s="7"/>
      <c r="B52" s="7"/>
      <c r="C52" s="39"/>
      <c r="D52" s="41"/>
      <c r="E52" s="41"/>
      <c r="F52" s="41"/>
      <c r="G52" s="40"/>
    </row>
    <row r="53" spans="1:7" x14ac:dyDescent="0.35">
      <c r="A53" s="7"/>
      <c r="B53" s="7"/>
      <c r="C53" s="39"/>
      <c r="D53" s="41"/>
      <c r="E53" s="41"/>
      <c r="F53" s="41"/>
      <c r="G53" s="40"/>
    </row>
    <row r="54" spans="1:7" x14ac:dyDescent="0.35">
      <c r="A54" s="7"/>
      <c r="B54" s="7"/>
      <c r="C54" s="39"/>
      <c r="D54" s="41"/>
      <c r="E54" s="41"/>
      <c r="F54" s="41"/>
      <c r="G54" s="40"/>
    </row>
    <row r="55" spans="1:7" x14ac:dyDescent="0.35">
      <c r="A55" s="7"/>
      <c r="B55" s="7"/>
      <c r="C55" s="39"/>
      <c r="D55" s="41"/>
      <c r="E55" s="41"/>
      <c r="F55" s="41"/>
      <c r="G55" s="40"/>
    </row>
    <row r="56" spans="1:7" x14ac:dyDescent="0.35">
      <c r="A56" s="7"/>
      <c r="B56" s="7"/>
      <c r="C56" s="39"/>
      <c r="D56" s="41"/>
      <c r="E56" s="41"/>
      <c r="F56" s="41"/>
      <c r="G56" s="40"/>
    </row>
    <row r="57" spans="1:7" x14ac:dyDescent="0.35">
      <c r="A57" s="7"/>
      <c r="B57" s="7"/>
      <c r="C57" s="39"/>
      <c r="D57" s="41"/>
      <c r="E57" s="41"/>
      <c r="F57" s="41"/>
      <c r="G57" s="40"/>
    </row>
    <row r="58" spans="1:7" x14ac:dyDescent="0.35">
      <c r="A58" s="7"/>
      <c r="B58" s="7"/>
      <c r="C58" s="39"/>
      <c r="D58" s="41"/>
      <c r="E58" s="41"/>
      <c r="F58" s="41"/>
      <c r="G58" s="40"/>
    </row>
    <row r="59" spans="1:7" x14ac:dyDescent="0.35">
      <c r="A59" s="7"/>
      <c r="B59" s="7"/>
      <c r="C59" s="39"/>
      <c r="D59" s="41"/>
      <c r="E59" s="41"/>
      <c r="F59" s="41"/>
      <c r="G59" s="40"/>
    </row>
    <row r="60" spans="1:7" x14ac:dyDescent="0.35">
      <c r="A60" s="7"/>
      <c r="B60" s="7"/>
      <c r="C60" s="39"/>
      <c r="D60" s="41"/>
      <c r="E60" s="41"/>
      <c r="F60" s="41"/>
      <c r="G60" s="40"/>
    </row>
    <row r="61" spans="1:7" x14ac:dyDescent="0.35">
      <c r="A61" s="7"/>
      <c r="B61" s="7"/>
      <c r="C61" s="39"/>
      <c r="D61" s="41"/>
      <c r="E61" s="41"/>
      <c r="F61" s="41"/>
      <c r="G61" s="40"/>
    </row>
    <row r="62" spans="1:7" x14ac:dyDescent="0.35">
      <c r="A62" s="7"/>
      <c r="B62" s="7"/>
      <c r="C62" s="39"/>
      <c r="D62" s="41"/>
      <c r="E62" s="41"/>
      <c r="F62" s="41"/>
      <c r="G62" s="40"/>
    </row>
    <row r="63" spans="1:7" x14ac:dyDescent="0.35">
      <c r="A63" s="7"/>
      <c r="B63" s="7"/>
      <c r="C63" s="39"/>
      <c r="D63" s="41"/>
      <c r="E63" s="41"/>
      <c r="F63" s="41"/>
      <c r="G63" s="40"/>
    </row>
    <row r="64" spans="1:7" x14ac:dyDescent="0.35">
      <c r="A64" s="7"/>
      <c r="B64" s="7"/>
      <c r="C64" s="39"/>
      <c r="D64" s="41"/>
      <c r="E64" s="41"/>
      <c r="F64" s="41"/>
      <c r="G64" s="40"/>
    </row>
    <row r="65" spans="1:7" x14ac:dyDescent="0.35">
      <c r="A65" s="7"/>
      <c r="B65" s="7"/>
      <c r="C65" s="39"/>
      <c r="D65" s="41"/>
      <c r="E65" s="41"/>
      <c r="F65" s="41"/>
      <c r="G65" s="40"/>
    </row>
    <row r="66" spans="1:7" x14ac:dyDescent="0.35">
      <c r="A66" s="7"/>
      <c r="B66" s="7"/>
      <c r="C66" s="39"/>
      <c r="D66" s="41"/>
      <c r="E66" s="41"/>
      <c r="F66" s="41"/>
      <c r="G66" s="40"/>
    </row>
    <row r="67" spans="1:7" x14ac:dyDescent="0.35">
      <c r="A67" s="7"/>
      <c r="B67" s="7"/>
      <c r="C67" s="39"/>
      <c r="D67" s="41"/>
      <c r="E67" s="41"/>
      <c r="F67" s="41"/>
      <c r="G67" s="40"/>
    </row>
    <row r="68" spans="1:7" x14ac:dyDescent="0.35">
      <c r="A68" s="7"/>
      <c r="B68" s="7"/>
      <c r="C68" s="39"/>
      <c r="D68" s="41"/>
      <c r="E68" s="41"/>
      <c r="F68" s="41"/>
      <c r="G68" s="40"/>
    </row>
    <row r="69" spans="1:7" x14ac:dyDescent="0.35">
      <c r="A69" s="7"/>
      <c r="B69" s="7"/>
      <c r="C69" s="39"/>
      <c r="D69" s="41"/>
      <c r="E69" s="41"/>
      <c r="F69" s="41"/>
      <c r="G69" s="40"/>
    </row>
    <row r="70" spans="1:7" x14ac:dyDescent="0.35">
      <c r="A70" s="7"/>
      <c r="B70" s="7"/>
      <c r="C70" s="39"/>
      <c r="D70" s="41"/>
      <c r="E70" s="41"/>
      <c r="F70" s="41"/>
      <c r="G70" s="40"/>
    </row>
    <row r="71" spans="1:7" x14ac:dyDescent="0.35">
      <c r="A71" s="7"/>
      <c r="B71" s="7"/>
      <c r="C71" s="39"/>
      <c r="D71" s="41"/>
      <c r="E71" s="41"/>
      <c r="F71" s="41"/>
      <c r="G71" s="40"/>
    </row>
    <row r="72" spans="1:7" x14ac:dyDescent="0.35">
      <c r="A72" s="7"/>
      <c r="B72" s="7"/>
      <c r="C72" s="39"/>
      <c r="D72" s="41"/>
      <c r="E72" s="41"/>
      <c r="F72" s="41"/>
      <c r="G72" s="40"/>
    </row>
    <row r="73" spans="1:7" x14ac:dyDescent="0.35">
      <c r="A73" s="7"/>
      <c r="B73" s="7"/>
      <c r="C73" s="39"/>
      <c r="D73" s="41"/>
      <c r="E73" s="41"/>
      <c r="F73" s="41"/>
      <c r="G73" s="40"/>
    </row>
    <row r="74" spans="1:7" x14ac:dyDescent="0.35">
      <c r="A74" s="7"/>
      <c r="B74" s="7"/>
      <c r="C74" s="39"/>
      <c r="D74" s="39"/>
      <c r="E74" s="41"/>
      <c r="F74" s="39"/>
      <c r="G74" s="40"/>
    </row>
    <row r="75" spans="1:7" x14ac:dyDescent="0.35">
      <c r="A75" s="7"/>
      <c r="B75" s="7"/>
      <c r="C75" s="39"/>
      <c r="D75" s="41"/>
      <c r="E75" s="41"/>
      <c r="F75" s="41"/>
      <c r="G75" s="40"/>
    </row>
    <row r="76" spans="1:7" x14ac:dyDescent="0.35">
      <c r="A76" s="7"/>
      <c r="B76" s="7"/>
      <c r="C76" s="39"/>
      <c r="D76" s="41"/>
      <c r="E76" s="41"/>
      <c r="F76" s="41"/>
      <c r="G76" s="40"/>
    </row>
    <row r="77" spans="1:7" x14ac:dyDescent="0.35">
      <c r="A77" s="7"/>
      <c r="B77" s="7"/>
      <c r="C77" s="39"/>
      <c r="D77" s="41"/>
      <c r="E77" s="41"/>
      <c r="F77" s="41"/>
      <c r="G77" s="40"/>
    </row>
    <row r="78" spans="1:7" x14ac:dyDescent="0.35">
      <c r="A78" s="7"/>
      <c r="B78" s="7"/>
      <c r="C78" s="39"/>
      <c r="D78" s="41"/>
      <c r="E78" s="41"/>
      <c r="F78" s="41"/>
      <c r="G78" s="40"/>
    </row>
    <row r="79" spans="1:7" x14ac:dyDescent="0.35">
      <c r="A79" s="7"/>
      <c r="B79" s="7"/>
      <c r="C79" s="39"/>
      <c r="D79" s="41"/>
      <c r="E79" s="41"/>
      <c r="F79" s="41"/>
      <c r="G79" s="40"/>
    </row>
    <row r="80" spans="1:7" x14ac:dyDescent="0.35">
      <c r="A80" s="7"/>
      <c r="B80" s="7"/>
      <c r="C80" s="39"/>
      <c r="D80" s="41"/>
      <c r="E80" s="41"/>
      <c r="F80" s="41"/>
      <c r="G80" s="40"/>
    </row>
    <row r="81" spans="1:7" x14ac:dyDescent="0.35">
      <c r="A81" s="7"/>
      <c r="B81" s="7"/>
      <c r="C81" s="39"/>
      <c r="D81" s="41"/>
      <c r="E81" s="41"/>
      <c r="F81" s="41"/>
      <c r="G81" s="40"/>
    </row>
    <row r="82" spans="1:7" x14ac:dyDescent="0.35">
      <c r="A82" s="7"/>
      <c r="B82" s="7"/>
      <c r="C82" s="39"/>
      <c r="D82" s="41"/>
      <c r="E82" s="41"/>
      <c r="F82" s="41"/>
      <c r="G82" s="40"/>
    </row>
    <row r="83" spans="1:7" x14ac:dyDescent="0.35">
      <c r="A83" s="7"/>
      <c r="B83" s="7"/>
      <c r="C83" s="39"/>
      <c r="D83" s="41"/>
      <c r="E83" s="41"/>
      <c r="F83" s="41"/>
      <c r="G83" s="40"/>
    </row>
    <row r="84" spans="1:7" x14ac:dyDescent="0.35">
      <c r="A84" s="7"/>
      <c r="B84" s="7"/>
      <c r="C84" s="39"/>
      <c r="D84" s="41"/>
      <c r="E84" s="41"/>
      <c r="F84" s="41"/>
      <c r="G84" s="40"/>
    </row>
    <row r="85" spans="1:7" x14ac:dyDescent="0.35">
      <c r="A85" s="7"/>
      <c r="B85" s="7"/>
      <c r="C85" s="39"/>
      <c r="D85" s="39"/>
      <c r="E85" s="41"/>
      <c r="F85" s="39"/>
      <c r="G85" s="40"/>
    </row>
    <row r="86" spans="1:7" x14ac:dyDescent="0.35">
      <c r="A86" s="7"/>
      <c r="B86" s="7"/>
      <c r="C86" s="39"/>
      <c r="D86" s="39"/>
      <c r="E86" s="41"/>
      <c r="F86" s="39"/>
      <c r="G86" s="40"/>
    </row>
    <row r="87" spans="1:7" x14ac:dyDescent="0.35">
      <c r="A87" s="7"/>
      <c r="B87" s="7"/>
      <c r="C87" s="39"/>
      <c r="D87" s="41"/>
      <c r="E87" s="41"/>
      <c r="F87" s="41"/>
      <c r="G87" s="40"/>
    </row>
    <row r="88" spans="1:7" x14ac:dyDescent="0.35">
      <c r="A88" s="7"/>
      <c r="B88" s="7"/>
      <c r="C88" s="39"/>
      <c r="D88" s="41"/>
      <c r="E88" s="41"/>
      <c r="F88" s="41"/>
      <c r="G88" s="40"/>
    </row>
    <row r="89" spans="1:7" x14ac:dyDescent="0.35">
      <c r="A89" s="7"/>
      <c r="B89" s="7"/>
      <c r="C89" s="39"/>
      <c r="D89" s="41"/>
      <c r="E89" s="41"/>
      <c r="F89" s="41"/>
      <c r="G89" s="40"/>
    </row>
    <row r="90" spans="1:7" x14ac:dyDescent="0.35">
      <c r="A90" s="7"/>
      <c r="B90" s="7"/>
      <c r="C90" s="39"/>
      <c r="D90" s="41"/>
      <c r="E90" s="41"/>
      <c r="F90" s="41"/>
      <c r="G90" s="40"/>
    </row>
    <row r="91" spans="1:7" x14ac:dyDescent="0.35">
      <c r="A91" s="7"/>
      <c r="B91" s="7"/>
      <c r="C91" s="39"/>
      <c r="D91" s="41"/>
      <c r="E91" s="41"/>
      <c r="F91" s="41"/>
      <c r="G91" s="40"/>
    </row>
    <row r="92" spans="1:7" x14ac:dyDescent="0.35">
      <c r="A92" s="7"/>
      <c r="B92" s="7"/>
      <c r="C92" s="39"/>
      <c r="D92" s="41"/>
      <c r="E92" s="41"/>
      <c r="F92" s="41"/>
      <c r="G92" s="40"/>
    </row>
    <row r="93" spans="1:7" x14ac:dyDescent="0.35">
      <c r="A93" s="7"/>
      <c r="B93" s="7"/>
      <c r="C93" s="39"/>
      <c r="D93" s="41"/>
      <c r="E93" s="41"/>
      <c r="F93" s="41"/>
      <c r="G93" s="40"/>
    </row>
    <row r="94" spans="1:7" x14ac:dyDescent="0.35">
      <c r="A94" s="7"/>
      <c r="B94" s="7"/>
      <c r="C94" s="39"/>
      <c r="D94" s="41"/>
      <c r="E94" s="41"/>
      <c r="F94" s="41"/>
      <c r="G94" s="40"/>
    </row>
    <row r="95" spans="1:7" x14ac:dyDescent="0.35">
      <c r="A95" s="7"/>
      <c r="B95" s="7"/>
      <c r="C95" s="41"/>
      <c r="D95" s="39"/>
      <c r="E95" s="39"/>
      <c r="F95" s="41"/>
      <c r="G95" s="42"/>
    </row>
    <row r="96" spans="1:7" x14ac:dyDescent="0.35">
      <c r="A96" s="7"/>
      <c r="B96" s="7"/>
      <c r="C96" s="7"/>
      <c r="D96" s="7"/>
      <c r="E96" s="39"/>
      <c r="F96" s="41"/>
      <c r="G96" s="41"/>
    </row>
    <row r="97" spans="1:7" x14ac:dyDescent="0.35">
      <c r="A97" s="7"/>
      <c r="B97" s="7"/>
      <c r="C97" s="7"/>
      <c r="D97" s="7"/>
      <c r="E97" s="39"/>
      <c r="F97" s="41"/>
      <c r="G97" s="41"/>
    </row>
    <row r="98" spans="1:7" x14ac:dyDescent="0.35">
      <c r="A98" s="7"/>
      <c r="B98" s="7"/>
      <c r="C98" s="7"/>
      <c r="D98" s="7"/>
      <c r="E98" s="39"/>
      <c r="F98" s="41"/>
      <c r="G98" s="41"/>
    </row>
    <row r="99" spans="1:7" x14ac:dyDescent="0.35">
      <c r="A99" s="7"/>
      <c r="B99" s="7"/>
      <c r="C99" s="7"/>
      <c r="D99" s="7"/>
      <c r="E99" s="39"/>
      <c r="F99" s="41"/>
      <c r="G99" s="41"/>
    </row>
    <row r="100" spans="1:7" x14ac:dyDescent="0.35">
      <c r="A100" s="7"/>
      <c r="B100" s="7"/>
      <c r="C100" s="7"/>
      <c r="D100" s="7"/>
      <c r="E100" s="39"/>
      <c r="F100" s="41"/>
      <c r="G100" s="41"/>
    </row>
    <row r="101" spans="1:7" x14ac:dyDescent="0.35">
      <c r="A101" s="7"/>
      <c r="B101" s="7"/>
      <c r="C101" s="7"/>
      <c r="D101" s="7"/>
      <c r="E101" s="39"/>
      <c r="F101" s="41"/>
      <c r="G101" s="41"/>
    </row>
    <row r="102" spans="1:7" x14ac:dyDescent="0.35">
      <c r="A102" s="7"/>
      <c r="B102" s="7"/>
      <c r="C102" s="7"/>
      <c r="D102" s="7"/>
      <c r="E102" s="39"/>
      <c r="F102" s="41"/>
      <c r="G102" s="41"/>
    </row>
    <row r="103" spans="1:7" x14ac:dyDescent="0.35">
      <c r="A103" s="7"/>
      <c r="B103" s="7"/>
      <c r="C103" s="7"/>
      <c r="D103" s="7"/>
      <c r="E103" s="39"/>
      <c r="F103" s="41"/>
      <c r="G103" s="41"/>
    </row>
    <row r="104" spans="1:7" x14ac:dyDescent="0.35">
      <c r="A104" s="7"/>
      <c r="B104" s="7"/>
      <c r="C104" s="7"/>
      <c r="D104" s="7"/>
      <c r="E104" s="39"/>
      <c r="F104" s="41"/>
      <c r="G104" s="41"/>
    </row>
    <row r="105" spans="1:7" x14ac:dyDescent="0.35">
      <c r="A105" s="7"/>
      <c r="B105" s="7"/>
      <c r="C105" s="7"/>
      <c r="D105" s="7"/>
      <c r="E105" s="39"/>
      <c r="F105" s="41"/>
      <c r="G105" s="41"/>
    </row>
    <row r="106" spans="1:7" x14ac:dyDescent="0.35">
      <c r="A106" s="7"/>
      <c r="B106" s="7"/>
      <c r="C106" s="7"/>
      <c r="D106" s="7"/>
      <c r="E106" s="39"/>
      <c r="F106" s="41"/>
      <c r="G106" s="41"/>
    </row>
    <row r="107" spans="1:7" x14ac:dyDescent="0.35">
      <c r="A107" s="7"/>
      <c r="B107" s="7"/>
      <c r="C107" s="7"/>
      <c r="D107" s="7"/>
      <c r="E107" s="39"/>
      <c r="F107" s="41"/>
      <c r="G107" s="41"/>
    </row>
    <row r="108" spans="1:7" x14ac:dyDescent="0.35">
      <c r="A108" s="7"/>
      <c r="B108" s="7"/>
      <c r="C108" s="7"/>
      <c r="D108" s="7"/>
      <c r="E108" s="39"/>
      <c r="F108" s="41"/>
      <c r="G108" s="41"/>
    </row>
    <row r="109" spans="1:7" x14ac:dyDescent="0.35">
      <c r="A109" s="7"/>
      <c r="B109" s="7"/>
      <c r="C109" s="7"/>
      <c r="D109" s="7"/>
      <c r="E109" s="39"/>
      <c r="F109" s="41"/>
      <c r="G109" s="41"/>
    </row>
    <row r="110" spans="1:7" x14ac:dyDescent="0.35">
      <c r="A110" s="7"/>
      <c r="B110" s="7"/>
      <c r="C110" s="7"/>
      <c r="D110" s="7"/>
      <c r="E110" s="39"/>
      <c r="F110" s="41"/>
      <c r="G110" s="41"/>
    </row>
    <row r="111" spans="1:7" x14ac:dyDescent="0.35">
      <c r="A111" s="7"/>
      <c r="B111" s="7"/>
      <c r="C111" s="7"/>
      <c r="D111" s="7"/>
      <c r="E111" s="39"/>
      <c r="F111" s="41"/>
      <c r="G111" s="41"/>
    </row>
    <row r="112" spans="1:7" x14ac:dyDescent="0.35">
      <c r="A112" s="7"/>
      <c r="B112" s="7"/>
      <c r="C112" s="7"/>
      <c r="D112" s="7"/>
      <c r="E112" s="39"/>
      <c r="F112" s="41"/>
      <c r="G112" s="41"/>
    </row>
    <row r="113" spans="1:7" x14ac:dyDescent="0.35">
      <c r="A113" s="7"/>
      <c r="B113" s="7"/>
      <c r="C113" s="7"/>
      <c r="D113" s="7"/>
      <c r="E113" s="39"/>
      <c r="F113" s="41"/>
      <c r="G113" s="41"/>
    </row>
    <row r="114" spans="1:7" x14ac:dyDescent="0.35">
      <c r="A114" s="7"/>
      <c r="B114" s="7"/>
      <c r="C114" s="7"/>
      <c r="D114" s="7"/>
      <c r="E114" s="39"/>
      <c r="F114" s="41"/>
      <c r="G114" s="41"/>
    </row>
    <row r="115" spans="1:7" x14ac:dyDescent="0.35">
      <c r="A115" s="7"/>
      <c r="B115" s="7"/>
      <c r="C115" s="7"/>
      <c r="D115" s="7"/>
      <c r="E115" s="39"/>
      <c r="F115" s="41"/>
      <c r="G115" s="41"/>
    </row>
    <row r="116" spans="1:7" x14ac:dyDescent="0.35">
      <c r="A116" s="7"/>
      <c r="B116" s="7"/>
      <c r="C116" s="7"/>
      <c r="D116" s="7"/>
      <c r="E116" s="39"/>
      <c r="F116" s="39"/>
      <c r="G116" s="41"/>
    </row>
    <row r="117" spans="1:7" x14ac:dyDescent="0.35">
      <c r="A117" s="7"/>
      <c r="B117" s="7"/>
      <c r="C117" s="7"/>
      <c r="D117" s="7"/>
      <c r="E117" s="39"/>
      <c r="F117" s="41"/>
      <c r="G117" s="41"/>
    </row>
    <row r="118" spans="1:7" x14ac:dyDescent="0.35">
      <c r="A118" s="7"/>
      <c r="B118" s="7"/>
      <c r="C118" s="7"/>
      <c r="D118" s="7"/>
      <c r="E118" s="39"/>
      <c r="F118" s="41"/>
      <c r="G118" s="41"/>
    </row>
    <row r="119" spans="1:7" x14ac:dyDescent="0.35">
      <c r="A119" s="7"/>
      <c r="B119" s="7"/>
      <c r="C119" s="7"/>
      <c r="D119" s="7"/>
      <c r="E119" s="39"/>
      <c r="F119" s="41"/>
      <c r="G119" s="41"/>
    </row>
    <row r="120" spans="1:7" x14ac:dyDescent="0.35">
      <c r="A120" s="7"/>
      <c r="B120" s="7"/>
      <c r="C120" s="7"/>
      <c r="D120" s="7"/>
      <c r="E120" s="39"/>
      <c r="F120" s="41"/>
      <c r="G120" s="41"/>
    </row>
    <row r="121" spans="1:7" x14ac:dyDescent="0.35">
      <c r="A121" s="7"/>
      <c r="B121" s="7"/>
      <c r="C121" s="7"/>
      <c r="D121" s="7"/>
      <c r="E121" s="39"/>
      <c r="F121" s="41"/>
      <c r="G121" s="41"/>
    </row>
    <row r="122" spans="1:7" x14ac:dyDescent="0.35">
      <c r="A122" s="7"/>
      <c r="B122" s="7"/>
      <c r="C122" s="7"/>
      <c r="D122" s="7"/>
      <c r="E122" s="39"/>
      <c r="F122" s="41"/>
      <c r="G122" s="41"/>
    </row>
    <row r="123" spans="1:7" x14ac:dyDescent="0.35">
      <c r="A123" s="7"/>
      <c r="B123" s="7"/>
      <c r="C123" s="7"/>
      <c r="D123" s="7"/>
      <c r="E123" s="39"/>
      <c r="F123" s="41"/>
      <c r="G123" s="41"/>
    </row>
    <row r="124" spans="1:7" x14ac:dyDescent="0.35">
      <c r="A124" s="7"/>
      <c r="B124" s="7"/>
      <c r="C124" s="7"/>
      <c r="D124" s="7"/>
      <c r="E124" s="39"/>
      <c r="F124" s="41"/>
      <c r="G124" s="41"/>
    </row>
    <row r="125" spans="1:7" x14ac:dyDescent="0.35">
      <c r="A125" s="7"/>
      <c r="B125" s="7"/>
      <c r="C125" s="7"/>
      <c r="D125" s="7"/>
      <c r="E125" s="39"/>
      <c r="F125" s="41"/>
      <c r="G125" s="41"/>
    </row>
    <row r="126" spans="1:7" x14ac:dyDescent="0.35">
      <c r="A126" s="7"/>
      <c r="B126" s="7"/>
      <c r="C126" s="7"/>
      <c r="D126" s="7"/>
      <c r="E126" s="39"/>
      <c r="F126" s="41"/>
      <c r="G126" s="41"/>
    </row>
    <row r="127" spans="1:7" x14ac:dyDescent="0.35">
      <c r="A127" s="7"/>
      <c r="B127" s="7"/>
      <c r="C127" s="7"/>
      <c r="D127" s="7"/>
      <c r="E127" s="39"/>
      <c r="F127" s="41"/>
      <c r="G127" s="41"/>
    </row>
    <row r="128" spans="1:7" x14ac:dyDescent="0.35">
      <c r="A128" s="7"/>
      <c r="B128" s="7"/>
      <c r="C128" s="7"/>
      <c r="D128" s="7"/>
      <c r="E128" s="39"/>
      <c r="F128" s="41"/>
      <c r="G128" s="41"/>
    </row>
    <row r="129" spans="1:7" x14ac:dyDescent="0.35">
      <c r="A129" s="7"/>
      <c r="B129" s="7"/>
      <c r="C129" s="7"/>
      <c r="D129" s="7"/>
      <c r="E129" s="39"/>
      <c r="F129" s="41"/>
      <c r="G129" s="41"/>
    </row>
    <row r="130" spans="1:7" x14ac:dyDescent="0.35">
      <c r="A130" s="7"/>
      <c r="B130" s="7"/>
      <c r="C130" s="7"/>
      <c r="D130" s="7"/>
      <c r="E130" s="39"/>
      <c r="F130" s="41"/>
      <c r="G130" s="41"/>
    </row>
    <row r="131" spans="1:7" x14ac:dyDescent="0.35">
      <c r="A131" s="7"/>
      <c r="B131" s="7"/>
      <c r="C131" s="7"/>
      <c r="D131" s="7"/>
      <c r="E131" s="39"/>
      <c r="F131" s="41"/>
      <c r="G131" s="41"/>
    </row>
    <row r="132" spans="1:7" x14ac:dyDescent="0.35">
      <c r="A132" s="7"/>
      <c r="B132" s="7"/>
      <c r="C132" s="7"/>
      <c r="D132" s="7"/>
      <c r="E132" s="39"/>
      <c r="F132" s="41"/>
      <c r="G132" s="41"/>
    </row>
    <row r="133" spans="1:7" x14ac:dyDescent="0.35">
      <c r="A133" s="7"/>
      <c r="B133" s="7"/>
      <c r="C133" s="7"/>
      <c r="D133" s="7"/>
      <c r="E133" s="39"/>
      <c r="F133" s="41"/>
      <c r="G133" s="41"/>
    </row>
    <row r="134" spans="1:7" x14ac:dyDescent="0.35">
      <c r="A134" s="7"/>
      <c r="B134" s="7"/>
      <c r="C134" s="7"/>
      <c r="D134" s="7"/>
      <c r="E134" s="39"/>
      <c r="F134" s="41"/>
      <c r="G134" s="41"/>
    </row>
    <row r="135" spans="1:7" x14ac:dyDescent="0.35">
      <c r="A135" s="7"/>
      <c r="B135" s="7"/>
      <c r="C135" s="7"/>
      <c r="D135" s="7"/>
      <c r="E135" s="39"/>
      <c r="F135" s="41"/>
      <c r="G135" s="41"/>
    </row>
    <row r="136" spans="1:7" x14ac:dyDescent="0.35">
      <c r="A136" s="7"/>
      <c r="B136" s="7"/>
      <c r="C136" s="7"/>
      <c r="D136" s="7"/>
      <c r="E136" s="39"/>
      <c r="F136" s="41"/>
      <c r="G136" s="41"/>
    </row>
    <row r="137" spans="1:7" x14ac:dyDescent="0.35">
      <c r="A137" s="7"/>
      <c r="B137" s="7"/>
      <c r="C137" s="7"/>
      <c r="D137" s="7"/>
      <c r="E137" s="39"/>
      <c r="F137" s="39"/>
      <c r="G137" s="39"/>
    </row>
    <row r="138" spans="1:7" x14ac:dyDescent="0.35">
      <c r="A138" s="7"/>
      <c r="B138" s="7"/>
      <c r="C138" s="7"/>
      <c r="D138" s="7"/>
      <c r="E138" s="39"/>
      <c r="F138" s="41"/>
      <c r="G138" s="41"/>
    </row>
  </sheetData>
  <autoFilter ref="A1:H95" xr:uid="{8C652802-6FC1-495C-AA18-670008E43D3D}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5A1-64F7-4DDF-8A16-C311A378BAF5}">
  <dimension ref="A1:I138"/>
  <sheetViews>
    <sheetView showGridLines="0" workbookViewId="0">
      <selection activeCell="D16" sqref="D16"/>
    </sheetView>
  </sheetViews>
  <sheetFormatPr defaultRowHeight="14.5" x14ac:dyDescent="0.35"/>
  <cols>
    <col min="1" max="1" width="13.1796875" bestFit="1" customWidth="1"/>
    <col min="2" max="2" width="21.7265625" bestFit="1" customWidth="1"/>
    <col min="3" max="3" width="13.36328125" bestFit="1" customWidth="1"/>
    <col min="4" max="4" width="11.453125" bestFit="1" customWidth="1"/>
    <col min="5" max="5" width="14.1796875" bestFit="1" customWidth="1"/>
    <col min="6" max="6" width="11.1796875" bestFit="1" customWidth="1"/>
    <col min="7" max="7" width="13.36328125" bestFit="1" customWidth="1"/>
  </cols>
  <sheetData>
    <row r="1" spans="1:9" x14ac:dyDescent="0.35">
      <c r="A1" s="38"/>
      <c r="B1" s="38"/>
      <c r="C1" s="38"/>
      <c r="D1" s="38"/>
      <c r="E1" s="38"/>
      <c r="F1" s="38"/>
      <c r="G1" s="38"/>
    </row>
    <row r="2" spans="1:9" x14ac:dyDescent="0.35">
      <c r="A2" s="6"/>
      <c r="B2" s="6"/>
      <c r="C2" s="7"/>
      <c r="D2" s="7"/>
      <c r="E2" s="7"/>
      <c r="F2" s="7"/>
      <c r="G2" s="7"/>
    </row>
    <row r="3" spans="1:9" x14ac:dyDescent="0.35">
      <c r="A3" s="6"/>
      <c r="B3" s="6"/>
      <c r="C3" s="7"/>
      <c r="D3" s="7"/>
      <c r="E3" s="7"/>
      <c r="F3" s="7"/>
      <c r="G3" s="7"/>
    </row>
    <row r="4" spans="1:9" x14ac:dyDescent="0.35">
      <c r="A4" s="7"/>
      <c r="B4" s="7"/>
      <c r="C4" s="39"/>
      <c r="D4" s="39"/>
      <c r="E4" s="39"/>
      <c r="F4" s="39"/>
      <c r="G4" s="40"/>
    </row>
    <row r="5" spans="1:9" x14ac:dyDescent="0.35">
      <c r="A5" s="7"/>
      <c r="B5" s="7"/>
      <c r="C5" s="39"/>
      <c r="D5" s="39"/>
      <c r="E5" s="39"/>
      <c r="F5" s="39"/>
      <c r="G5" s="42"/>
    </row>
    <row r="6" spans="1:9" x14ac:dyDescent="0.35">
      <c r="A6" s="7"/>
      <c r="B6" s="7"/>
      <c r="C6" s="41"/>
      <c r="D6" s="39"/>
      <c r="E6" s="39"/>
      <c r="F6" s="39"/>
      <c r="G6" s="40"/>
    </row>
    <row r="7" spans="1:9" x14ac:dyDescent="0.35">
      <c r="A7" s="7"/>
      <c r="B7" s="7"/>
      <c r="C7" s="39"/>
      <c r="D7" s="39"/>
      <c r="E7" s="41"/>
      <c r="F7" s="39"/>
      <c r="G7" s="40"/>
    </row>
    <row r="8" spans="1:9" x14ac:dyDescent="0.35">
      <c r="A8" s="7"/>
      <c r="B8" s="7"/>
      <c r="C8" s="41"/>
      <c r="D8" s="39"/>
      <c r="E8" s="39"/>
      <c r="F8" s="41"/>
      <c r="G8" s="42"/>
    </row>
    <row r="9" spans="1:9" x14ac:dyDescent="0.35">
      <c r="A9" s="7"/>
      <c r="B9" s="7"/>
      <c r="C9" s="39"/>
      <c r="D9" s="39"/>
      <c r="E9" s="39"/>
      <c r="F9" s="39"/>
      <c r="G9" s="40"/>
    </row>
    <row r="10" spans="1:9" x14ac:dyDescent="0.35">
      <c r="A10" s="7"/>
      <c r="B10" s="7"/>
      <c r="C10" s="39"/>
      <c r="D10" s="39"/>
      <c r="E10" s="41"/>
      <c r="F10" s="39"/>
      <c r="G10" s="40"/>
    </row>
    <row r="11" spans="1:9" x14ac:dyDescent="0.35">
      <c r="A11" s="88"/>
      <c r="B11" s="88"/>
      <c r="C11" s="89"/>
      <c r="D11" s="89"/>
      <c r="E11" s="90"/>
      <c r="F11" s="89"/>
      <c r="G11" s="91"/>
      <c r="H11" s="78"/>
      <c r="I11" s="78"/>
    </row>
    <row r="12" spans="1:9" x14ac:dyDescent="0.35">
      <c r="A12" s="7"/>
      <c r="B12" s="7"/>
      <c r="C12" s="39"/>
      <c r="D12" s="41"/>
      <c r="E12" s="41"/>
      <c r="F12" s="41"/>
      <c r="G12" s="40"/>
    </row>
    <row r="13" spans="1:9" x14ac:dyDescent="0.35">
      <c r="A13" s="7"/>
      <c r="B13" s="7"/>
      <c r="C13" s="39"/>
      <c r="D13" s="39"/>
      <c r="E13" s="41"/>
      <c r="F13" s="39"/>
      <c r="G13" s="40"/>
    </row>
    <row r="14" spans="1:9" x14ac:dyDescent="0.35">
      <c r="A14" s="7"/>
      <c r="B14" s="7"/>
      <c r="C14" s="39"/>
      <c r="D14" s="39"/>
      <c r="E14" s="41"/>
      <c r="F14" s="39"/>
      <c r="G14" s="40"/>
    </row>
    <row r="15" spans="1:9" x14ac:dyDescent="0.35">
      <c r="A15" s="88"/>
      <c r="B15" s="88"/>
      <c r="C15" s="89"/>
      <c r="D15" s="89"/>
      <c r="E15" s="90"/>
      <c r="F15" s="89"/>
      <c r="G15" s="91"/>
      <c r="H15" s="78"/>
      <c r="I15" s="78"/>
    </row>
    <row r="16" spans="1:9" x14ac:dyDescent="0.35">
      <c r="A16" s="7"/>
      <c r="B16" s="7"/>
      <c r="C16" s="39"/>
      <c r="D16" s="39"/>
      <c r="E16" s="41"/>
      <c r="F16" s="39"/>
      <c r="G16" s="40"/>
    </row>
    <row r="17" spans="1:9" x14ac:dyDescent="0.35">
      <c r="A17" s="7"/>
      <c r="B17" s="7"/>
      <c r="C17" s="39"/>
      <c r="D17" s="39"/>
      <c r="E17" s="39"/>
      <c r="F17" s="39"/>
      <c r="G17" s="40"/>
    </row>
    <row r="18" spans="1:9" x14ac:dyDescent="0.35">
      <c r="A18" s="7"/>
      <c r="B18" s="7"/>
      <c r="C18" s="39"/>
      <c r="D18" s="39"/>
      <c r="E18" s="39"/>
      <c r="F18" s="39"/>
      <c r="G18" s="40"/>
    </row>
    <row r="19" spans="1:9" x14ac:dyDescent="0.35">
      <c r="A19" s="7"/>
      <c r="B19" s="7"/>
      <c r="C19" s="39"/>
      <c r="D19" s="41"/>
      <c r="E19" s="39"/>
      <c r="F19" s="39"/>
      <c r="G19" s="42"/>
    </row>
    <row r="20" spans="1:9" x14ac:dyDescent="0.35">
      <c r="A20" s="7"/>
      <c r="B20" s="7"/>
      <c r="C20" s="39"/>
      <c r="D20" s="39"/>
      <c r="E20" s="39"/>
      <c r="F20" s="39"/>
      <c r="G20" s="40"/>
    </row>
    <row r="21" spans="1:9" x14ac:dyDescent="0.35">
      <c r="A21" s="7"/>
      <c r="B21" s="7"/>
      <c r="C21" s="39"/>
      <c r="D21" s="41"/>
      <c r="E21" s="41"/>
      <c r="F21" s="41"/>
      <c r="G21" s="40"/>
    </row>
    <row r="22" spans="1:9" x14ac:dyDescent="0.35">
      <c r="A22" s="7"/>
      <c r="B22" s="7"/>
      <c r="C22" s="39"/>
      <c r="D22" s="41"/>
      <c r="E22" s="41"/>
      <c r="F22" s="41"/>
      <c r="G22" s="40"/>
    </row>
    <row r="23" spans="1:9" x14ac:dyDescent="0.35">
      <c r="A23" s="7"/>
      <c r="B23" s="7"/>
      <c r="C23" s="39"/>
      <c r="D23" s="41"/>
      <c r="E23" s="41"/>
      <c r="F23" s="41"/>
      <c r="G23" s="40"/>
    </row>
    <row r="24" spans="1:9" x14ac:dyDescent="0.35">
      <c r="A24" s="7"/>
      <c r="B24" s="7"/>
      <c r="C24" s="39"/>
      <c r="D24" s="41"/>
      <c r="E24" s="41"/>
      <c r="F24" s="41"/>
      <c r="G24" s="40"/>
    </row>
    <row r="25" spans="1:9" x14ac:dyDescent="0.35">
      <c r="A25" s="7"/>
      <c r="B25" s="7"/>
      <c r="C25" s="39"/>
      <c r="D25" s="39"/>
      <c r="E25" s="39"/>
      <c r="F25" s="41"/>
      <c r="G25" s="40"/>
    </row>
    <row r="26" spans="1:9" x14ac:dyDescent="0.35">
      <c r="A26" s="7"/>
      <c r="B26" s="7"/>
      <c r="C26" s="39"/>
      <c r="D26" s="41"/>
      <c r="E26" s="41"/>
      <c r="F26" s="41"/>
      <c r="G26" s="40"/>
    </row>
    <row r="27" spans="1:9" x14ac:dyDescent="0.35">
      <c r="A27" s="88"/>
      <c r="B27" s="88"/>
      <c r="C27" s="89"/>
      <c r="D27" s="90"/>
      <c r="E27" s="90"/>
      <c r="F27" s="90"/>
      <c r="G27" s="91"/>
      <c r="H27" s="78"/>
      <c r="I27" s="78"/>
    </row>
    <row r="28" spans="1:9" x14ac:dyDescent="0.35">
      <c r="A28" s="88"/>
      <c r="B28" s="88"/>
      <c r="C28" s="89"/>
      <c r="D28" s="90"/>
      <c r="E28" s="90"/>
      <c r="F28" s="90"/>
      <c r="G28" s="91"/>
      <c r="H28" s="92">
        <f>G27+G28</f>
        <v>0</v>
      </c>
      <c r="I28" s="78"/>
    </row>
    <row r="29" spans="1:9" x14ac:dyDescent="0.35">
      <c r="A29" s="88"/>
      <c r="B29" s="88"/>
      <c r="C29" s="89"/>
      <c r="D29" s="90"/>
      <c r="E29" s="90"/>
      <c r="F29" s="90"/>
      <c r="G29" s="91"/>
      <c r="H29" s="78"/>
      <c r="I29" s="78"/>
    </row>
    <row r="30" spans="1:9" x14ac:dyDescent="0.35">
      <c r="A30" s="88"/>
      <c r="B30" s="88"/>
      <c r="C30" s="89"/>
      <c r="D30" s="90"/>
      <c r="E30" s="90"/>
      <c r="F30" s="90"/>
      <c r="G30" s="91"/>
      <c r="H30" s="92">
        <f>G29+G30</f>
        <v>0</v>
      </c>
      <c r="I30" s="78"/>
    </row>
    <row r="31" spans="1:9" x14ac:dyDescent="0.35">
      <c r="A31" s="7"/>
      <c r="B31" s="7"/>
      <c r="C31" s="39"/>
      <c r="D31" s="39"/>
      <c r="E31" s="41"/>
      <c r="F31" s="39"/>
      <c r="G31" s="42"/>
    </row>
    <row r="32" spans="1:9" x14ac:dyDescent="0.35">
      <c r="A32" s="7"/>
      <c r="B32" s="7"/>
      <c r="C32" s="39"/>
      <c r="D32" s="39"/>
      <c r="E32" s="41"/>
      <c r="F32" s="39"/>
      <c r="G32" s="42"/>
    </row>
    <row r="33" spans="1:7" x14ac:dyDescent="0.35">
      <c r="A33" s="7"/>
      <c r="B33" s="7"/>
      <c r="C33" s="39"/>
      <c r="D33" s="41"/>
      <c r="E33" s="39"/>
      <c r="F33" s="39"/>
      <c r="G33" s="40"/>
    </row>
    <row r="34" spans="1:7" x14ac:dyDescent="0.35">
      <c r="A34" s="7"/>
      <c r="B34" s="7"/>
      <c r="C34" s="39"/>
      <c r="D34" s="41"/>
      <c r="E34" s="41"/>
      <c r="F34" s="41"/>
      <c r="G34" s="40"/>
    </row>
    <row r="35" spans="1:7" x14ac:dyDescent="0.35">
      <c r="A35" s="7"/>
      <c r="B35" s="7"/>
      <c r="C35" s="39"/>
      <c r="D35" s="41"/>
      <c r="E35" s="41"/>
      <c r="F35" s="41"/>
      <c r="G35" s="40"/>
    </row>
    <row r="36" spans="1:7" x14ac:dyDescent="0.35">
      <c r="A36" s="87"/>
      <c r="B36" s="87"/>
      <c r="C36" s="86"/>
      <c r="D36" s="85"/>
      <c r="E36" s="86"/>
      <c r="F36" s="86"/>
      <c r="G36" s="84"/>
    </row>
    <row r="37" spans="1:7" x14ac:dyDescent="0.35">
      <c r="A37" s="87"/>
      <c r="B37" s="87"/>
      <c r="C37" s="86"/>
      <c r="D37" s="85"/>
      <c r="E37" s="86"/>
      <c r="F37" s="86"/>
      <c r="G37" s="84"/>
    </row>
    <row r="38" spans="1:7" x14ac:dyDescent="0.35">
      <c r="A38" s="87"/>
      <c r="B38" s="87"/>
      <c r="C38" s="86"/>
      <c r="D38" s="85"/>
      <c r="E38" s="86"/>
      <c r="F38" s="86"/>
      <c r="G38" s="84"/>
    </row>
    <row r="39" spans="1:7" x14ac:dyDescent="0.35">
      <c r="A39" s="87"/>
      <c r="B39" s="87"/>
      <c r="C39" s="86"/>
      <c r="D39" s="85"/>
      <c r="E39" s="86"/>
      <c r="F39" s="86"/>
      <c r="G39" s="84"/>
    </row>
    <row r="40" spans="1:7" x14ac:dyDescent="0.35">
      <c r="A40" s="7"/>
      <c r="B40" s="7"/>
      <c r="C40" s="39"/>
      <c r="D40" s="41"/>
      <c r="E40" s="41"/>
      <c r="F40" s="41"/>
      <c r="G40" s="40"/>
    </row>
    <row r="41" spans="1:7" x14ac:dyDescent="0.35">
      <c r="A41" s="7"/>
      <c r="B41" s="7"/>
      <c r="C41" s="39"/>
      <c r="D41" s="41"/>
      <c r="E41" s="41"/>
      <c r="F41" s="41"/>
      <c r="G41" s="40"/>
    </row>
    <row r="42" spans="1:7" x14ac:dyDescent="0.35">
      <c r="A42" s="7"/>
      <c r="B42" s="7"/>
      <c r="C42" s="39"/>
      <c r="D42" s="41"/>
      <c r="E42" s="41"/>
      <c r="F42" s="41"/>
      <c r="G42" s="40"/>
    </row>
    <row r="43" spans="1:7" x14ac:dyDescent="0.35">
      <c r="A43" s="7"/>
      <c r="B43" s="7"/>
      <c r="C43" s="39"/>
      <c r="D43" s="41"/>
      <c r="E43" s="41"/>
      <c r="F43" s="41"/>
      <c r="G43" s="40"/>
    </row>
    <row r="44" spans="1:7" x14ac:dyDescent="0.35">
      <c r="A44" s="7"/>
      <c r="B44" s="7"/>
      <c r="C44" s="39"/>
      <c r="D44" s="41"/>
      <c r="E44" s="41"/>
      <c r="F44" s="41"/>
      <c r="G44" s="40"/>
    </row>
    <row r="45" spans="1:7" x14ac:dyDescent="0.35">
      <c r="A45" s="7"/>
      <c r="B45" s="7"/>
      <c r="C45" s="39"/>
      <c r="D45" s="41"/>
      <c r="E45" s="41"/>
      <c r="F45" s="41"/>
      <c r="G45" s="40"/>
    </row>
    <row r="46" spans="1:7" x14ac:dyDescent="0.35">
      <c r="A46" s="7"/>
      <c r="B46" s="7"/>
      <c r="C46" s="39"/>
      <c r="D46" s="41"/>
      <c r="E46" s="41"/>
      <c r="F46" s="41"/>
      <c r="G46" s="40"/>
    </row>
    <row r="47" spans="1:7" x14ac:dyDescent="0.35">
      <c r="A47" s="7"/>
      <c r="B47" s="7"/>
      <c r="C47" s="39"/>
      <c r="D47" s="41"/>
      <c r="E47" s="41"/>
      <c r="F47" s="41"/>
      <c r="G47" s="40"/>
    </row>
    <row r="48" spans="1:7" x14ac:dyDescent="0.35">
      <c r="A48" s="7"/>
      <c r="B48" s="7"/>
      <c r="C48" s="39"/>
      <c r="D48" s="41"/>
      <c r="E48" s="41"/>
      <c r="F48" s="41"/>
      <c r="G48" s="40"/>
    </row>
    <row r="49" spans="1:7" x14ac:dyDescent="0.35">
      <c r="A49" s="7"/>
      <c r="B49" s="7"/>
      <c r="C49" s="39"/>
      <c r="D49" s="41"/>
      <c r="E49" s="41"/>
      <c r="F49" s="41"/>
      <c r="G49" s="40"/>
    </row>
    <row r="50" spans="1:7" x14ac:dyDescent="0.35">
      <c r="A50" s="7"/>
      <c r="B50" s="7"/>
      <c r="C50" s="39"/>
      <c r="D50" s="41"/>
      <c r="E50" s="41"/>
      <c r="F50" s="41"/>
      <c r="G50" s="40"/>
    </row>
    <row r="51" spans="1:7" x14ac:dyDescent="0.35">
      <c r="A51" s="7"/>
      <c r="B51" s="7"/>
      <c r="C51" s="39"/>
      <c r="D51" s="41"/>
      <c r="E51" s="41"/>
      <c r="F51" s="41"/>
      <c r="G51" s="40"/>
    </row>
    <row r="52" spans="1:7" x14ac:dyDescent="0.35">
      <c r="A52" s="7"/>
      <c r="B52" s="7"/>
      <c r="C52" s="39"/>
      <c r="D52" s="41"/>
      <c r="E52" s="41"/>
      <c r="F52" s="41"/>
      <c r="G52" s="40"/>
    </row>
    <row r="53" spans="1:7" x14ac:dyDescent="0.35">
      <c r="A53" s="7"/>
      <c r="B53" s="7"/>
      <c r="C53" s="39"/>
      <c r="D53" s="41"/>
      <c r="E53" s="41"/>
      <c r="F53" s="41"/>
      <c r="G53" s="40"/>
    </row>
    <row r="54" spans="1:7" x14ac:dyDescent="0.35">
      <c r="A54" s="7"/>
      <c r="B54" s="7"/>
      <c r="C54" s="39"/>
      <c r="D54" s="41"/>
      <c r="E54" s="41"/>
      <c r="F54" s="41"/>
      <c r="G54" s="40"/>
    </row>
    <row r="55" spans="1:7" x14ac:dyDescent="0.35">
      <c r="A55" s="7"/>
      <c r="B55" s="7"/>
      <c r="C55" s="39"/>
      <c r="D55" s="41"/>
      <c r="E55" s="41"/>
      <c r="F55" s="41"/>
      <c r="G55" s="40"/>
    </row>
    <row r="56" spans="1:7" x14ac:dyDescent="0.35">
      <c r="A56" s="7"/>
      <c r="B56" s="7"/>
      <c r="C56" s="39"/>
      <c r="D56" s="41"/>
      <c r="E56" s="41"/>
      <c r="F56" s="41"/>
      <c r="G56" s="40"/>
    </row>
    <row r="57" spans="1:7" x14ac:dyDescent="0.35">
      <c r="A57" s="7"/>
      <c r="B57" s="7"/>
      <c r="C57" s="39"/>
      <c r="D57" s="41"/>
      <c r="E57" s="41"/>
      <c r="F57" s="41"/>
      <c r="G57" s="40"/>
    </row>
    <row r="58" spans="1:7" x14ac:dyDescent="0.35">
      <c r="A58" s="7"/>
      <c r="B58" s="7"/>
      <c r="C58" s="39"/>
      <c r="D58" s="41"/>
      <c r="E58" s="41"/>
      <c r="F58" s="41"/>
      <c r="G58" s="40"/>
    </row>
    <row r="59" spans="1:7" x14ac:dyDescent="0.35">
      <c r="A59" s="7"/>
      <c r="B59" s="7"/>
      <c r="C59" s="39"/>
      <c r="D59" s="41"/>
      <c r="E59" s="41"/>
      <c r="F59" s="41"/>
      <c r="G59" s="40"/>
    </row>
    <row r="60" spans="1:7" x14ac:dyDescent="0.35">
      <c r="A60" s="7"/>
      <c r="B60" s="7"/>
      <c r="C60" s="39"/>
      <c r="D60" s="41"/>
      <c r="E60" s="41"/>
      <c r="F60" s="41"/>
      <c r="G60" s="40"/>
    </row>
    <row r="61" spans="1:7" x14ac:dyDescent="0.35">
      <c r="A61" s="7"/>
      <c r="B61" s="7"/>
      <c r="C61" s="39"/>
      <c r="D61" s="41"/>
      <c r="E61" s="41"/>
      <c r="F61" s="41"/>
      <c r="G61" s="40"/>
    </row>
    <row r="62" spans="1:7" x14ac:dyDescent="0.35">
      <c r="A62" s="7"/>
      <c r="B62" s="7"/>
      <c r="C62" s="39"/>
      <c r="D62" s="41"/>
      <c r="E62" s="41"/>
      <c r="F62" s="41"/>
      <c r="G62" s="40"/>
    </row>
    <row r="63" spans="1:7" x14ac:dyDescent="0.35">
      <c r="A63" s="7"/>
      <c r="B63" s="7"/>
      <c r="C63" s="39"/>
      <c r="D63" s="41"/>
      <c r="E63" s="41"/>
      <c r="F63" s="41"/>
      <c r="G63" s="40"/>
    </row>
    <row r="64" spans="1:7" x14ac:dyDescent="0.35">
      <c r="A64" s="7"/>
      <c r="B64" s="7"/>
      <c r="C64" s="39"/>
      <c r="D64" s="41"/>
      <c r="E64" s="41"/>
      <c r="F64" s="41"/>
      <c r="G64" s="40"/>
    </row>
    <row r="65" spans="1:7" x14ac:dyDescent="0.35">
      <c r="A65" s="7"/>
      <c r="B65" s="7"/>
      <c r="C65" s="39"/>
      <c r="D65" s="41"/>
      <c r="E65" s="41"/>
      <c r="F65" s="41"/>
      <c r="G65" s="40"/>
    </row>
    <row r="66" spans="1:7" x14ac:dyDescent="0.35">
      <c r="A66" s="7"/>
      <c r="B66" s="7"/>
      <c r="C66" s="39"/>
      <c r="D66" s="41"/>
      <c r="E66" s="41"/>
      <c r="F66" s="41"/>
      <c r="G66" s="40"/>
    </row>
    <row r="67" spans="1:7" x14ac:dyDescent="0.35">
      <c r="A67" s="7"/>
      <c r="B67" s="7"/>
      <c r="C67" s="39"/>
      <c r="D67" s="41"/>
      <c r="E67" s="41"/>
      <c r="F67" s="41"/>
      <c r="G67" s="40"/>
    </row>
    <row r="68" spans="1:7" x14ac:dyDescent="0.35">
      <c r="A68" s="7"/>
      <c r="B68" s="7"/>
      <c r="C68" s="39"/>
      <c r="D68" s="41"/>
      <c r="E68" s="41"/>
      <c r="F68" s="41"/>
      <c r="G68" s="40"/>
    </row>
    <row r="69" spans="1:7" x14ac:dyDescent="0.35">
      <c r="A69" s="7"/>
      <c r="B69" s="7"/>
      <c r="C69" s="39"/>
      <c r="D69" s="41"/>
      <c r="E69" s="41"/>
      <c r="F69" s="41"/>
      <c r="G69" s="40"/>
    </row>
    <row r="70" spans="1:7" x14ac:dyDescent="0.35">
      <c r="A70" s="7"/>
      <c r="B70" s="7"/>
      <c r="C70" s="39"/>
      <c r="D70" s="41"/>
      <c r="E70" s="41"/>
      <c r="F70" s="41"/>
      <c r="G70" s="40"/>
    </row>
    <row r="71" spans="1:7" x14ac:dyDescent="0.35">
      <c r="A71" s="7"/>
      <c r="B71" s="7"/>
      <c r="C71" s="39"/>
      <c r="D71" s="41"/>
      <c r="E71" s="41"/>
      <c r="F71" s="41"/>
      <c r="G71" s="40"/>
    </row>
    <row r="72" spans="1:7" x14ac:dyDescent="0.35">
      <c r="A72" s="7"/>
      <c r="B72" s="7"/>
      <c r="C72" s="39"/>
      <c r="D72" s="41"/>
      <c r="E72" s="41"/>
      <c r="F72" s="41"/>
      <c r="G72" s="40"/>
    </row>
    <row r="73" spans="1:7" x14ac:dyDescent="0.35">
      <c r="A73" s="7"/>
      <c r="B73" s="7"/>
      <c r="C73" s="39"/>
      <c r="D73" s="39"/>
      <c r="E73" s="41"/>
      <c r="F73" s="39"/>
      <c r="G73" s="40"/>
    </row>
    <row r="74" spans="1:7" x14ac:dyDescent="0.35">
      <c r="A74" s="7"/>
      <c r="B74" s="7"/>
      <c r="C74" s="39"/>
      <c r="D74" s="41"/>
      <c r="E74" s="41"/>
      <c r="F74" s="41"/>
      <c r="G74" s="40"/>
    </row>
    <row r="75" spans="1:7" x14ac:dyDescent="0.35">
      <c r="A75" s="7"/>
      <c r="B75" s="7"/>
      <c r="C75" s="39"/>
      <c r="D75" s="41"/>
      <c r="E75" s="41"/>
      <c r="F75" s="41"/>
      <c r="G75" s="40"/>
    </row>
    <row r="76" spans="1:7" x14ac:dyDescent="0.35">
      <c r="A76" s="7"/>
      <c r="B76" s="7"/>
      <c r="C76" s="39"/>
      <c r="D76" s="41"/>
      <c r="E76" s="41"/>
      <c r="F76" s="41"/>
      <c r="G76" s="40"/>
    </row>
    <row r="77" spans="1:7" x14ac:dyDescent="0.35">
      <c r="A77" s="7"/>
      <c r="B77" s="7"/>
      <c r="C77" s="39"/>
      <c r="D77" s="41"/>
      <c r="E77" s="41"/>
      <c r="F77" s="41"/>
      <c r="G77" s="40"/>
    </row>
    <row r="78" spans="1:7" x14ac:dyDescent="0.35">
      <c r="A78" s="7"/>
      <c r="B78" s="7"/>
      <c r="C78" s="39"/>
      <c r="D78" s="41"/>
      <c r="E78" s="41"/>
      <c r="F78" s="41"/>
      <c r="G78" s="40"/>
    </row>
    <row r="79" spans="1:7" x14ac:dyDescent="0.35">
      <c r="A79" s="7"/>
      <c r="B79" s="7"/>
      <c r="C79" s="39"/>
      <c r="D79" s="41"/>
      <c r="E79" s="41"/>
      <c r="F79" s="41"/>
      <c r="G79" s="40"/>
    </row>
    <row r="80" spans="1:7" x14ac:dyDescent="0.35">
      <c r="A80" s="7"/>
      <c r="B80" s="7"/>
      <c r="C80" s="39"/>
      <c r="D80" s="41"/>
      <c r="E80" s="41"/>
      <c r="F80" s="41"/>
      <c r="G80" s="40"/>
    </row>
    <row r="81" spans="1:7" x14ac:dyDescent="0.35">
      <c r="A81" s="7"/>
      <c r="B81" s="7"/>
      <c r="C81" s="39"/>
      <c r="D81" s="39"/>
      <c r="E81" s="41"/>
      <c r="F81" s="39"/>
      <c r="G81" s="40"/>
    </row>
    <row r="82" spans="1:7" x14ac:dyDescent="0.35">
      <c r="A82" s="7"/>
      <c r="B82" s="7"/>
      <c r="C82" s="39"/>
      <c r="D82" s="41"/>
      <c r="E82" s="41"/>
      <c r="F82" s="41"/>
      <c r="G82" s="40"/>
    </row>
    <row r="83" spans="1:7" x14ac:dyDescent="0.35">
      <c r="A83" s="7"/>
      <c r="B83" s="7"/>
      <c r="C83" s="39"/>
      <c r="D83" s="41"/>
      <c r="E83" s="41"/>
      <c r="F83" s="41"/>
      <c r="G83" s="40"/>
    </row>
    <row r="84" spans="1:7" x14ac:dyDescent="0.35">
      <c r="A84" s="7"/>
      <c r="B84" s="7"/>
      <c r="C84" s="39"/>
      <c r="D84" s="41"/>
      <c r="E84" s="41"/>
      <c r="F84" s="41"/>
      <c r="G84" s="40"/>
    </row>
    <row r="85" spans="1:7" x14ac:dyDescent="0.35">
      <c r="A85" s="7"/>
      <c r="B85" s="7"/>
      <c r="C85" s="39"/>
      <c r="D85" s="41"/>
      <c r="E85" s="41"/>
      <c r="F85" s="41"/>
      <c r="G85" s="40"/>
    </row>
    <row r="86" spans="1:7" x14ac:dyDescent="0.35">
      <c r="A86" s="7"/>
      <c r="B86" s="7"/>
      <c r="C86" s="39"/>
      <c r="D86" s="39"/>
      <c r="E86" s="41"/>
      <c r="F86" s="39"/>
      <c r="G86" s="40"/>
    </row>
    <row r="87" spans="1:7" x14ac:dyDescent="0.35">
      <c r="A87" s="7"/>
      <c r="B87" s="7"/>
      <c r="C87" s="39"/>
      <c r="D87" s="41"/>
      <c r="E87" s="41"/>
      <c r="F87" s="41"/>
      <c r="G87" s="40"/>
    </row>
    <row r="88" spans="1:7" x14ac:dyDescent="0.35">
      <c r="A88" s="7"/>
      <c r="B88" s="7"/>
      <c r="C88" s="39"/>
      <c r="D88" s="41"/>
      <c r="E88" s="41"/>
      <c r="F88" s="41"/>
      <c r="G88" s="40"/>
    </row>
    <row r="89" spans="1:7" x14ac:dyDescent="0.35">
      <c r="A89" s="7"/>
      <c r="B89" s="7"/>
      <c r="C89" s="39"/>
      <c r="D89" s="41"/>
      <c r="E89" s="41"/>
      <c r="F89" s="41"/>
      <c r="G89" s="40"/>
    </row>
    <row r="90" spans="1:7" x14ac:dyDescent="0.35">
      <c r="A90" s="7"/>
      <c r="B90" s="7"/>
      <c r="C90" s="39"/>
      <c r="D90" s="41"/>
      <c r="E90" s="41"/>
      <c r="F90" s="41"/>
      <c r="G90" s="40"/>
    </row>
    <row r="91" spans="1:7" x14ac:dyDescent="0.35">
      <c r="A91" s="7"/>
      <c r="B91" s="7"/>
      <c r="C91" s="39"/>
      <c r="D91" s="41"/>
      <c r="E91" s="41"/>
      <c r="F91" s="41"/>
      <c r="G91" s="40"/>
    </row>
    <row r="92" spans="1:7" x14ac:dyDescent="0.35">
      <c r="A92" s="7"/>
      <c r="B92" s="7"/>
      <c r="C92" s="39"/>
      <c r="D92" s="41"/>
      <c r="E92" s="41"/>
      <c r="F92" s="41"/>
      <c r="G92" s="40"/>
    </row>
    <row r="93" spans="1:7" x14ac:dyDescent="0.35">
      <c r="A93" s="7"/>
      <c r="B93" s="7"/>
      <c r="C93" s="39"/>
      <c r="D93" s="41"/>
      <c r="E93" s="41"/>
      <c r="F93" s="41"/>
      <c r="G93" s="40"/>
    </row>
    <row r="94" spans="1:7" x14ac:dyDescent="0.35">
      <c r="A94" s="7"/>
      <c r="B94" s="7"/>
      <c r="C94" s="41"/>
      <c r="D94" s="39"/>
      <c r="E94" s="39"/>
      <c r="F94" s="41"/>
      <c r="G94" s="42"/>
    </row>
    <row r="95" spans="1:7" x14ac:dyDescent="0.35">
      <c r="A95" s="7"/>
      <c r="B95" s="7"/>
      <c r="C95" s="7"/>
      <c r="D95" s="7"/>
      <c r="E95" s="39"/>
      <c r="F95" s="41"/>
      <c r="G95" s="41"/>
    </row>
    <row r="96" spans="1:7" x14ac:dyDescent="0.35">
      <c r="A96" s="7"/>
      <c r="B96" s="7"/>
      <c r="C96" s="7"/>
      <c r="D96" s="7"/>
      <c r="E96" s="39"/>
      <c r="F96" s="41"/>
      <c r="G96" s="41"/>
    </row>
    <row r="97" spans="1:7" x14ac:dyDescent="0.35">
      <c r="A97" s="7"/>
      <c r="B97" s="7"/>
      <c r="C97" s="7"/>
      <c r="D97" s="7"/>
      <c r="E97" s="39"/>
      <c r="F97" s="41"/>
      <c r="G97" s="41"/>
    </row>
    <row r="98" spans="1:7" x14ac:dyDescent="0.35">
      <c r="A98" s="7"/>
      <c r="B98" s="7"/>
      <c r="C98" s="7"/>
      <c r="D98" s="7"/>
      <c r="E98" s="39"/>
      <c r="F98" s="41"/>
      <c r="G98" s="41"/>
    </row>
    <row r="99" spans="1:7" x14ac:dyDescent="0.35">
      <c r="A99" s="7"/>
      <c r="B99" s="7"/>
      <c r="C99" s="7"/>
      <c r="D99" s="7"/>
      <c r="E99" s="39"/>
      <c r="F99" s="41"/>
      <c r="G99" s="41"/>
    </row>
    <row r="100" spans="1:7" x14ac:dyDescent="0.35">
      <c r="A100" s="7"/>
      <c r="B100" s="7"/>
      <c r="C100" s="7"/>
      <c r="D100" s="7"/>
      <c r="E100" s="39"/>
      <c r="F100" s="41"/>
      <c r="G100" s="41"/>
    </row>
    <row r="101" spans="1:7" x14ac:dyDescent="0.35">
      <c r="A101" s="7"/>
      <c r="B101" s="7"/>
      <c r="C101" s="7"/>
      <c r="D101" s="7"/>
      <c r="E101" s="39"/>
      <c r="F101" s="41"/>
      <c r="G101" s="41"/>
    </row>
    <row r="102" spans="1:7" x14ac:dyDescent="0.35">
      <c r="A102" s="7"/>
      <c r="B102" s="7"/>
      <c r="C102" s="7"/>
      <c r="D102" s="7"/>
      <c r="E102" s="39"/>
      <c r="F102" s="41"/>
      <c r="G102" s="41"/>
    </row>
    <row r="103" spans="1:7" x14ac:dyDescent="0.35">
      <c r="A103" s="7"/>
      <c r="B103" s="7"/>
      <c r="C103" s="7"/>
      <c r="D103" s="7"/>
      <c r="E103" s="39"/>
      <c r="F103" s="41"/>
      <c r="G103" s="41"/>
    </row>
    <row r="104" spans="1:7" x14ac:dyDescent="0.35">
      <c r="A104" s="7"/>
      <c r="B104" s="7"/>
      <c r="C104" s="7"/>
      <c r="D104" s="7"/>
      <c r="E104" s="39"/>
      <c r="F104" s="41"/>
      <c r="G104" s="41"/>
    </row>
    <row r="105" spans="1:7" x14ac:dyDescent="0.35">
      <c r="A105" s="7"/>
      <c r="B105" s="7"/>
      <c r="C105" s="7"/>
      <c r="D105" s="7"/>
      <c r="E105" s="39"/>
      <c r="F105" s="41"/>
      <c r="G105" s="41"/>
    </row>
    <row r="106" spans="1:7" x14ac:dyDescent="0.35">
      <c r="A106" s="7"/>
      <c r="B106" s="7"/>
      <c r="C106" s="7"/>
      <c r="D106" s="7"/>
      <c r="E106" s="39"/>
      <c r="F106" s="41"/>
      <c r="G106" s="41"/>
    </row>
    <row r="107" spans="1:7" x14ac:dyDescent="0.35">
      <c r="A107" s="7"/>
      <c r="B107" s="7"/>
      <c r="C107" s="7"/>
      <c r="D107" s="7"/>
      <c r="E107" s="39"/>
      <c r="F107" s="41"/>
      <c r="G107" s="41"/>
    </row>
    <row r="108" spans="1:7" x14ac:dyDescent="0.35">
      <c r="A108" s="7"/>
      <c r="B108" s="7"/>
      <c r="C108" s="7"/>
      <c r="D108" s="7"/>
      <c r="E108" s="39"/>
      <c r="F108" s="41"/>
      <c r="G108" s="41"/>
    </row>
    <row r="109" spans="1:7" x14ac:dyDescent="0.35">
      <c r="A109" s="7"/>
      <c r="B109" s="7"/>
      <c r="C109" s="7"/>
      <c r="D109" s="7"/>
      <c r="E109" s="39"/>
      <c r="F109" s="41"/>
      <c r="G109" s="41"/>
    </row>
    <row r="110" spans="1:7" x14ac:dyDescent="0.35">
      <c r="A110" s="7"/>
      <c r="B110" s="7"/>
      <c r="C110" s="7"/>
      <c r="D110" s="7"/>
      <c r="E110" s="39"/>
      <c r="F110" s="41"/>
      <c r="G110" s="41"/>
    </row>
    <row r="111" spans="1:7" x14ac:dyDescent="0.35">
      <c r="A111" s="7"/>
      <c r="B111" s="7"/>
      <c r="C111" s="7"/>
      <c r="D111" s="7"/>
      <c r="E111" s="39"/>
      <c r="F111" s="41"/>
      <c r="G111" s="41"/>
    </row>
    <row r="112" spans="1:7" x14ac:dyDescent="0.35">
      <c r="A112" s="7"/>
      <c r="B112" s="7"/>
      <c r="C112" s="7"/>
      <c r="D112" s="7"/>
      <c r="E112" s="39"/>
      <c r="F112" s="41"/>
      <c r="G112" s="41"/>
    </row>
    <row r="113" spans="1:7" x14ac:dyDescent="0.35">
      <c r="A113" s="7"/>
      <c r="B113" s="7"/>
      <c r="C113" s="7"/>
      <c r="D113" s="7"/>
      <c r="E113" s="39"/>
      <c r="F113" s="41"/>
      <c r="G113" s="41"/>
    </row>
    <row r="114" spans="1:7" x14ac:dyDescent="0.35">
      <c r="A114" s="7"/>
      <c r="B114" s="7"/>
      <c r="C114" s="7"/>
      <c r="D114" s="7"/>
      <c r="E114" s="39"/>
      <c r="F114" s="41"/>
      <c r="G114" s="41"/>
    </row>
    <row r="115" spans="1:7" x14ac:dyDescent="0.35">
      <c r="A115" s="7"/>
      <c r="B115" s="7"/>
      <c r="C115" s="7"/>
      <c r="D115" s="7"/>
      <c r="E115" s="39"/>
      <c r="F115" s="41"/>
      <c r="G115" s="41"/>
    </row>
    <row r="116" spans="1:7" x14ac:dyDescent="0.35">
      <c r="A116" s="7"/>
      <c r="B116" s="7"/>
      <c r="C116" s="7"/>
      <c r="D116" s="7"/>
      <c r="E116" s="39"/>
      <c r="F116" s="39"/>
      <c r="G116" s="41"/>
    </row>
    <row r="117" spans="1:7" x14ac:dyDescent="0.35">
      <c r="A117" s="7"/>
      <c r="B117" s="7"/>
      <c r="C117" s="7"/>
      <c r="D117" s="7"/>
      <c r="E117" s="39"/>
      <c r="F117" s="41"/>
      <c r="G117" s="41"/>
    </row>
    <row r="118" spans="1:7" x14ac:dyDescent="0.35">
      <c r="A118" s="7"/>
      <c r="B118" s="7"/>
      <c r="C118" s="7"/>
      <c r="D118" s="7"/>
      <c r="E118" s="39"/>
      <c r="F118" s="41"/>
      <c r="G118" s="41"/>
    </row>
    <row r="119" spans="1:7" x14ac:dyDescent="0.35">
      <c r="A119" s="7"/>
      <c r="B119" s="7"/>
      <c r="C119" s="7"/>
      <c r="D119" s="7"/>
      <c r="E119" s="39"/>
      <c r="F119" s="41"/>
      <c r="G119" s="41"/>
    </row>
    <row r="120" spans="1:7" x14ac:dyDescent="0.35">
      <c r="A120" s="7"/>
      <c r="B120" s="7"/>
      <c r="C120" s="7"/>
      <c r="D120" s="7"/>
      <c r="E120" s="39"/>
      <c r="F120" s="41"/>
      <c r="G120" s="41"/>
    </row>
    <row r="121" spans="1:7" x14ac:dyDescent="0.35">
      <c r="A121" s="7"/>
      <c r="B121" s="7"/>
      <c r="C121" s="7"/>
      <c r="D121" s="7"/>
      <c r="E121" s="39"/>
      <c r="F121" s="41"/>
      <c r="G121" s="41"/>
    </row>
    <row r="122" spans="1:7" x14ac:dyDescent="0.35">
      <c r="A122" s="7"/>
      <c r="B122" s="7"/>
      <c r="C122" s="7"/>
      <c r="D122" s="7"/>
      <c r="E122" s="39"/>
      <c r="F122" s="41"/>
      <c r="G122" s="41"/>
    </row>
    <row r="123" spans="1:7" x14ac:dyDescent="0.35">
      <c r="A123" s="7"/>
      <c r="B123" s="7"/>
      <c r="C123" s="7"/>
      <c r="D123" s="7"/>
      <c r="E123" s="39"/>
      <c r="F123" s="41"/>
      <c r="G123" s="41"/>
    </row>
    <row r="124" spans="1:7" x14ac:dyDescent="0.35">
      <c r="A124" s="7"/>
      <c r="B124" s="7"/>
      <c r="C124" s="7"/>
      <c r="D124" s="7"/>
      <c r="E124" s="39"/>
      <c r="F124" s="41"/>
      <c r="G124" s="41"/>
    </row>
    <row r="125" spans="1:7" x14ac:dyDescent="0.35">
      <c r="A125" s="7"/>
      <c r="B125" s="7"/>
      <c r="C125" s="7"/>
      <c r="D125" s="7"/>
      <c r="E125" s="39"/>
      <c r="F125" s="41"/>
      <c r="G125" s="41"/>
    </row>
    <row r="126" spans="1:7" x14ac:dyDescent="0.35">
      <c r="A126" s="7"/>
      <c r="B126" s="7"/>
      <c r="C126" s="7"/>
      <c r="D126" s="7"/>
      <c r="E126" s="39"/>
      <c r="F126" s="41"/>
      <c r="G126" s="41"/>
    </row>
    <row r="127" spans="1:7" x14ac:dyDescent="0.35">
      <c r="A127" s="7"/>
      <c r="B127" s="7"/>
      <c r="C127" s="7"/>
      <c r="D127" s="7"/>
      <c r="E127" s="39"/>
      <c r="F127" s="41"/>
      <c r="G127" s="41"/>
    </row>
    <row r="128" spans="1:7" x14ac:dyDescent="0.35">
      <c r="A128" s="7"/>
      <c r="B128" s="7"/>
      <c r="C128" s="7"/>
      <c r="D128" s="7"/>
      <c r="E128" s="39"/>
      <c r="F128" s="41"/>
      <c r="G128" s="41"/>
    </row>
    <row r="129" spans="1:7" x14ac:dyDescent="0.35">
      <c r="A129" s="7"/>
      <c r="B129" s="7"/>
      <c r="C129" s="7"/>
      <c r="D129" s="7"/>
      <c r="E129" s="39"/>
      <c r="F129" s="41"/>
      <c r="G129" s="41"/>
    </row>
    <row r="130" spans="1:7" x14ac:dyDescent="0.35">
      <c r="A130" s="7"/>
      <c r="B130" s="7"/>
      <c r="C130" s="7"/>
      <c r="D130" s="7"/>
      <c r="E130" s="39"/>
      <c r="F130" s="41"/>
      <c r="G130" s="41"/>
    </row>
    <row r="131" spans="1:7" x14ac:dyDescent="0.35">
      <c r="A131" s="7"/>
      <c r="B131" s="7"/>
      <c r="C131" s="7"/>
      <c r="D131" s="7"/>
      <c r="E131" s="39"/>
      <c r="F131" s="41"/>
      <c r="G131" s="41"/>
    </row>
    <row r="132" spans="1:7" x14ac:dyDescent="0.35">
      <c r="A132" s="7"/>
      <c r="B132" s="7"/>
      <c r="C132" s="7"/>
      <c r="D132" s="7"/>
      <c r="E132" s="39"/>
      <c r="F132" s="41"/>
      <c r="G132" s="41"/>
    </row>
    <row r="133" spans="1:7" x14ac:dyDescent="0.35">
      <c r="A133" s="7"/>
      <c r="B133" s="7"/>
      <c r="C133" s="7"/>
      <c r="D133" s="7"/>
      <c r="E133" s="39"/>
      <c r="F133" s="41"/>
      <c r="G133" s="41"/>
    </row>
    <row r="134" spans="1:7" x14ac:dyDescent="0.35">
      <c r="A134" s="7"/>
      <c r="B134" s="7"/>
      <c r="C134" s="7"/>
      <c r="D134" s="7"/>
      <c r="E134" s="39"/>
      <c r="F134" s="41"/>
      <c r="G134" s="41"/>
    </row>
    <row r="135" spans="1:7" x14ac:dyDescent="0.35">
      <c r="A135" s="7"/>
      <c r="B135" s="7"/>
      <c r="C135" s="7"/>
      <c r="D135" s="7"/>
      <c r="E135" s="39"/>
      <c r="F135" s="41"/>
      <c r="G135" s="41"/>
    </row>
    <row r="136" spans="1:7" x14ac:dyDescent="0.35">
      <c r="A136" s="7"/>
      <c r="B136" s="7"/>
      <c r="C136" s="7"/>
      <c r="D136" s="7"/>
      <c r="E136" s="39"/>
      <c r="F136" s="41"/>
      <c r="G136" s="41"/>
    </row>
    <row r="137" spans="1:7" x14ac:dyDescent="0.35">
      <c r="A137" s="7"/>
      <c r="B137" s="7"/>
      <c r="C137" s="7"/>
      <c r="D137" s="7"/>
      <c r="E137" s="39"/>
      <c r="F137" s="39"/>
      <c r="G137" s="39"/>
    </row>
    <row r="138" spans="1:7" x14ac:dyDescent="0.35">
      <c r="A138" s="7"/>
      <c r="B138" s="7"/>
      <c r="C138" s="7"/>
      <c r="D138" s="7"/>
      <c r="E138" s="39"/>
      <c r="F138" s="41"/>
      <c r="G138" s="41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DAD1-4AD8-4293-9B75-7C64B615386A}">
  <dimension ref="A1:H94"/>
  <sheetViews>
    <sheetView showGridLines="0" topLeftCell="A11" workbookViewId="0">
      <selection activeCell="E30" sqref="E30"/>
    </sheetView>
  </sheetViews>
  <sheetFormatPr defaultRowHeight="14.5" x14ac:dyDescent="0.35"/>
  <cols>
    <col min="1" max="1" width="13.1796875" bestFit="1" customWidth="1"/>
    <col min="2" max="2" width="21.7265625" bestFit="1" customWidth="1"/>
    <col min="3" max="3" width="13.36328125" bestFit="1" customWidth="1"/>
    <col min="4" max="5" width="11.453125" bestFit="1" customWidth="1"/>
    <col min="6" max="6" width="12" bestFit="1" customWidth="1"/>
    <col min="7" max="7" width="14.1796875" bestFit="1" customWidth="1"/>
  </cols>
  <sheetData>
    <row r="1" spans="1:7" x14ac:dyDescent="0.35">
      <c r="A1" s="79"/>
      <c r="B1" s="79"/>
      <c r="C1" s="79"/>
      <c r="D1" s="79"/>
      <c r="E1" s="79"/>
      <c r="F1" s="79"/>
      <c r="G1" s="79"/>
    </row>
    <row r="2" spans="1:7" x14ac:dyDescent="0.35">
      <c r="A2" s="6"/>
      <c r="B2" s="6"/>
      <c r="C2" s="7"/>
      <c r="D2" s="7"/>
      <c r="E2" s="7"/>
      <c r="F2" s="7"/>
      <c r="G2" s="7"/>
    </row>
    <row r="3" spans="1:7" x14ac:dyDescent="0.35">
      <c r="A3" s="6"/>
      <c r="B3" s="6"/>
      <c r="C3" s="7"/>
      <c r="D3" s="7"/>
      <c r="E3" s="7"/>
      <c r="F3" s="7"/>
      <c r="G3" s="7"/>
    </row>
    <row r="4" spans="1:7" x14ac:dyDescent="0.35">
      <c r="A4" s="7"/>
      <c r="B4" s="7"/>
      <c r="C4" s="39"/>
      <c r="D4" s="39"/>
      <c r="E4" s="39"/>
      <c r="F4" s="39"/>
      <c r="G4" s="40"/>
    </row>
    <row r="5" spans="1:7" x14ac:dyDescent="0.35">
      <c r="A5" s="7"/>
      <c r="B5" s="7"/>
      <c r="C5" s="41"/>
      <c r="D5" s="39"/>
      <c r="E5" s="39"/>
      <c r="F5" s="39"/>
      <c r="G5" s="40"/>
    </row>
    <row r="6" spans="1:7" x14ac:dyDescent="0.35">
      <c r="A6" s="7"/>
      <c r="B6" s="7"/>
      <c r="C6" s="41"/>
      <c r="D6" s="39"/>
      <c r="E6" s="39"/>
      <c r="F6" s="41"/>
      <c r="G6" s="42"/>
    </row>
    <row r="7" spans="1:7" x14ac:dyDescent="0.35">
      <c r="A7" s="7"/>
      <c r="B7" s="7"/>
      <c r="C7" s="39"/>
      <c r="D7" s="39"/>
      <c r="E7" s="41"/>
      <c r="F7" s="39"/>
      <c r="G7" s="40"/>
    </row>
    <row r="8" spans="1:7" x14ac:dyDescent="0.35">
      <c r="A8" s="7"/>
      <c r="B8" s="7"/>
      <c r="C8" s="39"/>
      <c r="D8" s="41"/>
      <c r="E8" s="41"/>
      <c r="F8" s="41"/>
      <c r="G8" s="40"/>
    </row>
    <row r="9" spans="1:7" x14ac:dyDescent="0.35">
      <c r="A9" s="7"/>
      <c r="B9" s="7"/>
      <c r="C9" s="39"/>
      <c r="D9" s="39"/>
      <c r="E9" s="41"/>
      <c r="F9" s="39"/>
      <c r="G9" s="40"/>
    </row>
    <row r="10" spans="1:7" x14ac:dyDescent="0.35">
      <c r="A10" s="7"/>
      <c r="B10" s="7"/>
      <c r="C10" s="39"/>
      <c r="D10" s="39"/>
      <c r="E10" s="39"/>
      <c r="F10" s="41"/>
      <c r="G10" s="40"/>
    </row>
    <row r="11" spans="1:7" x14ac:dyDescent="0.35">
      <c r="A11" s="7"/>
      <c r="B11" s="7"/>
      <c r="C11" s="39"/>
      <c r="D11" s="41"/>
      <c r="E11" s="41"/>
      <c r="F11" s="41"/>
      <c r="G11" s="40"/>
    </row>
    <row r="12" spans="1:7" x14ac:dyDescent="0.35">
      <c r="A12" s="7"/>
      <c r="B12" s="7"/>
      <c r="C12" s="39"/>
      <c r="D12" s="41"/>
      <c r="E12" s="41"/>
      <c r="F12" s="41"/>
      <c r="G12" s="40"/>
    </row>
    <row r="13" spans="1:7" x14ac:dyDescent="0.35">
      <c r="A13" s="7"/>
      <c r="B13" s="7"/>
      <c r="C13" s="39"/>
      <c r="D13" s="39"/>
      <c r="E13" s="41"/>
      <c r="F13" s="39"/>
      <c r="G13" s="40"/>
    </row>
    <row r="14" spans="1:7" x14ac:dyDescent="0.35">
      <c r="A14" s="7"/>
      <c r="B14" s="7"/>
      <c r="C14" s="39"/>
      <c r="D14" s="39"/>
      <c r="E14" s="39"/>
      <c r="F14" s="39"/>
      <c r="G14" s="40"/>
    </row>
    <row r="15" spans="1:7" x14ac:dyDescent="0.35">
      <c r="A15" s="7"/>
      <c r="B15" s="7"/>
      <c r="C15" s="39"/>
      <c r="D15" s="41"/>
      <c r="E15" s="41"/>
      <c r="F15" s="41"/>
      <c r="G15" s="40"/>
    </row>
    <row r="16" spans="1:7" x14ac:dyDescent="0.35">
      <c r="A16" s="7"/>
      <c r="B16" s="7"/>
      <c r="C16" s="39"/>
      <c r="D16" s="41"/>
      <c r="E16" s="39"/>
      <c r="F16" s="39"/>
      <c r="G16" s="40"/>
    </row>
    <row r="17" spans="1:7" x14ac:dyDescent="0.35">
      <c r="A17" s="7"/>
      <c r="B17" s="7"/>
      <c r="C17" s="39"/>
      <c r="D17" s="41"/>
      <c r="E17" s="39"/>
      <c r="F17" s="39"/>
      <c r="G17" s="40"/>
    </row>
    <row r="18" spans="1:7" x14ac:dyDescent="0.35">
      <c r="A18" s="7"/>
      <c r="B18" s="7"/>
      <c r="C18" s="39"/>
      <c r="D18" s="41"/>
      <c r="E18" s="39"/>
      <c r="F18" s="39"/>
      <c r="G18" s="40"/>
    </row>
    <row r="19" spans="1:7" x14ac:dyDescent="0.35">
      <c r="A19" s="7"/>
      <c r="B19" s="7"/>
      <c r="C19" s="39"/>
      <c r="D19" s="39"/>
      <c r="E19" s="39"/>
      <c r="F19" s="39"/>
      <c r="G19" s="40"/>
    </row>
    <row r="20" spans="1:7" x14ac:dyDescent="0.35">
      <c r="A20" s="7"/>
      <c r="B20" s="7"/>
      <c r="C20" s="39"/>
      <c r="D20" s="41"/>
      <c r="E20" s="41"/>
      <c r="F20" s="41"/>
      <c r="G20" s="40"/>
    </row>
    <row r="21" spans="1:7" x14ac:dyDescent="0.35">
      <c r="A21" s="7"/>
      <c r="B21" s="7"/>
      <c r="C21" s="39"/>
      <c r="D21" s="41"/>
      <c r="E21" s="41"/>
      <c r="F21" s="41"/>
      <c r="G21" s="40"/>
    </row>
    <row r="22" spans="1:7" x14ac:dyDescent="0.35">
      <c r="A22" s="7"/>
      <c r="B22" s="7"/>
      <c r="C22" s="39"/>
      <c r="D22" s="41"/>
      <c r="E22" s="41"/>
      <c r="F22" s="41"/>
      <c r="G22" s="40"/>
    </row>
    <row r="23" spans="1:7" x14ac:dyDescent="0.35">
      <c r="A23" s="7"/>
      <c r="B23" s="7"/>
      <c r="C23" s="39"/>
      <c r="D23" s="41"/>
      <c r="E23" s="41"/>
      <c r="F23" s="41"/>
      <c r="G23" s="40"/>
    </row>
    <row r="24" spans="1:7" x14ac:dyDescent="0.35">
      <c r="A24" s="7"/>
      <c r="B24" s="7"/>
      <c r="C24" s="39"/>
      <c r="D24" s="39"/>
      <c r="E24" s="39"/>
      <c r="F24" s="41"/>
      <c r="G24" s="40"/>
    </row>
    <row r="25" spans="1:7" x14ac:dyDescent="0.35">
      <c r="A25" s="7"/>
      <c r="B25" s="7"/>
      <c r="C25" s="39"/>
      <c r="D25" s="41"/>
      <c r="E25" s="41"/>
      <c r="F25" s="41"/>
      <c r="G25" s="40"/>
    </row>
    <row r="26" spans="1:7" x14ac:dyDescent="0.35">
      <c r="A26" s="7"/>
      <c r="B26" s="7"/>
      <c r="C26" s="39"/>
      <c r="D26" s="41"/>
      <c r="E26" s="41"/>
      <c r="F26" s="41"/>
      <c r="G26" s="40"/>
    </row>
    <row r="27" spans="1:7" x14ac:dyDescent="0.35">
      <c r="A27" s="7"/>
      <c r="B27" s="7"/>
      <c r="C27" s="39"/>
      <c r="D27" s="41"/>
      <c r="E27" s="41"/>
      <c r="F27" s="41"/>
      <c r="G27" s="40"/>
    </row>
    <row r="28" spans="1:7" x14ac:dyDescent="0.35">
      <c r="A28" s="7"/>
      <c r="B28" s="7"/>
      <c r="C28" s="39"/>
      <c r="D28" s="41"/>
      <c r="E28" s="41"/>
      <c r="F28" s="41"/>
      <c r="G28" s="40"/>
    </row>
    <row r="29" spans="1:7" x14ac:dyDescent="0.35">
      <c r="A29" s="7"/>
      <c r="B29" s="7"/>
      <c r="C29" s="39"/>
      <c r="D29" s="41"/>
      <c r="E29" s="41"/>
      <c r="F29" s="41"/>
      <c r="G29" s="40"/>
    </row>
    <row r="30" spans="1:7" x14ac:dyDescent="0.35">
      <c r="A30" s="7"/>
      <c r="B30" s="7"/>
      <c r="C30" s="39"/>
      <c r="D30" s="39"/>
      <c r="E30" s="39"/>
      <c r="F30" s="39"/>
      <c r="G30" s="40"/>
    </row>
    <row r="31" spans="1:7" x14ac:dyDescent="0.35">
      <c r="A31" s="7"/>
      <c r="B31" s="7"/>
      <c r="C31" s="39"/>
      <c r="D31" s="39"/>
      <c r="E31" s="39"/>
      <c r="F31" s="39"/>
      <c r="G31" s="40"/>
    </row>
    <row r="32" spans="1:7" x14ac:dyDescent="0.35">
      <c r="A32" s="7"/>
      <c r="B32" s="7"/>
      <c r="C32" s="39"/>
      <c r="D32" s="39"/>
      <c r="E32" s="41"/>
      <c r="F32" s="39"/>
      <c r="G32" s="40"/>
    </row>
    <row r="33" spans="1:8" x14ac:dyDescent="0.35">
      <c r="A33" s="7"/>
      <c r="B33" s="7"/>
      <c r="C33" s="39"/>
      <c r="D33" s="41"/>
      <c r="E33" s="41"/>
      <c r="F33" s="41"/>
      <c r="G33" s="40"/>
    </row>
    <row r="34" spans="1:8" x14ac:dyDescent="0.35">
      <c r="A34" s="7"/>
      <c r="B34" s="7"/>
      <c r="C34" s="39"/>
      <c r="D34" s="41"/>
      <c r="E34" s="41"/>
      <c r="F34" s="41"/>
      <c r="G34" s="40"/>
    </row>
    <row r="35" spans="1:8" x14ac:dyDescent="0.35">
      <c r="A35" s="7"/>
      <c r="B35" s="7"/>
      <c r="C35" s="39"/>
      <c r="D35" s="41"/>
      <c r="E35" s="41"/>
      <c r="F35" s="41"/>
      <c r="G35" s="40"/>
    </row>
    <row r="36" spans="1:8" x14ac:dyDescent="0.35">
      <c r="A36" s="7"/>
      <c r="B36" s="7"/>
      <c r="C36" s="39"/>
      <c r="D36" s="41"/>
      <c r="E36" s="39"/>
      <c r="F36" s="39"/>
      <c r="G36" s="40"/>
      <c r="H36" s="78"/>
    </row>
    <row r="37" spans="1:8" x14ac:dyDescent="0.35">
      <c r="A37" s="7"/>
      <c r="B37" s="7"/>
      <c r="C37" s="39"/>
      <c r="D37" s="41"/>
      <c r="E37" s="39"/>
      <c r="F37" s="39"/>
      <c r="G37" s="40"/>
      <c r="H37" s="78"/>
    </row>
    <row r="38" spans="1:8" x14ac:dyDescent="0.35">
      <c r="A38" s="7"/>
      <c r="B38" s="7"/>
      <c r="C38" s="39"/>
      <c r="D38" s="41"/>
      <c r="E38" s="39"/>
      <c r="F38" s="39"/>
      <c r="G38" s="40"/>
    </row>
    <row r="39" spans="1:8" x14ac:dyDescent="0.35">
      <c r="A39" s="7"/>
      <c r="B39" s="7"/>
      <c r="C39" s="39"/>
      <c r="D39" s="41"/>
      <c r="E39" s="41"/>
      <c r="F39" s="41"/>
      <c r="G39" s="40"/>
    </row>
    <row r="40" spans="1:8" x14ac:dyDescent="0.35">
      <c r="A40" s="7"/>
      <c r="B40" s="7"/>
      <c r="C40" s="39"/>
      <c r="D40" s="41"/>
      <c r="E40" s="41"/>
      <c r="F40" s="41"/>
      <c r="G40" s="40"/>
    </row>
    <row r="41" spans="1:8" x14ac:dyDescent="0.35">
      <c r="A41" s="7"/>
      <c r="B41" s="7"/>
      <c r="C41" s="39"/>
      <c r="D41" s="41"/>
      <c r="E41" s="41"/>
      <c r="F41" s="41"/>
      <c r="G41" s="40"/>
    </row>
    <row r="42" spans="1:8" x14ac:dyDescent="0.35">
      <c r="A42" s="7"/>
      <c r="B42" s="7"/>
      <c r="C42" s="39"/>
      <c r="D42" s="41"/>
      <c r="E42" s="41"/>
      <c r="F42" s="41"/>
      <c r="G42" s="40"/>
    </row>
    <row r="43" spans="1:8" x14ac:dyDescent="0.35">
      <c r="A43" s="7"/>
      <c r="B43" s="7"/>
      <c r="C43" s="39"/>
      <c r="D43" s="41"/>
      <c r="E43" s="41"/>
      <c r="F43" s="41"/>
      <c r="G43" s="40"/>
    </row>
    <row r="44" spans="1:8" x14ac:dyDescent="0.35">
      <c r="A44" s="7"/>
      <c r="B44" s="7"/>
      <c r="C44" s="39"/>
      <c r="D44" s="41"/>
      <c r="E44" s="41"/>
      <c r="F44" s="41"/>
      <c r="G44" s="40"/>
    </row>
    <row r="45" spans="1:8" x14ac:dyDescent="0.35">
      <c r="A45" s="7"/>
      <c r="B45" s="7"/>
      <c r="C45" s="39"/>
      <c r="D45" s="41"/>
      <c r="E45" s="41"/>
      <c r="F45" s="41"/>
      <c r="G45" s="40"/>
    </row>
    <row r="46" spans="1:8" x14ac:dyDescent="0.35">
      <c r="A46" s="7"/>
      <c r="B46" s="7"/>
      <c r="C46" s="39"/>
      <c r="D46" s="41"/>
      <c r="E46" s="41"/>
      <c r="F46" s="41"/>
      <c r="G46" s="40"/>
    </row>
    <row r="47" spans="1:8" x14ac:dyDescent="0.35">
      <c r="A47" s="7"/>
      <c r="B47" s="7"/>
      <c r="C47" s="39"/>
      <c r="D47" s="41"/>
      <c r="E47" s="41"/>
      <c r="F47" s="41"/>
      <c r="G47" s="40"/>
    </row>
    <row r="48" spans="1:8" x14ac:dyDescent="0.35">
      <c r="A48" s="7"/>
      <c r="B48" s="7"/>
      <c r="C48" s="39"/>
      <c r="D48" s="41"/>
      <c r="E48" s="41"/>
      <c r="F48" s="41"/>
      <c r="G48" s="40"/>
    </row>
    <row r="49" spans="1:7" x14ac:dyDescent="0.35">
      <c r="A49" s="7"/>
      <c r="B49" s="7"/>
      <c r="C49" s="39"/>
      <c r="D49" s="41"/>
      <c r="E49" s="41"/>
      <c r="F49" s="41"/>
      <c r="G49" s="40"/>
    </row>
    <row r="50" spans="1:7" x14ac:dyDescent="0.35">
      <c r="A50" s="7"/>
      <c r="B50" s="7"/>
      <c r="C50" s="39"/>
      <c r="D50" s="41"/>
      <c r="E50" s="41"/>
      <c r="F50" s="41"/>
      <c r="G50" s="40"/>
    </row>
    <row r="51" spans="1:7" x14ac:dyDescent="0.35">
      <c r="A51" s="7"/>
      <c r="B51" s="7"/>
      <c r="C51" s="39"/>
      <c r="D51" s="41"/>
      <c r="E51" s="41"/>
      <c r="F51" s="41"/>
      <c r="G51" s="40"/>
    </row>
    <row r="52" spans="1:7" x14ac:dyDescent="0.35">
      <c r="A52" s="7"/>
      <c r="B52" s="7"/>
      <c r="C52" s="39"/>
      <c r="D52" s="41"/>
      <c r="E52" s="41"/>
      <c r="F52" s="41"/>
      <c r="G52" s="40"/>
    </row>
    <row r="53" spans="1:7" x14ac:dyDescent="0.35">
      <c r="A53" s="7"/>
      <c r="B53" s="7"/>
      <c r="C53" s="39"/>
      <c r="D53" s="41"/>
      <c r="E53" s="41"/>
      <c r="F53" s="41"/>
      <c r="G53" s="40"/>
    </row>
    <row r="54" spans="1:7" x14ac:dyDescent="0.35">
      <c r="A54" s="7"/>
      <c r="B54" s="7"/>
      <c r="C54" s="39"/>
      <c r="D54" s="41"/>
      <c r="E54" s="41"/>
      <c r="F54" s="41"/>
      <c r="G54" s="40"/>
    </row>
    <row r="55" spans="1:7" x14ac:dyDescent="0.35">
      <c r="A55" s="7"/>
      <c r="B55" s="7"/>
      <c r="C55" s="39"/>
      <c r="D55" s="41"/>
      <c r="E55" s="41"/>
      <c r="F55" s="41"/>
      <c r="G55" s="40"/>
    </row>
    <row r="56" spans="1:7" x14ac:dyDescent="0.35">
      <c r="A56" s="7"/>
      <c r="B56" s="7"/>
      <c r="C56" s="39"/>
      <c r="D56" s="41"/>
      <c r="E56" s="41"/>
      <c r="F56" s="41"/>
      <c r="G56" s="40"/>
    </row>
    <row r="57" spans="1:7" x14ac:dyDescent="0.35">
      <c r="A57" s="7"/>
      <c r="B57" s="7"/>
      <c r="C57" s="39"/>
      <c r="D57" s="41"/>
      <c r="E57" s="41"/>
      <c r="F57" s="41"/>
      <c r="G57" s="40"/>
    </row>
    <row r="58" spans="1:7" x14ac:dyDescent="0.35">
      <c r="A58" s="7"/>
      <c r="B58" s="7"/>
      <c r="C58" s="39"/>
      <c r="D58" s="41"/>
      <c r="E58" s="41"/>
      <c r="F58" s="41"/>
      <c r="G58" s="40"/>
    </row>
    <row r="59" spans="1:7" x14ac:dyDescent="0.35">
      <c r="A59" s="7"/>
      <c r="B59" s="7"/>
      <c r="C59" s="39"/>
      <c r="D59" s="41"/>
      <c r="E59" s="41"/>
      <c r="F59" s="41"/>
      <c r="G59" s="40"/>
    </row>
    <row r="60" spans="1:7" x14ac:dyDescent="0.35">
      <c r="A60" s="7"/>
      <c r="B60" s="7"/>
      <c r="C60" s="39"/>
      <c r="D60" s="41"/>
      <c r="E60" s="41"/>
      <c r="F60" s="41"/>
      <c r="G60" s="40"/>
    </row>
    <row r="61" spans="1:7" x14ac:dyDescent="0.35">
      <c r="A61" s="7"/>
      <c r="B61" s="7"/>
      <c r="C61" s="39"/>
      <c r="D61" s="41"/>
      <c r="E61" s="41"/>
      <c r="F61" s="41"/>
      <c r="G61" s="40"/>
    </row>
    <row r="62" spans="1:7" x14ac:dyDescent="0.35">
      <c r="A62" s="7"/>
      <c r="B62" s="7"/>
      <c r="C62" s="39"/>
      <c r="D62" s="41"/>
      <c r="E62" s="41"/>
      <c r="F62" s="41"/>
      <c r="G62" s="40"/>
    </row>
    <row r="63" spans="1:7" x14ac:dyDescent="0.35">
      <c r="A63" s="7"/>
      <c r="B63" s="7"/>
      <c r="C63" s="39"/>
      <c r="D63" s="41"/>
      <c r="E63" s="41"/>
      <c r="F63" s="41"/>
      <c r="G63" s="40"/>
    </row>
    <row r="64" spans="1:7" x14ac:dyDescent="0.35">
      <c r="A64" s="7"/>
      <c r="B64" s="7"/>
      <c r="C64" s="39"/>
      <c r="D64" s="41"/>
      <c r="E64" s="41"/>
      <c r="F64" s="41"/>
      <c r="G64" s="40"/>
    </row>
    <row r="65" spans="1:7" x14ac:dyDescent="0.35">
      <c r="A65" s="7"/>
      <c r="B65" s="7"/>
      <c r="C65" s="39"/>
      <c r="D65" s="41"/>
      <c r="E65" s="41"/>
      <c r="F65" s="41"/>
      <c r="G65" s="40"/>
    </row>
    <row r="66" spans="1:7" x14ac:dyDescent="0.35">
      <c r="A66" s="7"/>
      <c r="B66" s="7"/>
      <c r="C66" s="39"/>
      <c r="D66" s="41"/>
      <c r="E66" s="41"/>
      <c r="F66" s="41"/>
      <c r="G66" s="40"/>
    </row>
    <row r="67" spans="1:7" x14ac:dyDescent="0.35">
      <c r="A67" s="7"/>
      <c r="B67" s="7"/>
      <c r="C67" s="39"/>
      <c r="D67" s="41"/>
      <c r="E67" s="41"/>
      <c r="F67" s="41"/>
      <c r="G67" s="40"/>
    </row>
    <row r="68" spans="1:7" x14ac:dyDescent="0.35">
      <c r="A68" s="7"/>
      <c r="B68" s="7"/>
      <c r="C68" s="39"/>
      <c r="D68" s="41"/>
      <c r="E68" s="41"/>
      <c r="F68" s="41"/>
      <c r="G68" s="40"/>
    </row>
    <row r="69" spans="1:7" x14ac:dyDescent="0.35">
      <c r="A69" s="7"/>
      <c r="B69" s="7"/>
      <c r="C69" s="39"/>
      <c r="D69" s="41"/>
      <c r="E69" s="41"/>
      <c r="F69" s="41"/>
      <c r="G69" s="40"/>
    </row>
    <row r="70" spans="1:7" x14ac:dyDescent="0.35">
      <c r="A70" s="7"/>
      <c r="B70" s="7"/>
      <c r="C70" s="39"/>
      <c r="D70" s="41"/>
      <c r="E70" s="41"/>
      <c r="F70" s="41"/>
      <c r="G70" s="40"/>
    </row>
    <row r="71" spans="1:7" x14ac:dyDescent="0.35">
      <c r="A71" s="7"/>
      <c r="B71" s="7"/>
      <c r="C71" s="39"/>
      <c r="D71" s="41"/>
      <c r="E71" s="41"/>
      <c r="F71" s="41"/>
      <c r="G71" s="40"/>
    </row>
    <row r="72" spans="1:7" x14ac:dyDescent="0.35">
      <c r="A72" s="7"/>
      <c r="B72" s="7"/>
      <c r="C72" s="39"/>
      <c r="D72" s="39"/>
      <c r="E72" s="41"/>
      <c r="F72" s="39"/>
      <c r="G72" s="40"/>
    </row>
    <row r="73" spans="1:7" x14ac:dyDescent="0.35">
      <c r="A73" s="7"/>
      <c r="B73" s="7"/>
      <c r="C73" s="39"/>
      <c r="D73" s="41"/>
      <c r="E73" s="41"/>
      <c r="F73" s="41"/>
      <c r="G73" s="40"/>
    </row>
    <row r="74" spans="1:7" x14ac:dyDescent="0.35">
      <c r="A74" s="7"/>
      <c r="B74" s="7"/>
      <c r="C74" s="39"/>
      <c r="D74" s="41"/>
      <c r="E74" s="41"/>
      <c r="F74" s="41"/>
      <c r="G74" s="40"/>
    </row>
    <row r="75" spans="1:7" x14ac:dyDescent="0.35">
      <c r="A75" s="7"/>
      <c r="B75" s="7"/>
      <c r="C75" s="39"/>
      <c r="D75" s="41"/>
      <c r="E75" s="41"/>
      <c r="F75" s="41"/>
      <c r="G75" s="40"/>
    </row>
    <row r="76" spans="1:7" x14ac:dyDescent="0.35">
      <c r="A76" s="7"/>
      <c r="B76" s="7"/>
      <c r="C76" s="39"/>
      <c r="D76" s="41"/>
      <c r="E76" s="41"/>
      <c r="F76" s="41"/>
      <c r="G76" s="40"/>
    </row>
    <row r="77" spans="1:7" x14ac:dyDescent="0.35">
      <c r="A77" s="7"/>
      <c r="B77" s="7"/>
      <c r="C77" s="39"/>
      <c r="D77" s="41"/>
      <c r="E77" s="41"/>
      <c r="F77" s="41"/>
      <c r="G77" s="40"/>
    </row>
    <row r="78" spans="1:7" x14ac:dyDescent="0.35">
      <c r="A78" s="7"/>
      <c r="B78" s="7"/>
      <c r="C78" s="39"/>
      <c r="D78" s="41"/>
      <c r="E78" s="41"/>
      <c r="F78" s="41"/>
      <c r="G78" s="40"/>
    </row>
    <row r="79" spans="1:7" x14ac:dyDescent="0.35">
      <c r="A79" s="7"/>
      <c r="B79" s="7"/>
      <c r="C79" s="39"/>
      <c r="D79" s="41"/>
      <c r="E79" s="41"/>
      <c r="F79" s="41"/>
      <c r="G79" s="40"/>
    </row>
    <row r="80" spans="1:7" x14ac:dyDescent="0.35">
      <c r="A80" s="7"/>
      <c r="B80" s="7"/>
      <c r="C80" s="39"/>
      <c r="D80" s="39"/>
      <c r="E80" s="41"/>
      <c r="F80" s="39"/>
      <c r="G80" s="40"/>
    </row>
    <row r="81" spans="1:7" x14ac:dyDescent="0.35">
      <c r="A81" s="7"/>
      <c r="B81" s="7"/>
      <c r="C81" s="39"/>
      <c r="D81" s="41"/>
      <c r="E81" s="41"/>
      <c r="F81" s="41"/>
      <c r="G81" s="40"/>
    </row>
    <row r="82" spans="1:7" x14ac:dyDescent="0.35">
      <c r="A82" s="7"/>
      <c r="B82" s="7"/>
      <c r="C82" s="39"/>
      <c r="D82" s="41"/>
      <c r="E82" s="41"/>
      <c r="F82" s="41"/>
      <c r="G82" s="40"/>
    </row>
    <row r="83" spans="1:7" x14ac:dyDescent="0.35">
      <c r="A83" s="7"/>
      <c r="B83" s="7"/>
      <c r="C83" s="39"/>
      <c r="D83" s="39"/>
      <c r="E83" s="41"/>
      <c r="F83" s="39"/>
      <c r="G83" s="40"/>
    </row>
    <row r="84" spans="1:7" x14ac:dyDescent="0.35">
      <c r="A84" s="7"/>
      <c r="B84" s="7"/>
      <c r="C84" s="39"/>
      <c r="D84" s="39"/>
      <c r="E84" s="41"/>
      <c r="F84" s="39"/>
      <c r="G84" s="40"/>
    </row>
    <row r="85" spans="1:7" x14ac:dyDescent="0.35">
      <c r="A85" s="7"/>
      <c r="B85" s="7"/>
      <c r="C85" s="39"/>
      <c r="D85" s="41"/>
      <c r="E85" s="41"/>
      <c r="F85" s="41"/>
      <c r="G85" s="40"/>
    </row>
    <row r="86" spans="1:7" x14ac:dyDescent="0.35">
      <c r="A86" s="7"/>
      <c r="B86" s="7"/>
      <c r="C86" s="39"/>
      <c r="D86" s="41"/>
      <c r="E86" s="41"/>
      <c r="F86" s="41"/>
      <c r="G86" s="40"/>
    </row>
    <row r="87" spans="1:7" x14ac:dyDescent="0.35">
      <c r="A87" s="7"/>
      <c r="B87" s="7"/>
      <c r="C87" s="39"/>
      <c r="D87" s="41"/>
      <c r="E87" s="41"/>
      <c r="F87" s="41"/>
      <c r="G87" s="40"/>
    </row>
    <row r="88" spans="1:7" x14ac:dyDescent="0.35">
      <c r="A88" s="7"/>
      <c r="B88" s="7"/>
      <c r="C88" s="39"/>
      <c r="D88" s="41"/>
      <c r="E88" s="41"/>
      <c r="F88" s="41"/>
      <c r="G88" s="40"/>
    </row>
    <row r="89" spans="1:7" x14ac:dyDescent="0.35">
      <c r="A89" s="7"/>
      <c r="B89" s="7"/>
      <c r="C89" s="39"/>
      <c r="D89" s="41"/>
      <c r="E89" s="41"/>
      <c r="F89" s="41"/>
      <c r="G89" s="40"/>
    </row>
    <row r="90" spans="1:7" x14ac:dyDescent="0.35">
      <c r="A90" s="7"/>
      <c r="B90" s="7"/>
      <c r="C90" s="39"/>
      <c r="D90" s="39"/>
      <c r="E90" s="41"/>
      <c r="F90" s="39"/>
      <c r="G90" s="40"/>
    </row>
    <row r="91" spans="1:7" x14ac:dyDescent="0.35">
      <c r="A91" s="7"/>
      <c r="B91" s="7"/>
      <c r="C91" s="39"/>
      <c r="D91" s="39"/>
      <c r="E91" s="41"/>
      <c r="F91" s="39"/>
      <c r="G91" s="40"/>
    </row>
    <row r="92" spans="1:7" x14ac:dyDescent="0.35">
      <c r="A92" s="7"/>
      <c r="B92" s="7"/>
      <c r="C92" s="39"/>
      <c r="D92" s="41"/>
      <c r="E92" s="41"/>
      <c r="F92" s="41"/>
      <c r="G92" s="40"/>
    </row>
    <row r="93" spans="1:7" x14ac:dyDescent="0.35">
      <c r="A93" s="7"/>
      <c r="B93" s="7"/>
      <c r="C93" s="41"/>
      <c r="D93" s="39"/>
      <c r="E93" s="39"/>
      <c r="F93" s="41"/>
      <c r="G93" s="42"/>
    </row>
    <row r="94" spans="1:7" x14ac:dyDescent="0.35">
      <c r="A94" s="7"/>
      <c r="B94" s="7"/>
      <c r="C94" s="41"/>
      <c r="D94" s="39"/>
      <c r="E94" s="39"/>
      <c r="F94" s="41"/>
      <c r="G94" s="4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28C1-DFDE-416C-B88C-8E2AC561FC2B}">
  <dimension ref="A1:H95"/>
  <sheetViews>
    <sheetView workbookViewId="0">
      <selection sqref="A1:G1048576"/>
    </sheetView>
  </sheetViews>
  <sheetFormatPr defaultRowHeight="14.5" x14ac:dyDescent="0.35"/>
  <cols>
    <col min="1" max="1" width="13.1796875" bestFit="1" customWidth="1"/>
    <col min="2" max="2" width="21.90625" bestFit="1" customWidth="1"/>
    <col min="3" max="3" width="13.26953125" bestFit="1" customWidth="1"/>
    <col min="4" max="5" width="11.54296875" bestFit="1" customWidth="1"/>
    <col min="6" max="6" width="12" bestFit="1" customWidth="1"/>
    <col min="7" max="7" width="13.36328125" bestFit="1" customWidth="1"/>
  </cols>
  <sheetData>
    <row r="1" spans="1:7" x14ac:dyDescent="0.35">
      <c r="A1" s="79"/>
      <c r="B1" s="79"/>
      <c r="C1" s="79"/>
      <c r="D1" s="79"/>
      <c r="E1" s="79"/>
      <c r="F1" s="79"/>
      <c r="G1" s="79"/>
    </row>
    <row r="2" spans="1:7" x14ac:dyDescent="0.35">
      <c r="A2" s="6"/>
      <c r="B2" s="6"/>
      <c r="C2" s="7"/>
      <c r="D2" s="7"/>
      <c r="E2" s="7"/>
      <c r="F2" s="7"/>
      <c r="G2" s="7"/>
    </row>
    <row r="3" spans="1:7" x14ac:dyDescent="0.35">
      <c r="A3" s="6"/>
      <c r="B3" s="6"/>
      <c r="C3" s="7"/>
      <c r="D3" s="7"/>
      <c r="E3" s="7"/>
      <c r="F3" s="7"/>
      <c r="G3" s="7"/>
    </row>
    <row r="4" spans="1:7" x14ac:dyDescent="0.35">
      <c r="A4" s="7"/>
      <c r="B4" s="7"/>
      <c r="C4" s="39"/>
      <c r="D4" s="39"/>
      <c r="E4" s="39"/>
      <c r="F4" s="39"/>
      <c r="G4" s="40"/>
    </row>
    <row r="5" spans="1:7" x14ac:dyDescent="0.35">
      <c r="A5" s="7"/>
      <c r="B5" s="7"/>
      <c r="C5" s="41"/>
      <c r="D5" s="39"/>
      <c r="E5" s="39"/>
      <c r="F5" s="41"/>
      <c r="G5" s="42"/>
    </row>
    <row r="6" spans="1:7" x14ac:dyDescent="0.35">
      <c r="A6" s="7"/>
      <c r="B6" s="7"/>
      <c r="C6" s="41"/>
      <c r="D6" s="39"/>
      <c r="E6" s="39"/>
      <c r="F6" s="41"/>
      <c r="G6" s="42"/>
    </row>
    <row r="7" spans="1:7" x14ac:dyDescent="0.35">
      <c r="A7" s="7"/>
      <c r="B7" s="7"/>
      <c r="C7" s="39"/>
      <c r="D7" s="39"/>
      <c r="E7" s="41"/>
      <c r="F7" s="39"/>
      <c r="G7" s="40"/>
    </row>
    <row r="8" spans="1:7" x14ac:dyDescent="0.35">
      <c r="A8" s="7"/>
      <c r="B8" s="7"/>
      <c r="C8" s="41"/>
      <c r="D8" s="39"/>
      <c r="E8" s="39"/>
      <c r="F8" s="41"/>
      <c r="G8" s="42"/>
    </row>
    <row r="9" spans="1:7" x14ac:dyDescent="0.35">
      <c r="A9" s="7"/>
      <c r="B9" s="7"/>
      <c r="C9" s="39"/>
      <c r="D9" s="39"/>
      <c r="E9" s="39"/>
      <c r="F9" s="39"/>
      <c r="G9" s="40"/>
    </row>
    <row r="10" spans="1:7" x14ac:dyDescent="0.35">
      <c r="A10" s="7"/>
      <c r="B10" s="7"/>
      <c r="C10" s="39"/>
      <c r="D10" s="39"/>
      <c r="E10" s="41"/>
      <c r="F10" s="39"/>
      <c r="G10" s="40"/>
    </row>
    <row r="11" spans="1:7" x14ac:dyDescent="0.35">
      <c r="A11" s="7"/>
      <c r="B11" s="7"/>
      <c r="C11" s="39"/>
      <c r="D11" s="39"/>
      <c r="E11" s="39"/>
      <c r="F11" s="39"/>
      <c r="G11" s="40"/>
    </row>
    <row r="12" spans="1:7" x14ac:dyDescent="0.35">
      <c r="A12" s="7"/>
      <c r="B12" s="7"/>
      <c r="C12" s="39"/>
      <c r="D12" s="41"/>
      <c r="E12" s="41"/>
      <c r="F12" s="41"/>
      <c r="G12" s="40"/>
    </row>
    <row r="13" spans="1:7" x14ac:dyDescent="0.35">
      <c r="A13" s="7"/>
      <c r="B13" s="7"/>
      <c r="C13" s="39"/>
      <c r="D13" s="39"/>
      <c r="E13" s="41"/>
      <c r="F13" s="39"/>
      <c r="G13" s="40"/>
    </row>
    <row r="14" spans="1:7" x14ac:dyDescent="0.35">
      <c r="A14" s="7"/>
      <c r="B14" s="7"/>
      <c r="C14" s="39"/>
      <c r="D14" s="39"/>
      <c r="E14" s="41"/>
      <c r="F14" s="39"/>
      <c r="G14" s="40"/>
    </row>
    <row r="15" spans="1:7" x14ac:dyDescent="0.35">
      <c r="A15" s="7"/>
      <c r="B15" s="7"/>
      <c r="C15" s="39"/>
      <c r="D15" s="39"/>
      <c r="E15" s="39"/>
      <c r="F15" s="39"/>
      <c r="G15" s="40"/>
    </row>
    <row r="16" spans="1:7" x14ac:dyDescent="0.35">
      <c r="A16" s="7"/>
      <c r="B16" s="7"/>
      <c r="C16" s="39"/>
      <c r="D16" s="39"/>
      <c r="E16" s="41"/>
      <c r="F16" s="39"/>
      <c r="G16" s="40"/>
    </row>
    <row r="17" spans="1:7" x14ac:dyDescent="0.35">
      <c r="A17" s="7"/>
      <c r="B17" s="7"/>
      <c r="C17" s="39"/>
      <c r="D17" s="39"/>
      <c r="E17" s="39"/>
      <c r="F17" s="39"/>
      <c r="G17" s="40"/>
    </row>
    <row r="18" spans="1:7" x14ac:dyDescent="0.35">
      <c r="A18" s="7"/>
      <c r="B18" s="7"/>
      <c r="C18" s="39"/>
      <c r="D18" s="39"/>
      <c r="E18" s="39"/>
      <c r="F18" s="39"/>
      <c r="G18" s="40"/>
    </row>
    <row r="19" spans="1:7" x14ac:dyDescent="0.35">
      <c r="A19" s="7"/>
      <c r="B19" s="7"/>
      <c r="C19" s="39"/>
      <c r="D19" s="41"/>
      <c r="E19" s="39"/>
      <c r="F19" s="39"/>
      <c r="G19" s="40"/>
    </row>
    <row r="20" spans="1:7" x14ac:dyDescent="0.35">
      <c r="A20" s="7"/>
      <c r="B20" s="7"/>
      <c r="C20" s="39"/>
      <c r="D20" s="39"/>
      <c r="E20" s="39"/>
      <c r="F20" s="39"/>
      <c r="G20" s="40"/>
    </row>
    <row r="21" spans="1:7" x14ac:dyDescent="0.35">
      <c r="A21" s="7"/>
      <c r="B21" s="7"/>
      <c r="C21" s="39"/>
      <c r="D21" s="41"/>
      <c r="E21" s="41"/>
      <c r="F21" s="41"/>
      <c r="G21" s="40"/>
    </row>
    <row r="22" spans="1:7" x14ac:dyDescent="0.35">
      <c r="A22" s="7"/>
      <c r="B22" s="7"/>
      <c r="C22" s="39"/>
      <c r="D22" s="41"/>
      <c r="E22" s="41"/>
      <c r="F22" s="41"/>
      <c r="G22" s="40"/>
    </row>
    <row r="23" spans="1:7" x14ac:dyDescent="0.35">
      <c r="A23" s="7"/>
      <c r="B23" s="7"/>
      <c r="C23" s="39"/>
      <c r="D23" s="41"/>
      <c r="E23" s="41"/>
      <c r="F23" s="41"/>
      <c r="G23" s="40"/>
    </row>
    <row r="24" spans="1:7" x14ac:dyDescent="0.35">
      <c r="A24" s="7"/>
      <c r="B24" s="7"/>
      <c r="C24" s="39"/>
      <c r="D24" s="41"/>
      <c r="E24" s="41"/>
      <c r="F24" s="41"/>
      <c r="G24" s="40"/>
    </row>
    <row r="25" spans="1:7" x14ac:dyDescent="0.35">
      <c r="A25" s="7"/>
      <c r="B25" s="7"/>
      <c r="C25" s="39"/>
      <c r="D25" s="39"/>
      <c r="E25" s="39"/>
      <c r="F25" s="41"/>
      <c r="G25" s="40"/>
    </row>
    <row r="26" spans="1:7" x14ac:dyDescent="0.35">
      <c r="A26" s="7"/>
      <c r="B26" s="7"/>
      <c r="C26" s="39"/>
      <c r="D26" s="39"/>
      <c r="E26" s="41"/>
      <c r="F26" s="39"/>
      <c r="G26" s="40"/>
    </row>
    <row r="27" spans="1:7" x14ac:dyDescent="0.35">
      <c r="A27" s="7"/>
      <c r="B27" s="7"/>
      <c r="C27" s="39"/>
      <c r="D27" s="41"/>
      <c r="E27" s="39"/>
      <c r="F27" s="39"/>
      <c r="G27" s="40"/>
    </row>
    <row r="28" spans="1:7" x14ac:dyDescent="0.35">
      <c r="A28" s="7"/>
      <c r="B28" s="7"/>
      <c r="C28" s="41"/>
      <c r="D28" s="39"/>
      <c r="E28" s="41"/>
      <c r="F28" s="39"/>
      <c r="G28" s="40"/>
    </row>
    <row r="29" spans="1:7" x14ac:dyDescent="0.35">
      <c r="A29" s="7"/>
      <c r="B29" s="7"/>
      <c r="C29" s="39"/>
      <c r="D29" s="41"/>
      <c r="E29" s="39"/>
      <c r="F29" s="39"/>
      <c r="G29" s="40"/>
    </row>
    <row r="30" spans="1:7" x14ac:dyDescent="0.35">
      <c r="A30" s="7"/>
      <c r="B30" s="7"/>
      <c r="C30" s="41"/>
      <c r="D30" s="39"/>
      <c r="E30" s="41"/>
      <c r="F30" s="39"/>
      <c r="G30" s="40"/>
    </row>
    <row r="31" spans="1:7" x14ac:dyDescent="0.35">
      <c r="A31" s="7"/>
      <c r="B31" s="7"/>
      <c r="C31" s="39"/>
      <c r="D31" s="39"/>
      <c r="E31" s="39"/>
      <c r="F31" s="39"/>
      <c r="G31" s="40"/>
    </row>
    <row r="32" spans="1:7" x14ac:dyDescent="0.35">
      <c r="A32" s="7"/>
      <c r="B32" s="7"/>
      <c r="C32" s="39"/>
      <c r="D32" s="39"/>
      <c r="E32" s="39"/>
      <c r="F32" s="39"/>
      <c r="G32" s="40"/>
    </row>
    <row r="33" spans="1:8" x14ac:dyDescent="0.35">
      <c r="A33" s="7"/>
      <c r="B33" s="7"/>
      <c r="C33" s="39"/>
      <c r="D33" s="39"/>
      <c r="E33" s="39"/>
      <c r="F33" s="39"/>
      <c r="G33" s="40"/>
    </row>
    <row r="34" spans="1:8" x14ac:dyDescent="0.35">
      <c r="A34" s="7"/>
      <c r="B34" s="7"/>
      <c r="C34" s="39"/>
      <c r="D34" s="41"/>
      <c r="E34" s="41"/>
      <c r="F34" s="41"/>
      <c r="G34" s="40"/>
    </row>
    <row r="35" spans="1:8" x14ac:dyDescent="0.35">
      <c r="A35" s="7"/>
      <c r="B35" s="7"/>
      <c r="C35" s="39"/>
      <c r="D35" s="41"/>
      <c r="E35" s="41"/>
      <c r="F35" s="41"/>
      <c r="G35" s="40"/>
    </row>
    <row r="36" spans="1:8" x14ac:dyDescent="0.35">
      <c r="A36" s="7"/>
      <c r="B36" s="7"/>
      <c r="C36" s="39"/>
      <c r="D36" s="41"/>
      <c r="E36" s="39"/>
      <c r="F36" s="39"/>
      <c r="G36" s="40"/>
    </row>
    <row r="37" spans="1:8" x14ac:dyDescent="0.35">
      <c r="A37" s="7"/>
      <c r="B37" s="7"/>
      <c r="C37" s="39"/>
      <c r="D37" s="41"/>
      <c r="E37" s="39"/>
      <c r="F37" s="39"/>
      <c r="G37" s="40"/>
      <c r="H37" s="78"/>
    </row>
    <row r="38" spans="1:8" x14ac:dyDescent="0.35">
      <c r="A38" s="7"/>
      <c r="B38" s="7"/>
      <c r="C38" s="39"/>
      <c r="D38" s="41"/>
      <c r="E38" s="39"/>
      <c r="F38" s="39"/>
      <c r="G38" s="40"/>
    </row>
    <row r="39" spans="1:8" x14ac:dyDescent="0.35">
      <c r="A39" s="7"/>
      <c r="B39" s="7"/>
      <c r="C39" s="39"/>
      <c r="D39" s="39"/>
      <c r="E39" s="39"/>
      <c r="F39" s="39"/>
      <c r="G39" s="40"/>
      <c r="H39" s="78"/>
    </row>
    <row r="40" spans="1:8" x14ac:dyDescent="0.35">
      <c r="A40" s="7"/>
      <c r="B40" s="7"/>
      <c r="C40" s="39"/>
      <c r="D40" s="41"/>
      <c r="E40" s="41"/>
      <c r="F40" s="41"/>
      <c r="G40" s="40"/>
    </row>
    <row r="41" spans="1:8" x14ac:dyDescent="0.35">
      <c r="A41" s="7"/>
      <c r="B41" s="7"/>
      <c r="C41" s="39"/>
      <c r="D41" s="41"/>
      <c r="E41" s="41"/>
      <c r="F41" s="41"/>
      <c r="G41" s="40"/>
    </row>
    <row r="42" spans="1:8" x14ac:dyDescent="0.35">
      <c r="A42" s="7"/>
      <c r="B42" s="7"/>
      <c r="C42" s="39"/>
      <c r="D42" s="41"/>
      <c r="E42" s="41"/>
      <c r="F42" s="41"/>
      <c r="G42" s="40"/>
    </row>
    <row r="43" spans="1:8" x14ac:dyDescent="0.35">
      <c r="A43" s="7"/>
      <c r="B43" s="7"/>
      <c r="C43" s="39"/>
      <c r="D43" s="41"/>
      <c r="E43" s="41"/>
      <c r="F43" s="41"/>
      <c r="G43" s="40"/>
    </row>
    <row r="44" spans="1:8" x14ac:dyDescent="0.35">
      <c r="A44" s="7"/>
      <c r="B44" s="7"/>
      <c r="C44" s="39"/>
      <c r="D44" s="41"/>
      <c r="E44" s="41"/>
      <c r="F44" s="41"/>
      <c r="G44" s="40"/>
    </row>
    <row r="45" spans="1:8" x14ac:dyDescent="0.35">
      <c r="A45" s="7"/>
      <c r="B45" s="7"/>
      <c r="C45" s="39"/>
      <c r="D45" s="41"/>
      <c r="E45" s="41"/>
      <c r="F45" s="41"/>
      <c r="G45" s="40"/>
    </row>
    <row r="46" spans="1:8" x14ac:dyDescent="0.35">
      <c r="A46" s="7"/>
      <c r="B46" s="7"/>
      <c r="C46" s="39"/>
      <c r="D46" s="41"/>
      <c r="E46" s="41"/>
      <c r="F46" s="41"/>
      <c r="G46" s="40"/>
    </row>
    <row r="47" spans="1:8" x14ac:dyDescent="0.35">
      <c r="A47" s="7"/>
      <c r="B47" s="7"/>
      <c r="C47" s="39"/>
      <c r="D47" s="41"/>
      <c r="E47" s="41"/>
      <c r="F47" s="41"/>
      <c r="G47" s="40"/>
    </row>
    <row r="48" spans="1:8" x14ac:dyDescent="0.35">
      <c r="A48" s="7"/>
      <c r="B48" s="7"/>
      <c r="C48" s="39"/>
      <c r="D48" s="41"/>
      <c r="E48" s="41"/>
      <c r="F48" s="41"/>
      <c r="G48" s="40"/>
    </row>
    <row r="49" spans="1:7" x14ac:dyDescent="0.35">
      <c r="A49" s="7"/>
      <c r="B49" s="7"/>
      <c r="C49" s="39"/>
      <c r="D49" s="41"/>
      <c r="E49" s="41"/>
      <c r="F49" s="41"/>
      <c r="G49" s="40"/>
    </row>
    <row r="50" spans="1:7" x14ac:dyDescent="0.35">
      <c r="A50" s="7"/>
      <c r="B50" s="7"/>
      <c r="C50" s="39"/>
      <c r="D50" s="41"/>
      <c r="E50" s="41"/>
      <c r="F50" s="41"/>
      <c r="G50" s="40"/>
    </row>
    <row r="51" spans="1:7" x14ac:dyDescent="0.35">
      <c r="A51" s="7"/>
      <c r="B51" s="7"/>
      <c r="C51" s="39"/>
      <c r="D51" s="41"/>
      <c r="E51" s="41"/>
      <c r="F51" s="41"/>
      <c r="G51" s="40"/>
    </row>
    <row r="52" spans="1:7" x14ac:dyDescent="0.35">
      <c r="A52" s="7"/>
      <c r="B52" s="7"/>
      <c r="C52" s="39"/>
      <c r="D52" s="41"/>
      <c r="E52" s="41"/>
      <c r="F52" s="41"/>
      <c r="G52" s="40"/>
    </row>
    <row r="53" spans="1:7" x14ac:dyDescent="0.35">
      <c r="A53" s="7"/>
      <c r="B53" s="7"/>
      <c r="C53" s="39"/>
      <c r="D53" s="41"/>
      <c r="E53" s="41"/>
      <c r="F53" s="41"/>
      <c r="G53" s="40"/>
    </row>
    <row r="54" spans="1:7" x14ac:dyDescent="0.35">
      <c r="A54" s="7"/>
      <c r="B54" s="7"/>
      <c r="C54" s="39"/>
      <c r="D54" s="41"/>
      <c r="E54" s="41"/>
      <c r="F54" s="41"/>
      <c r="G54" s="40"/>
    </row>
    <row r="55" spans="1:7" x14ac:dyDescent="0.35">
      <c r="A55" s="7"/>
      <c r="B55" s="7"/>
      <c r="C55" s="39"/>
      <c r="D55" s="41"/>
      <c r="E55" s="41"/>
      <c r="F55" s="41"/>
      <c r="G55" s="40"/>
    </row>
    <row r="56" spans="1:7" x14ac:dyDescent="0.35">
      <c r="A56" s="7"/>
      <c r="B56" s="7"/>
      <c r="C56" s="39"/>
      <c r="D56" s="41"/>
      <c r="E56" s="41"/>
      <c r="F56" s="41"/>
      <c r="G56" s="40"/>
    </row>
    <row r="57" spans="1:7" x14ac:dyDescent="0.35">
      <c r="A57" s="7"/>
      <c r="B57" s="7"/>
      <c r="C57" s="39"/>
      <c r="D57" s="41"/>
      <c r="E57" s="41"/>
      <c r="F57" s="41"/>
      <c r="G57" s="40"/>
    </row>
    <row r="58" spans="1:7" x14ac:dyDescent="0.35">
      <c r="A58" s="7"/>
      <c r="B58" s="7"/>
      <c r="C58" s="39"/>
      <c r="D58" s="41"/>
      <c r="E58" s="41"/>
      <c r="F58" s="41"/>
      <c r="G58" s="40"/>
    </row>
    <row r="59" spans="1:7" x14ac:dyDescent="0.35">
      <c r="A59" s="7"/>
      <c r="B59" s="7"/>
      <c r="C59" s="39"/>
      <c r="D59" s="41"/>
      <c r="E59" s="41"/>
      <c r="F59" s="41"/>
      <c r="G59" s="40"/>
    </row>
    <row r="60" spans="1:7" x14ac:dyDescent="0.35">
      <c r="A60" s="7"/>
      <c r="B60" s="7"/>
      <c r="C60" s="39"/>
      <c r="D60" s="41"/>
      <c r="E60" s="41"/>
      <c r="F60" s="41"/>
      <c r="G60" s="40"/>
    </row>
    <row r="61" spans="1:7" x14ac:dyDescent="0.35">
      <c r="A61" s="7"/>
      <c r="B61" s="7"/>
      <c r="C61" s="39"/>
      <c r="D61" s="41"/>
      <c r="E61" s="41"/>
      <c r="F61" s="41"/>
      <c r="G61" s="40"/>
    </row>
    <row r="62" spans="1:7" x14ac:dyDescent="0.35">
      <c r="A62" s="7"/>
      <c r="B62" s="7"/>
      <c r="C62" s="39"/>
      <c r="D62" s="41"/>
      <c r="E62" s="41"/>
      <c r="F62" s="41"/>
      <c r="G62" s="40"/>
    </row>
    <row r="63" spans="1:7" x14ac:dyDescent="0.35">
      <c r="A63" s="7"/>
      <c r="B63" s="7"/>
      <c r="C63" s="39"/>
      <c r="D63" s="41"/>
      <c r="E63" s="41"/>
      <c r="F63" s="41"/>
      <c r="G63" s="40"/>
    </row>
    <row r="64" spans="1:7" x14ac:dyDescent="0.35">
      <c r="A64" s="7"/>
      <c r="B64" s="7"/>
      <c r="C64" s="39"/>
      <c r="D64" s="41"/>
      <c r="E64" s="41"/>
      <c r="F64" s="41"/>
      <c r="G64" s="40"/>
    </row>
    <row r="65" spans="1:7" x14ac:dyDescent="0.35">
      <c r="A65" s="7"/>
      <c r="B65" s="7"/>
      <c r="C65" s="39"/>
      <c r="D65" s="41"/>
      <c r="E65" s="41"/>
      <c r="F65" s="41"/>
      <c r="G65" s="40"/>
    </row>
    <row r="66" spans="1:7" x14ac:dyDescent="0.35">
      <c r="A66" s="7"/>
      <c r="B66" s="7"/>
      <c r="C66" s="39"/>
      <c r="D66" s="41"/>
      <c r="E66" s="41"/>
      <c r="F66" s="41"/>
      <c r="G66" s="40"/>
    </row>
    <row r="67" spans="1:7" x14ac:dyDescent="0.35">
      <c r="A67" s="7"/>
      <c r="B67" s="7"/>
      <c r="C67" s="39"/>
      <c r="D67" s="41"/>
      <c r="E67" s="41"/>
      <c r="F67" s="41"/>
      <c r="G67" s="40"/>
    </row>
    <row r="68" spans="1:7" x14ac:dyDescent="0.35">
      <c r="A68" s="7"/>
      <c r="B68" s="7"/>
      <c r="C68" s="39"/>
      <c r="D68" s="41"/>
      <c r="E68" s="41"/>
      <c r="F68" s="41"/>
      <c r="G68" s="40"/>
    </row>
    <row r="69" spans="1:7" x14ac:dyDescent="0.35">
      <c r="A69" s="7"/>
      <c r="B69" s="7"/>
      <c r="C69" s="39"/>
      <c r="D69" s="41"/>
      <c r="E69" s="41"/>
      <c r="F69" s="41"/>
      <c r="G69" s="40"/>
    </row>
    <row r="70" spans="1:7" x14ac:dyDescent="0.35">
      <c r="A70" s="7"/>
      <c r="B70" s="7"/>
      <c r="C70" s="39"/>
      <c r="D70" s="41"/>
      <c r="E70" s="41"/>
      <c r="F70" s="41"/>
      <c r="G70" s="40"/>
    </row>
    <row r="71" spans="1:7" x14ac:dyDescent="0.35">
      <c r="A71" s="7"/>
      <c r="B71" s="7"/>
      <c r="C71" s="39"/>
      <c r="D71" s="41"/>
      <c r="E71" s="41"/>
      <c r="F71" s="41"/>
      <c r="G71" s="40"/>
    </row>
    <row r="72" spans="1:7" x14ac:dyDescent="0.35">
      <c r="A72" s="7"/>
      <c r="B72" s="7"/>
      <c r="C72" s="39"/>
      <c r="D72" s="41"/>
      <c r="E72" s="41"/>
      <c r="F72" s="41"/>
      <c r="G72" s="40"/>
    </row>
    <row r="73" spans="1:7" x14ac:dyDescent="0.35">
      <c r="A73" s="7"/>
      <c r="B73" s="7"/>
      <c r="C73" s="39"/>
      <c r="D73" s="39"/>
      <c r="E73" s="41"/>
      <c r="F73" s="39"/>
      <c r="G73" s="40"/>
    </row>
    <row r="74" spans="1:7" x14ac:dyDescent="0.35">
      <c r="A74" s="7"/>
      <c r="B74" s="7"/>
      <c r="C74" s="39"/>
      <c r="D74" s="41"/>
      <c r="E74" s="41"/>
      <c r="F74" s="41"/>
      <c r="G74" s="40"/>
    </row>
    <row r="75" spans="1:7" x14ac:dyDescent="0.35">
      <c r="A75" s="7"/>
      <c r="B75" s="7"/>
      <c r="C75" s="39"/>
      <c r="D75" s="41"/>
      <c r="E75" s="41"/>
      <c r="F75" s="41"/>
      <c r="G75" s="40"/>
    </row>
    <row r="76" spans="1:7" x14ac:dyDescent="0.35">
      <c r="A76" s="7"/>
      <c r="B76" s="7"/>
      <c r="C76" s="39"/>
      <c r="D76" s="41"/>
      <c r="E76" s="41"/>
      <c r="F76" s="41"/>
      <c r="G76" s="40"/>
    </row>
    <row r="77" spans="1:7" x14ac:dyDescent="0.35">
      <c r="A77" s="7"/>
      <c r="B77" s="7"/>
      <c r="C77" s="39"/>
      <c r="D77" s="41"/>
      <c r="E77" s="41"/>
      <c r="F77" s="41"/>
      <c r="G77" s="40"/>
    </row>
    <row r="78" spans="1:7" x14ac:dyDescent="0.35">
      <c r="A78" s="7"/>
      <c r="B78" s="7"/>
      <c r="C78" s="39"/>
      <c r="D78" s="41"/>
      <c r="E78" s="41"/>
      <c r="F78" s="41"/>
      <c r="G78" s="40"/>
    </row>
    <row r="79" spans="1:7" x14ac:dyDescent="0.35">
      <c r="A79" s="7"/>
      <c r="B79" s="7"/>
      <c r="C79" s="39"/>
      <c r="D79" s="41"/>
      <c r="E79" s="41"/>
      <c r="F79" s="41"/>
      <c r="G79" s="40"/>
    </row>
    <row r="80" spans="1:7" x14ac:dyDescent="0.35">
      <c r="A80" s="7"/>
      <c r="B80" s="7"/>
      <c r="C80" s="39"/>
      <c r="D80" s="41"/>
      <c r="E80" s="41"/>
      <c r="F80" s="41"/>
      <c r="G80" s="40"/>
    </row>
    <row r="81" spans="1:7" x14ac:dyDescent="0.35">
      <c r="A81" s="7"/>
      <c r="B81" s="7"/>
      <c r="C81" s="39"/>
      <c r="D81" s="39"/>
      <c r="E81" s="41"/>
      <c r="F81" s="39"/>
      <c r="G81" s="40"/>
    </row>
    <row r="82" spans="1:7" x14ac:dyDescent="0.35">
      <c r="A82" s="7"/>
      <c r="B82" s="7"/>
      <c r="C82" s="39"/>
      <c r="D82" s="41"/>
      <c r="E82" s="41"/>
      <c r="F82" s="41"/>
      <c r="G82" s="40"/>
    </row>
    <row r="83" spans="1:7" x14ac:dyDescent="0.35">
      <c r="A83" s="7"/>
      <c r="B83" s="7"/>
      <c r="C83" s="39"/>
      <c r="D83" s="41"/>
      <c r="E83" s="41"/>
      <c r="F83" s="41"/>
      <c r="G83" s="40"/>
    </row>
    <row r="84" spans="1:7" x14ac:dyDescent="0.35">
      <c r="A84" s="7"/>
      <c r="B84" s="7"/>
      <c r="C84" s="39"/>
      <c r="D84" s="39"/>
      <c r="E84" s="41"/>
      <c r="F84" s="39"/>
      <c r="G84" s="40"/>
    </row>
    <row r="85" spans="1:7" x14ac:dyDescent="0.35">
      <c r="A85" s="7"/>
      <c r="B85" s="7"/>
      <c r="C85" s="39"/>
      <c r="D85" s="39"/>
      <c r="E85" s="41"/>
      <c r="F85" s="39"/>
      <c r="G85" s="40"/>
    </row>
    <row r="86" spans="1:7" x14ac:dyDescent="0.35">
      <c r="A86" s="7"/>
      <c r="B86" s="7"/>
      <c r="C86" s="39"/>
      <c r="D86" s="39"/>
      <c r="E86" s="41"/>
      <c r="F86" s="39"/>
      <c r="G86" s="40"/>
    </row>
    <row r="87" spans="1:7" x14ac:dyDescent="0.35">
      <c r="A87" s="7"/>
      <c r="B87" s="7"/>
      <c r="C87" s="39"/>
      <c r="D87" s="41"/>
      <c r="E87" s="41"/>
      <c r="F87" s="41"/>
      <c r="G87" s="40"/>
    </row>
    <row r="88" spans="1:7" x14ac:dyDescent="0.35">
      <c r="A88" s="7"/>
      <c r="B88" s="7"/>
      <c r="C88" s="39"/>
      <c r="D88" s="41"/>
      <c r="E88" s="41"/>
      <c r="F88" s="41"/>
      <c r="G88" s="40"/>
    </row>
    <row r="89" spans="1:7" x14ac:dyDescent="0.35">
      <c r="A89" s="7"/>
      <c r="B89" s="7"/>
      <c r="C89" s="39"/>
      <c r="D89" s="41"/>
      <c r="E89" s="41"/>
      <c r="F89" s="41"/>
      <c r="G89" s="40"/>
    </row>
    <row r="90" spans="1:7" x14ac:dyDescent="0.35">
      <c r="A90" s="7"/>
      <c r="B90" s="7"/>
      <c r="C90" s="39"/>
      <c r="D90" s="41"/>
      <c r="E90" s="41"/>
      <c r="F90" s="41"/>
      <c r="G90" s="40"/>
    </row>
    <row r="91" spans="1:7" x14ac:dyDescent="0.35">
      <c r="A91" s="7"/>
      <c r="B91" s="7"/>
      <c r="C91" s="39"/>
      <c r="D91" s="39"/>
      <c r="E91" s="41"/>
      <c r="F91" s="39"/>
      <c r="G91" s="40"/>
    </row>
    <row r="92" spans="1:7" x14ac:dyDescent="0.35">
      <c r="A92" s="7"/>
      <c r="B92" s="7"/>
      <c r="C92" s="39"/>
      <c r="D92" s="39"/>
      <c r="E92" s="41"/>
      <c r="F92" s="39"/>
      <c r="G92" s="40"/>
    </row>
    <row r="93" spans="1:7" x14ac:dyDescent="0.35">
      <c r="A93" s="7"/>
      <c r="B93" s="7"/>
      <c r="C93" s="39"/>
      <c r="D93" s="41"/>
      <c r="E93" s="41"/>
      <c r="F93" s="41"/>
      <c r="G93" s="40"/>
    </row>
    <row r="94" spans="1:7" x14ac:dyDescent="0.35">
      <c r="A94" s="7"/>
      <c r="B94" s="7"/>
      <c r="C94" s="41"/>
      <c r="D94" s="39"/>
      <c r="E94" s="39"/>
      <c r="F94" s="41"/>
      <c r="G94" s="42"/>
    </row>
    <row r="95" spans="1:7" x14ac:dyDescent="0.35">
      <c r="A95" s="7"/>
      <c r="B95" s="7"/>
      <c r="C95" s="41"/>
      <c r="D95" s="39"/>
      <c r="E95" s="39"/>
      <c r="F95" s="41"/>
      <c r="G95" s="4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66A4-4302-4B31-A116-B8F6B5B6D86C}">
  <dimension ref="A1:G283"/>
  <sheetViews>
    <sheetView zoomScale="130" zoomScaleNormal="130" workbookViewId="0">
      <selection sqref="A1:H1048576"/>
    </sheetView>
  </sheetViews>
  <sheetFormatPr defaultRowHeight="14.5" x14ac:dyDescent="0.35"/>
  <cols>
    <col min="1" max="1" width="24.26953125" bestFit="1" customWidth="1"/>
    <col min="2" max="2" width="22.1796875" bestFit="1" customWidth="1"/>
    <col min="3" max="3" width="15" bestFit="1" customWidth="1"/>
    <col min="4" max="5" width="13.7265625" bestFit="1" customWidth="1"/>
    <col min="6" max="6" width="13.26953125" bestFit="1" customWidth="1"/>
    <col min="7" max="7" width="15" bestFit="1" customWidth="1"/>
  </cols>
  <sheetData>
    <row r="1" spans="1:7" x14ac:dyDescent="0.35">
      <c r="A1" s="43"/>
      <c r="B1" s="43"/>
      <c r="C1" s="43"/>
      <c r="D1" s="43"/>
      <c r="E1" s="43"/>
      <c r="F1" s="43"/>
      <c r="G1" s="43"/>
    </row>
    <row r="2" spans="1:7" x14ac:dyDescent="0.35">
      <c r="A2" s="6"/>
      <c r="B2" s="6"/>
      <c r="C2" s="7"/>
      <c r="D2" s="7"/>
      <c r="E2" s="7"/>
      <c r="F2" s="7"/>
      <c r="G2" s="7"/>
    </row>
    <row r="3" spans="1:7" x14ac:dyDescent="0.35">
      <c r="A3" s="6"/>
      <c r="B3" s="6"/>
      <c r="C3" s="7"/>
      <c r="D3" s="7"/>
      <c r="E3" s="7"/>
      <c r="F3" s="7"/>
      <c r="G3" s="7"/>
    </row>
    <row r="4" spans="1:7" x14ac:dyDescent="0.35">
      <c r="A4" s="8"/>
      <c r="B4" s="9"/>
      <c r="C4" s="39"/>
      <c r="D4" s="39"/>
      <c r="E4" s="39"/>
      <c r="F4" s="39"/>
      <c r="G4" s="40"/>
    </row>
    <row r="5" spans="1:7" x14ac:dyDescent="0.35">
      <c r="A5" s="10"/>
      <c r="B5" s="11"/>
      <c r="C5" s="39"/>
      <c r="D5" s="39"/>
      <c r="E5" s="39"/>
      <c r="F5" s="39"/>
      <c r="G5" s="40"/>
    </row>
    <row r="6" spans="1:7" x14ac:dyDescent="0.35">
      <c r="A6" s="12"/>
      <c r="B6" s="13"/>
      <c r="C6" s="39"/>
      <c r="D6" s="39"/>
      <c r="E6" s="39"/>
      <c r="F6" s="39"/>
      <c r="G6" s="40"/>
    </row>
    <row r="7" spans="1:7" x14ac:dyDescent="0.35">
      <c r="A7" s="14"/>
      <c r="B7" s="15"/>
      <c r="C7" s="39"/>
      <c r="D7" s="39"/>
      <c r="E7" s="39"/>
      <c r="F7" s="39"/>
      <c r="G7" s="40"/>
    </row>
    <row r="8" spans="1:7" x14ac:dyDescent="0.35">
      <c r="A8" s="16"/>
      <c r="B8" s="15"/>
      <c r="C8" s="39"/>
      <c r="D8" s="39"/>
      <c r="E8" s="39"/>
      <c r="F8" s="39"/>
      <c r="G8" s="40"/>
    </row>
    <row r="9" spans="1:7" x14ac:dyDescent="0.35">
      <c r="A9" s="17"/>
      <c r="B9" s="15"/>
      <c r="C9" s="39"/>
      <c r="D9" s="39"/>
      <c r="E9" s="39"/>
      <c r="F9" s="39"/>
      <c r="G9" s="40"/>
    </row>
    <row r="10" spans="1:7" x14ac:dyDescent="0.35">
      <c r="A10" s="37"/>
      <c r="B10" s="15"/>
      <c r="C10" s="39"/>
      <c r="D10" s="39"/>
      <c r="E10" s="39"/>
      <c r="F10" s="39"/>
      <c r="G10" s="40"/>
    </row>
    <row r="11" spans="1:7" x14ac:dyDescent="0.35">
      <c r="A11" s="17"/>
      <c r="B11" s="15"/>
      <c r="C11" s="41"/>
      <c r="D11" s="39"/>
      <c r="E11" s="39"/>
      <c r="F11" s="41"/>
      <c r="G11" s="42"/>
    </row>
    <row r="12" spans="1:7" x14ac:dyDescent="0.35">
      <c r="A12" s="37"/>
      <c r="B12" s="15"/>
      <c r="C12" s="41"/>
      <c r="D12" s="39"/>
      <c r="E12" s="39"/>
      <c r="F12" s="41"/>
      <c r="G12" s="42"/>
    </row>
    <row r="13" spans="1:7" x14ac:dyDescent="0.35">
      <c r="A13" s="17"/>
      <c r="B13" s="15"/>
      <c r="C13" s="39"/>
      <c r="D13" s="39"/>
      <c r="E13" s="39"/>
      <c r="F13" s="39"/>
      <c r="G13" s="42"/>
    </row>
    <row r="14" spans="1:7" x14ac:dyDescent="0.35">
      <c r="A14" s="37"/>
      <c r="B14" s="15"/>
      <c r="C14" s="39"/>
      <c r="D14" s="41"/>
      <c r="E14" s="39"/>
      <c r="F14" s="39"/>
      <c r="G14" s="42"/>
    </row>
    <row r="15" spans="1:7" x14ac:dyDescent="0.35">
      <c r="A15" s="37"/>
      <c r="B15" s="15"/>
      <c r="C15" s="41"/>
      <c r="D15" s="39"/>
      <c r="E15" s="39"/>
      <c r="F15" s="41"/>
      <c r="G15" s="42"/>
    </row>
    <row r="16" spans="1:7" x14ac:dyDescent="0.35">
      <c r="A16" s="14"/>
      <c r="B16" s="15"/>
      <c r="C16" s="39"/>
      <c r="D16" s="39"/>
      <c r="E16" s="41"/>
      <c r="F16" s="39"/>
      <c r="G16" s="40"/>
    </row>
    <row r="17" spans="1:7" x14ac:dyDescent="0.35">
      <c r="A17" s="16"/>
      <c r="B17" s="15"/>
      <c r="C17" s="39"/>
      <c r="D17" s="39"/>
      <c r="E17" s="41"/>
      <c r="F17" s="39"/>
      <c r="G17" s="40"/>
    </row>
    <row r="18" spans="1:7" x14ac:dyDescent="0.35">
      <c r="A18" s="17"/>
      <c r="B18" s="15"/>
      <c r="C18" s="39"/>
      <c r="D18" s="39"/>
      <c r="E18" s="41"/>
      <c r="F18" s="39"/>
      <c r="G18" s="40"/>
    </row>
    <row r="19" spans="1:7" x14ac:dyDescent="0.35">
      <c r="A19" s="14"/>
      <c r="B19" s="15"/>
      <c r="C19" s="41"/>
      <c r="D19" s="39"/>
      <c r="E19" s="39"/>
      <c r="F19" s="41"/>
      <c r="G19" s="42"/>
    </row>
    <row r="20" spans="1:7" x14ac:dyDescent="0.35">
      <c r="A20" s="16"/>
      <c r="B20" s="15"/>
      <c r="C20" s="41"/>
      <c r="D20" s="39"/>
      <c r="E20" s="39"/>
      <c r="F20" s="41"/>
      <c r="G20" s="42"/>
    </row>
    <row r="21" spans="1:7" x14ac:dyDescent="0.35">
      <c r="A21" s="17"/>
      <c r="B21" s="15"/>
      <c r="C21" s="41"/>
      <c r="D21" s="39"/>
      <c r="E21" s="39"/>
      <c r="F21" s="41"/>
      <c r="G21" s="42"/>
    </row>
    <row r="22" spans="1:7" x14ac:dyDescent="0.35">
      <c r="A22" s="37"/>
      <c r="B22" s="15"/>
      <c r="C22" s="41"/>
      <c r="D22" s="39"/>
      <c r="E22" s="39"/>
      <c r="F22" s="41"/>
      <c r="G22" s="42"/>
    </row>
    <row r="23" spans="1:7" x14ac:dyDescent="0.35">
      <c r="A23" s="14"/>
      <c r="B23" s="15"/>
      <c r="C23" s="39"/>
      <c r="D23" s="39"/>
      <c r="E23" s="39"/>
      <c r="F23" s="39"/>
      <c r="G23" s="40"/>
    </row>
    <row r="24" spans="1:7" x14ac:dyDescent="0.35">
      <c r="A24" s="16"/>
      <c r="B24" s="15"/>
      <c r="C24" s="39"/>
      <c r="D24" s="39"/>
      <c r="E24" s="39"/>
      <c r="F24" s="39"/>
      <c r="G24" s="40"/>
    </row>
    <row r="25" spans="1:7" x14ac:dyDescent="0.35">
      <c r="A25" s="17"/>
      <c r="B25" s="15"/>
      <c r="C25" s="39"/>
      <c r="D25" s="39"/>
      <c r="E25" s="39"/>
      <c r="F25" s="39"/>
      <c r="G25" s="40"/>
    </row>
    <row r="26" spans="1:7" x14ac:dyDescent="0.35">
      <c r="A26" s="16"/>
      <c r="B26" s="15"/>
      <c r="C26" s="39"/>
      <c r="D26" s="39"/>
      <c r="E26" s="39"/>
      <c r="F26" s="39"/>
      <c r="G26" s="40"/>
    </row>
    <row r="27" spans="1:7" x14ac:dyDescent="0.35">
      <c r="A27" s="17"/>
      <c r="B27" s="15"/>
      <c r="C27" s="39"/>
      <c r="D27" s="39"/>
      <c r="E27" s="39"/>
      <c r="F27" s="39"/>
      <c r="G27" s="40"/>
    </row>
    <row r="28" spans="1:7" x14ac:dyDescent="0.35">
      <c r="A28" s="37"/>
      <c r="B28" s="15"/>
      <c r="C28" s="39"/>
      <c r="D28" s="39"/>
      <c r="E28" s="41"/>
      <c r="F28" s="39"/>
      <c r="G28" s="40"/>
    </row>
    <row r="29" spans="1:7" x14ac:dyDescent="0.35">
      <c r="A29" s="37"/>
      <c r="B29" s="15"/>
      <c r="C29" s="39"/>
      <c r="D29" s="39"/>
      <c r="E29" s="39"/>
      <c r="F29" s="39"/>
      <c r="G29" s="40"/>
    </row>
    <row r="30" spans="1:7" x14ac:dyDescent="0.35">
      <c r="A30" s="17"/>
      <c r="B30" s="15"/>
      <c r="C30" s="39"/>
      <c r="D30" s="39"/>
      <c r="E30" s="39"/>
      <c r="F30" s="39"/>
      <c r="G30" s="40"/>
    </row>
    <row r="31" spans="1:7" x14ac:dyDescent="0.35">
      <c r="A31" s="37"/>
      <c r="B31" s="15"/>
      <c r="C31" s="39"/>
      <c r="D31" s="39"/>
      <c r="E31" s="41"/>
      <c r="F31" s="39"/>
      <c r="G31" s="40"/>
    </row>
    <row r="32" spans="1:7" x14ac:dyDescent="0.35">
      <c r="A32" s="37"/>
      <c r="B32" s="15"/>
      <c r="C32" s="39"/>
      <c r="D32" s="39"/>
      <c r="E32" s="39"/>
      <c r="F32" s="39"/>
      <c r="G32" s="40"/>
    </row>
    <row r="33" spans="1:7" x14ac:dyDescent="0.35">
      <c r="A33" s="14"/>
      <c r="B33" s="15"/>
      <c r="C33" s="39"/>
      <c r="D33" s="41"/>
      <c r="E33" s="39"/>
      <c r="F33" s="39"/>
      <c r="G33" s="40"/>
    </row>
    <row r="34" spans="1:7" x14ac:dyDescent="0.35">
      <c r="A34" s="16"/>
      <c r="B34" s="15"/>
      <c r="C34" s="39"/>
      <c r="D34" s="41"/>
      <c r="E34" s="39"/>
      <c r="F34" s="39"/>
      <c r="G34" s="40"/>
    </row>
    <row r="35" spans="1:7" x14ac:dyDescent="0.35">
      <c r="A35" s="17"/>
      <c r="B35" s="15"/>
      <c r="C35" s="39"/>
      <c r="D35" s="41"/>
      <c r="E35" s="39"/>
      <c r="F35" s="39"/>
      <c r="G35" s="40"/>
    </row>
    <row r="36" spans="1:7" x14ac:dyDescent="0.35">
      <c r="A36" s="12"/>
      <c r="B36" s="13"/>
      <c r="C36" s="39"/>
      <c r="D36" s="39"/>
      <c r="E36" s="39"/>
      <c r="F36" s="39"/>
      <c r="G36" s="40"/>
    </row>
    <row r="37" spans="1:7" x14ac:dyDescent="0.35">
      <c r="A37" s="14"/>
      <c r="B37" s="15"/>
      <c r="C37" s="39"/>
      <c r="D37" s="39"/>
      <c r="E37" s="39"/>
      <c r="F37" s="39"/>
      <c r="G37" s="40"/>
    </row>
    <row r="38" spans="1:7" x14ac:dyDescent="0.35">
      <c r="A38" s="16"/>
      <c r="B38" s="15"/>
      <c r="C38" s="39"/>
      <c r="D38" s="39"/>
      <c r="E38" s="39"/>
      <c r="F38" s="39"/>
      <c r="G38" s="40"/>
    </row>
    <row r="39" spans="1:7" x14ac:dyDescent="0.35">
      <c r="A39" s="17"/>
      <c r="B39" s="15"/>
      <c r="C39" s="39"/>
      <c r="D39" s="39"/>
      <c r="E39" s="39"/>
      <c r="F39" s="39"/>
      <c r="G39" s="40"/>
    </row>
    <row r="40" spans="1:7" x14ac:dyDescent="0.35">
      <c r="A40" s="12"/>
      <c r="B40" s="13"/>
      <c r="C40" s="41"/>
      <c r="D40" s="41"/>
      <c r="E40" s="41"/>
      <c r="F40" s="41"/>
      <c r="G40" s="42"/>
    </row>
    <row r="41" spans="1:7" x14ac:dyDescent="0.35">
      <c r="A41" s="14"/>
      <c r="B41" s="15"/>
      <c r="C41" s="41"/>
      <c r="D41" s="41"/>
      <c r="E41" s="41"/>
      <c r="F41" s="41"/>
      <c r="G41" s="42"/>
    </row>
    <row r="42" spans="1:7" x14ac:dyDescent="0.35">
      <c r="A42" s="16"/>
      <c r="B42" s="15"/>
      <c r="C42" s="41"/>
      <c r="D42" s="41"/>
      <c r="E42" s="41"/>
      <c r="F42" s="41"/>
      <c r="G42" s="42"/>
    </row>
    <row r="43" spans="1:7" x14ac:dyDescent="0.35">
      <c r="A43" s="17"/>
      <c r="B43" s="15"/>
      <c r="C43" s="39"/>
      <c r="D43" s="41"/>
      <c r="E43" s="41"/>
      <c r="F43" s="41"/>
      <c r="G43" s="40"/>
    </row>
    <row r="44" spans="1:7" x14ac:dyDescent="0.35">
      <c r="A44" s="37"/>
      <c r="B44" s="15"/>
      <c r="C44" s="39"/>
      <c r="D44" s="41"/>
      <c r="E44" s="41"/>
      <c r="F44" s="41"/>
      <c r="G44" s="40"/>
    </row>
    <row r="45" spans="1:7" x14ac:dyDescent="0.35">
      <c r="A45" s="17"/>
      <c r="B45" s="15"/>
      <c r="C45" s="39"/>
      <c r="D45" s="41"/>
      <c r="E45" s="41"/>
      <c r="F45" s="41"/>
      <c r="G45" s="40"/>
    </row>
    <row r="46" spans="1:7" x14ac:dyDescent="0.35">
      <c r="A46" s="37"/>
      <c r="B46" s="15"/>
      <c r="C46" s="39"/>
      <c r="D46" s="41"/>
      <c r="E46" s="41"/>
      <c r="F46" s="41"/>
      <c r="G46" s="40"/>
    </row>
    <row r="47" spans="1:7" x14ac:dyDescent="0.35">
      <c r="A47" s="17"/>
      <c r="B47" s="15"/>
      <c r="C47" s="39"/>
      <c r="D47" s="41"/>
      <c r="E47" s="41"/>
      <c r="F47" s="41"/>
      <c r="G47" s="40"/>
    </row>
    <row r="48" spans="1:7" x14ac:dyDescent="0.35">
      <c r="A48" s="37"/>
      <c r="B48" s="15"/>
      <c r="C48" s="39"/>
      <c r="D48" s="41"/>
      <c r="E48" s="41"/>
      <c r="F48" s="41"/>
      <c r="G48" s="40"/>
    </row>
    <row r="49" spans="1:7" x14ac:dyDescent="0.35">
      <c r="A49" s="37"/>
      <c r="B49" s="15"/>
      <c r="C49" s="39"/>
      <c r="D49" s="41"/>
      <c r="E49" s="41"/>
      <c r="F49" s="41"/>
      <c r="G49" s="40"/>
    </row>
    <row r="50" spans="1:7" x14ac:dyDescent="0.35">
      <c r="A50" s="10"/>
      <c r="B50" s="11"/>
      <c r="C50" s="39"/>
      <c r="D50" s="39"/>
      <c r="E50" s="39"/>
      <c r="F50" s="39"/>
      <c r="G50" s="40"/>
    </row>
    <row r="51" spans="1:7" x14ac:dyDescent="0.35">
      <c r="A51" s="12"/>
      <c r="B51" s="13"/>
      <c r="C51" s="39"/>
      <c r="D51" s="39"/>
      <c r="E51" s="39"/>
      <c r="F51" s="39"/>
      <c r="G51" s="40"/>
    </row>
    <row r="52" spans="1:7" x14ac:dyDescent="0.35">
      <c r="A52" s="14"/>
      <c r="B52" s="15"/>
      <c r="C52" s="39"/>
      <c r="D52" s="39"/>
      <c r="E52" s="39"/>
      <c r="F52" s="39"/>
      <c r="G52" s="40"/>
    </row>
    <row r="53" spans="1:7" x14ac:dyDescent="0.35">
      <c r="A53" s="16"/>
      <c r="B53" s="15"/>
      <c r="C53" s="39"/>
      <c r="D53" s="39"/>
      <c r="E53" s="39"/>
      <c r="F53" s="39"/>
      <c r="G53" s="40"/>
    </row>
    <row r="54" spans="1:7" x14ac:dyDescent="0.35">
      <c r="A54" s="17"/>
      <c r="B54" s="15"/>
      <c r="C54" s="39"/>
      <c r="D54" s="39"/>
      <c r="E54" s="39"/>
      <c r="F54" s="39"/>
      <c r="G54" s="40"/>
    </row>
    <row r="55" spans="1:7" x14ac:dyDescent="0.35">
      <c r="A55" s="37"/>
      <c r="B55" s="15"/>
      <c r="C55" s="39"/>
      <c r="D55" s="39"/>
      <c r="E55" s="39"/>
      <c r="F55" s="39"/>
      <c r="G55" s="40"/>
    </row>
    <row r="56" spans="1:7" x14ac:dyDescent="0.35">
      <c r="A56" s="37"/>
      <c r="B56" s="15"/>
      <c r="C56" s="41"/>
      <c r="D56" s="41"/>
      <c r="E56" s="39"/>
      <c r="F56" s="39"/>
      <c r="G56" s="40"/>
    </row>
    <row r="57" spans="1:7" x14ac:dyDescent="0.35">
      <c r="A57" s="17"/>
      <c r="B57" s="15"/>
      <c r="C57" s="39"/>
      <c r="D57" s="39"/>
      <c r="E57" s="39"/>
      <c r="F57" s="39"/>
      <c r="G57" s="40"/>
    </row>
    <row r="58" spans="1:7" x14ac:dyDescent="0.35">
      <c r="A58" s="37"/>
      <c r="B58" s="15"/>
      <c r="C58" s="39"/>
      <c r="D58" s="39"/>
      <c r="E58" s="39"/>
      <c r="F58" s="39"/>
      <c r="G58" s="40"/>
    </row>
    <row r="59" spans="1:7" x14ac:dyDescent="0.35">
      <c r="A59" s="37"/>
      <c r="B59" s="15"/>
      <c r="C59" s="39"/>
      <c r="D59" s="39"/>
      <c r="E59" s="39"/>
      <c r="F59" s="39"/>
      <c r="G59" s="40"/>
    </row>
    <row r="60" spans="1:7" x14ac:dyDescent="0.35">
      <c r="A60" s="37"/>
      <c r="B60" s="15"/>
      <c r="C60" s="39"/>
      <c r="D60" s="39"/>
      <c r="E60" s="39"/>
      <c r="F60" s="39"/>
      <c r="G60" s="40"/>
    </row>
    <row r="61" spans="1:7" x14ac:dyDescent="0.35">
      <c r="A61" s="37"/>
      <c r="B61" s="15"/>
      <c r="C61" s="39"/>
      <c r="D61" s="39"/>
      <c r="E61" s="39"/>
      <c r="F61" s="39"/>
      <c r="G61" s="40"/>
    </row>
    <row r="62" spans="1:7" x14ac:dyDescent="0.35">
      <c r="A62" s="12"/>
      <c r="B62" s="13"/>
      <c r="C62" s="39"/>
      <c r="D62" s="41"/>
      <c r="E62" s="41"/>
      <c r="F62" s="41"/>
      <c r="G62" s="40"/>
    </row>
    <row r="63" spans="1:7" x14ac:dyDescent="0.35">
      <c r="A63" s="14"/>
      <c r="B63" s="15"/>
      <c r="C63" s="39"/>
      <c r="D63" s="41"/>
      <c r="E63" s="41"/>
      <c r="F63" s="41"/>
      <c r="G63" s="40"/>
    </row>
    <row r="64" spans="1:7" x14ac:dyDescent="0.35">
      <c r="A64" s="16"/>
      <c r="B64" s="15"/>
      <c r="C64" s="39"/>
      <c r="D64" s="41"/>
      <c r="E64" s="41"/>
      <c r="F64" s="41"/>
      <c r="G64" s="40"/>
    </row>
    <row r="65" spans="1:7" x14ac:dyDescent="0.35">
      <c r="A65" s="17"/>
      <c r="B65" s="15"/>
      <c r="C65" s="39"/>
      <c r="D65" s="41"/>
      <c r="E65" s="41"/>
      <c r="F65" s="41"/>
      <c r="G65" s="40"/>
    </row>
    <row r="66" spans="1:7" x14ac:dyDescent="0.35">
      <c r="A66" s="37"/>
      <c r="B66" s="15"/>
      <c r="C66" s="39"/>
      <c r="D66" s="41"/>
      <c r="E66" s="41"/>
      <c r="F66" s="41"/>
      <c r="G66" s="40"/>
    </row>
    <row r="67" spans="1:7" x14ac:dyDescent="0.35">
      <c r="A67" s="16"/>
      <c r="B67" s="15"/>
      <c r="C67" s="39"/>
      <c r="D67" s="41"/>
      <c r="E67" s="41"/>
      <c r="F67" s="41"/>
      <c r="G67" s="40"/>
    </row>
    <row r="68" spans="1:7" x14ac:dyDescent="0.35">
      <c r="A68" s="17"/>
      <c r="B68" s="15"/>
      <c r="C68" s="39"/>
      <c r="D68" s="41"/>
      <c r="E68" s="41"/>
      <c r="F68" s="41"/>
      <c r="G68" s="40"/>
    </row>
    <row r="69" spans="1:7" x14ac:dyDescent="0.35">
      <c r="A69" s="10"/>
      <c r="B69" s="11"/>
      <c r="C69" s="39"/>
      <c r="D69" s="39"/>
      <c r="E69" s="39"/>
      <c r="F69" s="39"/>
      <c r="G69" s="40"/>
    </row>
    <row r="70" spans="1:7" x14ac:dyDescent="0.35">
      <c r="A70" s="12"/>
      <c r="B70" s="13"/>
      <c r="C70" s="39"/>
      <c r="D70" s="41"/>
      <c r="E70" s="39"/>
      <c r="F70" s="39"/>
      <c r="G70" s="40"/>
    </row>
    <row r="71" spans="1:7" x14ac:dyDescent="0.35">
      <c r="A71" s="14"/>
      <c r="B71" s="15"/>
      <c r="C71" s="39"/>
      <c r="D71" s="41"/>
      <c r="E71" s="39"/>
      <c r="F71" s="39"/>
      <c r="G71" s="40"/>
    </row>
    <row r="72" spans="1:7" x14ac:dyDescent="0.35">
      <c r="A72" s="16"/>
      <c r="B72" s="15"/>
      <c r="C72" s="39"/>
      <c r="D72" s="41"/>
      <c r="E72" s="39"/>
      <c r="F72" s="39"/>
      <c r="G72" s="40"/>
    </row>
    <row r="73" spans="1:7" x14ac:dyDescent="0.35">
      <c r="A73" s="17"/>
      <c r="B73" s="15"/>
      <c r="C73" s="39"/>
      <c r="D73" s="41"/>
      <c r="E73" s="39"/>
      <c r="F73" s="39"/>
      <c r="G73" s="40"/>
    </row>
    <row r="74" spans="1:7" x14ac:dyDescent="0.35">
      <c r="A74" s="37"/>
      <c r="B74" s="15"/>
      <c r="C74" s="39"/>
      <c r="D74" s="41"/>
      <c r="E74" s="39"/>
      <c r="F74" s="39"/>
      <c r="G74" s="40"/>
    </row>
    <row r="75" spans="1:7" x14ac:dyDescent="0.35">
      <c r="A75" s="12"/>
      <c r="B75" s="13"/>
      <c r="C75" s="39"/>
      <c r="D75" s="39"/>
      <c r="E75" s="39"/>
      <c r="F75" s="39"/>
      <c r="G75" s="40"/>
    </row>
    <row r="76" spans="1:7" x14ac:dyDescent="0.35">
      <c r="A76" s="14"/>
      <c r="B76" s="15"/>
      <c r="C76" s="39"/>
      <c r="D76" s="41"/>
      <c r="E76" s="39"/>
      <c r="F76" s="39"/>
      <c r="G76" s="40"/>
    </row>
    <row r="77" spans="1:7" x14ac:dyDescent="0.35">
      <c r="A77" s="16"/>
      <c r="B77" s="15"/>
      <c r="C77" s="39"/>
      <c r="D77" s="41"/>
      <c r="E77" s="39"/>
      <c r="F77" s="39"/>
      <c r="G77" s="40"/>
    </row>
    <row r="78" spans="1:7" x14ac:dyDescent="0.35">
      <c r="A78" s="17"/>
      <c r="B78" s="15"/>
      <c r="C78" s="39"/>
      <c r="D78" s="41"/>
      <c r="E78" s="39"/>
      <c r="F78" s="39"/>
      <c r="G78" s="40"/>
    </row>
    <row r="79" spans="1:7" x14ac:dyDescent="0.35">
      <c r="A79" s="14"/>
      <c r="B79" s="15"/>
      <c r="C79" s="39"/>
      <c r="D79" s="39"/>
      <c r="E79" s="39"/>
      <c r="F79" s="39"/>
      <c r="G79" s="40"/>
    </row>
    <row r="80" spans="1:7" x14ac:dyDescent="0.35">
      <c r="A80" s="16"/>
      <c r="B80" s="15"/>
      <c r="C80" s="39"/>
      <c r="D80" s="41"/>
      <c r="E80" s="39"/>
      <c r="F80" s="39"/>
      <c r="G80" s="40"/>
    </row>
    <row r="81" spans="1:7" x14ac:dyDescent="0.35">
      <c r="A81" s="17"/>
      <c r="B81" s="15"/>
      <c r="C81" s="39"/>
      <c r="D81" s="41"/>
      <c r="E81" s="39"/>
      <c r="F81" s="39"/>
      <c r="G81" s="40"/>
    </row>
    <row r="82" spans="1:7" x14ac:dyDescent="0.35">
      <c r="A82" s="16"/>
      <c r="B82" s="15"/>
      <c r="C82" s="39"/>
      <c r="D82" s="39"/>
      <c r="E82" s="39"/>
      <c r="F82" s="39"/>
      <c r="G82" s="40"/>
    </row>
    <row r="83" spans="1:7" x14ac:dyDescent="0.35">
      <c r="A83" s="17"/>
      <c r="B83" s="15"/>
      <c r="C83" s="39"/>
      <c r="D83" s="39"/>
      <c r="E83" s="39"/>
      <c r="F83" s="39"/>
      <c r="G83" s="40"/>
    </row>
    <row r="84" spans="1:7" x14ac:dyDescent="0.35">
      <c r="A84" s="10"/>
      <c r="B84" s="11"/>
      <c r="C84" s="39"/>
      <c r="D84" s="39"/>
      <c r="E84" s="39"/>
      <c r="F84" s="39"/>
      <c r="G84" s="40"/>
    </row>
    <row r="85" spans="1:7" x14ac:dyDescent="0.35">
      <c r="A85" s="12"/>
      <c r="B85" s="13"/>
      <c r="C85" s="39"/>
      <c r="D85" s="41"/>
      <c r="E85" s="41"/>
      <c r="F85" s="41"/>
      <c r="G85" s="40"/>
    </row>
    <row r="86" spans="1:7" x14ac:dyDescent="0.35">
      <c r="A86" s="14"/>
      <c r="B86" s="15"/>
      <c r="C86" s="39"/>
      <c r="D86" s="41"/>
      <c r="E86" s="41"/>
      <c r="F86" s="41"/>
      <c r="G86" s="40"/>
    </row>
    <row r="87" spans="1:7" x14ac:dyDescent="0.35">
      <c r="A87" s="16"/>
      <c r="B87" s="15"/>
      <c r="C87" s="39"/>
      <c r="D87" s="41"/>
      <c r="E87" s="41"/>
      <c r="F87" s="41"/>
      <c r="G87" s="40"/>
    </row>
    <row r="88" spans="1:7" x14ac:dyDescent="0.35">
      <c r="A88" s="17"/>
      <c r="B88" s="15"/>
      <c r="C88" s="39"/>
      <c r="D88" s="41"/>
      <c r="E88" s="41"/>
      <c r="F88" s="41"/>
      <c r="G88" s="40"/>
    </row>
    <row r="89" spans="1:7" x14ac:dyDescent="0.35">
      <c r="A89" s="12"/>
      <c r="B89" s="13"/>
      <c r="C89" s="39"/>
      <c r="D89" s="39"/>
      <c r="E89" s="39"/>
      <c r="F89" s="39"/>
      <c r="G89" s="40"/>
    </row>
    <row r="90" spans="1:7" x14ac:dyDescent="0.35">
      <c r="A90" s="14"/>
      <c r="B90" s="15"/>
      <c r="C90" s="39"/>
      <c r="D90" s="41"/>
      <c r="E90" s="41"/>
      <c r="F90" s="41"/>
      <c r="G90" s="40"/>
    </row>
    <row r="91" spans="1:7" x14ac:dyDescent="0.35">
      <c r="A91" s="16"/>
      <c r="B91" s="15"/>
      <c r="C91" s="39"/>
      <c r="D91" s="41"/>
      <c r="E91" s="41"/>
      <c r="F91" s="41"/>
      <c r="G91" s="40"/>
    </row>
    <row r="92" spans="1:7" x14ac:dyDescent="0.35">
      <c r="A92" s="17"/>
      <c r="B92" s="15"/>
      <c r="C92" s="39"/>
      <c r="D92" s="41"/>
      <c r="E92" s="41"/>
      <c r="F92" s="41"/>
      <c r="G92" s="40"/>
    </row>
    <row r="93" spans="1:7" x14ac:dyDescent="0.35">
      <c r="A93" s="37"/>
      <c r="B93" s="15"/>
      <c r="C93" s="39"/>
      <c r="D93" s="41"/>
      <c r="E93" s="41"/>
      <c r="F93" s="41"/>
      <c r="G93" s="40"/>
    </row>
    <row r="94" spans="1:7" x14ac:dyDescent="0.35">
      <c r="A94" s="37"/>
      <c r="B94" s="15"/>
      <c r="C94" s="39"/>
      <c r="D94" s="41"/>
      <c r="E94" s="41"/>
      <c r="F94" s="41"/>
      <c r="G94" s="40"/>
    </row>
    <row r="95" spans="1:7" x14ac:dyDescent="0.35">
      <c r="A95" s="37"/>
      <c r="B95" s="15"/>
      <c r="C95" s="39"/>
      <c r="D95" s="41"/>
      <c r="E95" s="41"/>
      <c r="F95" s="41"/>
      <c r="G95" s="40"/>
    </row>
    <row r="96" spans="1:7" x14ac:dyDescent="0.35">
      <c r="A96" s="37"/>
      <c r="B96" s="15"/>
      <c r="C96" s="39"/>
      <c r="D96" s="41"/>
      <c r="E96" s="41"/>
      <c r="F96" s="41"/>
      <c r="G96" s="40"/>
    </row>
    <row r="97" spans="1:7" x14ac:dyDescent="0.35">
      <c r="A97" s="37"/>
      <c r="B97" s="15"/>
      <c r="C97" s="39"/>
      <c r="D97" s="41"/>
      <c r="E97" s="41"/>
      <c r="F97" s="41"/>
      <c r="G97" s="40"/>
    </row>
    <row r="98" spans="1:7" x14ac:dyDescent="0.35">
      <c r="A98" s="17"/>
      <c r="B98" s="15"/>
      <c r="C98" s="39"/>
      <c r="D98" s="41"/>
      <c r="E98" s="41"/>
      <c r="F98" s="41"/>
      <c r="G98" s="40"/>
    </row>
    <row r="99" spans="1:7" x14ac:dyDescent="0.35">
      <c r="A99" s="37"/>
      <c r="B99" s="15"/>
      <c r="C99" s="39"/>
      <c r="D99" s="41"/>
      <c r="E99" s="41"/>
      <c r="F99" s="41"/>
      <c r="G99" s="40"/>
    </row>
    <row r="100" spans="1:7" x14ac:dyDescent="0.35">
      <c r="A100" s="37"/>
      <c r="B100" s="15"/>
      <c r="C100" s="39"/>
      <c r="D100" s="41"/>
      <c r="E100" s="41"/>
      <c r="F100" s="41"/>
      <c r="G100" s="40"/>
    </row>
    <row r="101" spans="1:7" x14ac:dyDescent="0.35">
      <c r="A101" s="16"/>
      <c r="B101" s="15"/>
      <c r="C101" s="39"/>
      <c r="D101" s="41"/>
      <c r="E101" s="41"/>
      <c r="F101" s="41"/>
      <c r="G101" s="40"/>
    </row>
    <row r="102" spans="1:7" x14ac:dyDescent="0.35">
      <c r="A102" s="17"/>
      <c r="B102" s="15"/>
      <c r="C102" s="39"/>
      <c r="D102" s="41"/>
      <c r="E102" s="41"/>
      <c r="F102" s="41"/>
      <c r="G102" s="40"/>
    </row>
    <row r="103" spans="1:7" x14ac:dyDescent="0.35">
      <c r="A103" s="37"/>
      <c r="B103" s="15"/>
      <c r="C103" s="39"/>
      <c r="D103" s="41"/>
      <c r="E103" s="41"/>
      <c r="F103" s="41"/>
      <c r="G103" s="40"/>
    </row>
    <row r="104" spans="1:7" x14ac:dyDescent="0.35">
      <c r="A104" s="37"/>
      <c r="B104" s="15"/>
      <c r="C104" s="39"/>
      <c r="D104" s="41"/>
      <c r="E104" s="41"/>
      <c r="F104" s="41"/>
      <c r="G104" s="40"/>
    </row>
    <row r="105" spans="1:7" x14ac:dyDescent="0.35">
      <c r="A105" s="17"/>
      <c r="B105" s="15"/>
      <c r="C105" s="39"/>
      <c r="D105" s="41"/>
      <c r="E105" s="41"/>
      <c r="F105" s="41"/>
      <c r="G105" s="40"/>
    </row>
    <row r="106" spans="1:7" x14ac:dyDescent="0.35">
      <c r="A106" s="37"/>
      <c r="B106" s="15"/>
      <c r="C106" s="39"/>
      <c r="D106" s="41"/>
      <c r="E106" s="41"/>
      <c r="F106" s="41"/>
      <c r="G106" s="40"/>
    </row>
    <row r="107" spans="1:7" x14ac:dyDescent="0.35">
      <c r="A107" s="37"/>
      <c r="B107" s="15"/>
      <c r="C107" s="39"/>
      <c r="D107" s="41"/>
      <c r="E107" s="41"/>
      <c r="F107" s="41"/>
      <c r="G107" s="40"/>
    </row>
    <row r="108" spans="1:7" x14ac:dyDescent="0.35">
      <c r="A108" s="37"/>
      <c r="B108" s="15"/>
      <c r="C108" s="39"/>
      <c r="D108" s="41"/>
      <c r="E108" s="41"/>
      <c r="F108" s="41"/>
      <c r="G108" s="40"/>
    </row>
    <row r="109" spans="1:7" x14ac:dyDescent="0.35">
      <c r="A109" s="16"/>
      <c r="B109" s="15"/>
      <c r="C109" s="39"/>
      <c r="D109" s="41"/>
      <c r="E109" s="41"/>
      <c r="F109" s="41"/>
      <c r="G109" s="40"/>
    </row>
    <row r="110" spans="1:7" x14ac:dyDescent="0.35">
      <c r="A110" s="17"/>
      <c r="B110" s="15"/>
      <c r="C110" s="39"/>
      <c r="D110" s="41"/>
      <c r="E110" s="41"/>
      <c r="F110" s="41"/>
      <c r="G110" s="40"/>
    </row>
    <row r="111" spans="1:7" x14ac:dyDescent="0.35">
      <c r="A111" s="37"/>
      <c r="B111" s="15"/>
      <c r="C111" s="39"/>
      <c r="D111" s="41"/>
      <c r="E111" s="41"/>
      <c r="F111" s="41"/>
      <c r="G111" s="40"/>
    </row>
    <row r="112" spans="1:7" x14ac:dyDescent="0.35">
      <c r="A112" s="37"/>
      <c r="B112" s="15"/>
      <c r="C112" s="39"/>
      <c r="D112" s="41"/>
      <c r="E112" s="41"/>
      <c r="F112" s="41"/>
      <c r="G112" s="40"/>
    </row>
    <row r="113" spans="1:7" x14ac:dyDescent="0.35">
      <c r="A113" s="37"/>
      <c r="B113" s="15"/>
      <c r="C113" s="39"/>
      <c r="D113" s="41"/>
      <c r="E113" s="41"/>
      <c r="F113" s="41"/>
      <c r="G113" s="40"/>
    </row>
    <row r="114" spans="1:7" x14ac:dyDescent="0.35">
      <c r="A114" s="37"/>
      <c r="B114" s="15"/>
      <c r="C114" s="39"/>
      <c r="D114" s="41"/>
      <c r="E114" s="41"/>
      <c r="F114" s="41"/>
      <c r="G114" s="40"/>
    </row>
    <row r="115" spans="1:7" x14ac:dyDescent="0.35">
      <c r="A115" s="37"/>
      <c r="B115" s="15"/>
      <c r="C115" s="39"/>
      <c r="D115" s="41"/>
      <c r="E115" s="41"/>
      <c r="F115" s="41"/>
      <c r="G115" s="40"/>
    </row>
    <row r="116" spans="1:7" x14ac:dyDescent="0.35">
      <c r="A116" s="37"/>
      <c r="B116" s="15"/>
      <c r="C116" s="39"/>
      <c r="D116" s="41"/>
      <c r="E116" s="41"/>
      <c r="F116" s="41"/>
      <c r="G116" s="40"/>
    </row>
    <row r="117" spans="1:7" x14ac:dyDescent="0.35">
      <c r="A117" s="37"/>
      <c r="B117" s="15"/>
      <c r="C117" s="39"/>
      <c r="D117" s="41"/>
      <c r="E117" s="41"/>
      <c r="F117" s="41"/>
      <c r="G117" s="40"/>
    </row>
    <row r="118" spans="1:7" x14ac:dyDescent="0.35">
      <c r="A118" s="37"/>
      <c r="B118" s="15"/>
      <c r="C118" s="39"/>
      <c r="D118" s="41"/>
      <c r="E118" s="41"/>
      <c r="F118" s="41"/>
      <c r="G118" s="40"/>
    </row>
    <row r="119" spans="1:7" x14ac:dyDescent="0.35">
      <c r="A119" s="37"/>
      <c r="B119" s="15"/>
      <c r="C119" s="39"/>
      <c r="D119" s="41"/>
      <c r="E119" s="41"/>
      <c r="F119" s="41"/>
      <c r="G119" s="40"/>
    </row>
    <row r="120" spans="1:7" x14ac:dyDescent="0.35">
      <c r="A120" s="37"/>
      <c r="B120" s="15"/>
      <c r="C120" s="39"/>
      <c r="D120" s="41"/>
      <c r="E120" s="41"/>
      <c r="F120" s="41"/>
      <c r="G120" s="40"/>
    </row>
    <row r="121" spans="1:7" x14ac:dyDescent="0.35">
      <c r="A121" s="37"/>
      <c r="B121" s="15"/>
      <c r="C121" s="39"/>
      <c r="D121" s="41"/>
      <c r="E121" s="41"/>
      <c r="F121" s="41"/>
      <c r="G121" s="40"/>
    </row>
    <row r="122" spans="1:7" x14ac:dyDescent="0.35">
      <c r="A122" s="16"/>
      <c r="B122" s="15"/>
      <c r="C122" s="39"/>
      <c r="D122" s="41"/>
      <c r="E122" s="41"/>
      <c r="F122" s="41"/>
      <c r="G122" s="40"/>
    </row>
    <row r="123" spans="1:7" x14ac:dyDescent="0.35">
      <c r="A123" s="17"/>
      <c r="B123" s="15"/>
      <c r="C123" s="39"/>
      <c r="D123" s="41"/>
      <c r="E123" s="41"/>
      <c r="F123" s="41"/>
      <c r="G123" s="40"/>
    </row>
    <row r="124" spans="1:7" x14ac:dyDescent="0.35">
      <c r="A124" s="37"/>
      <c r="B124" s="15"/>
      <c r="C124" s="39"/>
      <c r="D124" s="41"/>
      <c r="E124" s="41"/>
      <c r="F124" s="41"/>
      <c r="G124" s="40"/>
    </row>
    <row r="125" spans="1:7" x14ac:dyDescent="0.35">
      <c r="A125" s="14"/>
      <c r="B125" s="15"/>
      <c r="C125" s="39"/>
      <c r="D125" s="41"/>
      <c r="E125" s="41"/>
      <c r="F125" s="41"/>
      <c r="G125" s="40"/>
    </row>
    <row r="126" spans="1:7" x14ac:dyDescent="0.35">
      <c r="A126" s="16"/>
      <c r="B126" s="15"/>
      <c r="C126" s="39"/>
      <c r="D126" s="41"/>
      <c r="E126" s="41"/>
      <c r="F126" s="41"/>
      <c r="G126" s="40"/>
    </row>
    <row r="127" spans="1:7" x14ac:dyDescent="0.35">
      <c r="A127" s="17"/>
      <c r="B127" s="15"/>
      <c r="C127" s="39"/>
      <c r="D127" s="41"/>
      <c r="E127" s="41"/>
      <c r="F127" s="41"/>
      <c r="G127" s="40"/>
    </row>
    <row r="128" spans="1:7" x14ac:dyDescent="0.35">
      <c r="A128" s="37"/>
      <c r="B128" s="15"/>
      <c r="C128" s="39"/>
      <c r="D128" s="41"/>
      <c r="E128" s="41"/>
      <c r="F128" s="41"/>
      <c r="G128" s="40"/>
    </row>
    <row r="129" spans="1:7" x14ac:dyDescent="0.35">
      <c r="A129" s="37"/>
      <c r="B129" s="15"/>
      <c r="C129" s="39"/>
      <c r="D129" s="41"/>
      <c r="E129" s="41"/>
      <c r="F129" s="41"/>
      <c r="G129" s="40"/>
    </row>
    <row r="130" spans="1:7" x14ac:dyDescent="0.35">
      <c r="A130" s="37"/>
      <c r="B130" s="15"/>
      <c r="C130" s="39"/>
      <c r="D130" s="41"/>
      <c r="E130" s="41"/>
      <c r="F130" s="41"/>
      <c r="G130" s="40"/>
    </row>
    <row r="131" spans="1:7" x14ac:dyDescent="0.35">
      <c r="A131" s="37"/>
      <c r="B131" s="15"/>
      <c r="C131" s="39"/>
      <c r="D131" s="41"/>
      <c r="E131" s="41"/>
      <c r="F131" s="41"/>
      <c r="G131" s="40"/>
    </row>
    <row r="132" spans="1:7" x14ac:dyDescent="0.35">
      <c r="A132" s="14"/>
      <c r="B132" s="15"/>
      <c r="C132" s="39"/>
      <c r="D132" s="39"/>
      <c r="E132" s="41"/>
      <c r="F132" s="39"/>
      <c r="G132" s="40"/>
    </row>
    <row r="133" spans="1:7" x14ac:dyDescent="0.35">
      <c r="A133" s="16"/>
      <c r="B133" s="15"/>
      <c r="C133" s="39"/>
      <c r="D133" s="39"/>
      <c r="E133" s="41"/>
      <c r="F133" s="39"/>
      <c r="G133" s="40"/>
    </row>
    <row r="134" spans="1:7" x14ac:dyDescent="0.35">
      <c r="A134" s="17"/>
      <c r="B134" s="15"/>
      <c r="C134" s="39"/>
      <c r="D134" s="41"/>
      <c r="E134" s="41"/>
      <c r="F134" s="41"/>
      <c r="G134" s="40"/>
    </row>
    <row r="135" spans="1:7" x14ac:dyDescent="0.35">
      <c r="A135" s="37"/>
      <c r="B135" s="15"/>
      <c r="C135" s="39"/>
      <c r="D135" s="41"/>
      <c r="E135" s="41"/>
      <c r="F135" s="41"/>
      <c r="G135" s="40"/>
    </row>
    <row r="136" spans="1:7" x14ac:dyDescent="0.35">
      <c r="A136" s="37"/>
      <c r="B136" s="15"/>
      <c r="C136" s="39"/>
      <c r="D136" s="41"/>
      <c r="E136" s="41"/>
      <c r="F136" s="41"/>
      <c r="G136" s="40"/>
    </row>
    <row r="137" spans="1:7" x14ac:dyDescent="0.35">
      <c r="A137" s="37"/>
      <c r="B137" s="15"/>
      <c r="C137" s="39"/>
      <c r="D137" s="41"/>
      <c r="E137" s="41"/>
      <c r="F137" s="41"/>
      <c r="G137" s="40"/>
    </row>
    <row r="138" spans="1:7" x14ac:dyDescent="0.35">
      <c r="A138" s="17"/>
      <c r="B138" s="15"/>
      <c r="C138" s="39"/>
      <c r="D138" s="39"/>
      <c r="E138" s="41"/>
      <c r="F138" s="39"/>
      <c r="G138" s="40"/>
    </row>
    <row r="139" spans="1:7" x14ac:dyDescent="0.35">
      <c r="A139" s="37"/>
      <c r="B139" s="15"/>
      <c r="C139" s="39"/>
      <c r="D139" s="41"/>
      <c r="E139" s="41"/>
      <c r="F139" s="41"/>
      <c r="G139" s="40"/>
    </row>
    <row r="140" spans="1:7" x14ac:dyDescent="0.35">
      <c r="A140" s="37"/>
      <c r="B140" s="15"/>
      <c r="C140" s="39"/>
      <c r="D140" s="39"/>
      <c r="E140" s="41"/>
      <c r="F140" s="39"/>
      <c r="G140" s="40"/>
    </row>
    <row r="141" spans="1:7" x14ac:dyDescent="0.35">
      <c r="A141" s="37"/>
      <c r="B141" s="15"/>
      <c r="C141" s="39"/>
      <c r="D141" s="41"/>
      <c r="E141" s="41"/>
      <c r="F141" s="41"/>
      <c r="G141" s="40"/>
    </row>
    <row r="142" spans="1:7" x14ac:dyDescent="0.35">
      <c r="A142" s="17"/>
      <c r="B142" s="15"/>
      <c r="C142" s="39"/>
      <c r="D142" s="39"/>
      <c r="E142" s="41"/>
      <c r="F142" s="39"/>
      <c r="G142" s="40"/>
    </row>
    <row r="143" spans="1:7" x14ac:dyDescent="0.35">
      <c r="A143" s="37"/>
      <c r="B143" s="15"/>
      <c r="C143" s="39"/>
      <c r="D143" s="39"/>
      <c r="E143" s="41"/>
      <c r="F143" s="39"/>
      <c r="G143" s="40"/>
    </row>
    <row r="144" spans="1:7" x14ac:dyDescent="0.35">
      <c r="A144" s="17"/>
      <c r="B144" s="15"/>
      <c r="C144" s="39"/>
      <c r="D144" s="41"/>
      <c r="E144" s="41"/>
      <c r="F144" s="41"/>
      <c r="G144" s="40"/>
    </row>
    <row r="145" spans="1:7" x14ac:dyDescent="0.35">
      <c r="A145" s="37"/>
      <c r="B145" s="15"/>
      <c r="C145" s="39"/>
      <c r="D145" s="41"/>
      <c r="E145" s="41"/>
      <c r="F145" s="41"/>
      <c r="G145" s="40"/>
    </row>
    <row r="146" spans="1:7" x14ac:dyDescent="0.35">
      <c r="A146" s="17"/>
      <c r="B146" s="15"/>
      <c r="C146" s="39"/>
      <c r="D146" s="41"/>
      <c r="E146" s="41"/>
      <c r="F146" s="41"/>
      <c r="G146" s="40"/>
    </row>
    <row r="147" spans="1:7" x14ac:dyDescent="0.35">
      <c r="A147" s="37"/>
      <c r="B147" s="15"/>
      <c r="C147" s="39"/>
      <c r="D147" s="41"/>
      <c r="E147" s="41"/>
      <c r="F147" s="41"/>
      <c r="G147" s="40"/>
    </row>
    <row r="148" spans="1:7" x14ac:dyDescent="0.35">
      <c r="A148" s="37"/>
      <c r="B148" s="15"/>
      <c r="C148" s="39"/>
      <c r="D148" s="41"/>
      <c r="E148" s="41"/>
      <c r="F148" s="41"/>
      <c r="G148" s="40"/>
    </row>
    <row r="149" spans="1:7" x14ac:dyDescent="0.35">
      <c r="A149" s="37"/>
      <c r="B149" s="15"/>
      <c r="C149" s="39"/>
      <c r="D149" s="41"/>
      <c r="E149" s="41"/>
      <c r="F149" s="41"/>
      <c r="G149" s="40"/>
    </row>
    <row r="150" spans="1:7" x14ac:dyDescent="0.35">
      <c r="A150" s="37"/>
      <c r="B150" s="15"/>
      <c r="C150" s="39"/>
      <c r="D150" s="41"/>
      <c r="E150" s="41"/>
      <c r="F150" s="41"/>
      <c r="G150" s="40"/>
    </row>
    <row r="151" spans="1:7" x14ac:dyDescent="0.35">
      <c r="A151" s="17"/>
      <c r="B151" s="15"/>
      <c r="C151" s="39"/>
      <c r="D151" s="39"/>
      <c r="E151" s="41"/>
      <c r="F151" s="39"/>
      <c r="G151" s="40"/>
    </row>
    <row r="152" spans="1:7" x14ac:dyDescent="0.35">
      <c r="A152" s="37"/>
      <c r="B152" s="15"/>
      <c r="C152" s="39"/>
      <c r="D152" s="39"/>
      <c r="E152" s="41"/>
      <c r="F152" s="39"/>
      <c r="G152" s="40"/>
    </row>
    <row r="153" spans="1:7" x14ac:dyDescent="0.35">
      <c r="A153" s="14"/>
      <c r="B153" s="15"/>
      <c r="C153" s="39"/>
      <c r="D153" s="41"/>
      <c r="E153" s="41"/>
      <c r="F153" s="41"/>
      <c r="G153" s="40"/>
    </row>
    <row r="154" spans="1:7" x14ac:dyDescent="0.35">
      <c r="A154" s="16"/>
      <c r="B154" s="15"/>
      <c r="C154" s="39"/>
      <c r="D154" s="41"/>
      <c r="E154" s="41"/>
      <c r="F154" s="41"/>
      <c r="G154" s="40"/>
    </row>
    <row r="155" spans="1:7" x14ac:dyDescent="0.35">
      <c r="A155" s="17"/>
      <c r="B155" s="15"/>
      <c r="C155" s="39"/>
      <c r="D155" s="41"/>
      <c r="E155" s="41"/>
      <c r="F155" s="41"/>
      <c r="G155" s="40"/>
    </row>
    <row r="156" spans="1:7" x14ac:dyDescent="0.35">
      <c r="A156" s="16"/>
      <c r="B156" s="15"/>
      <c r="C156" s="39"/>
      <c r="D156" s="41"/>
      <c r="E156" s="41"/>
      <c r="F156" s="41"/>
      <c r="G156" s="40"/>
    </row>
    <row r="157" spans="1:7" x14ac:dyDescent="0.35">
      <c r="A157" s="17"/>
      <c r="B157" s="15"/>
      <c r="C157" s="39"/>
      <c r="D157" s="41"/>
      <c r="E157" s="41"/>
      <c r="F157" s="41"/>
      <c r="G157" s="40"/>
    </row>
    <row r="158" spans="1:7" x14ac:dyDescent="0.35">
      <c r="A158" s="14"/>
      <c r="B158" s="15"/>
      <c r="C158" s="39"/>
      <c r="D158" s="39"/>
      <c r="E158" s="39"/>
      <c r="F158" s="39"/>
      <c r="G158" s="40"/>
    </row>
    <row r="159" spans="1:7" x14ac:dyDescent="0.35">
      <c r="A159" s="16"/>
      <c r="B159" s="15"/>
      <c r="C159" s="39"/>
      <c r="D159" s="39"/>
      <c r="E159" s="39"/>
      <c r="F159" s="39"/>
      <c r="G159" s="40"/>
    </row>
    <row r="160" spans="1:7" x14ac:dyDescent="0.35">
      <c r="A160" s="17"/>
      <c r="B160" s="15"/>
      <c r="C160" s="39"/>
      <c r="D160" s="39"/>
      <c r="E160" s="39"/>
      <c r="F160" s="39"/>
      <c r="G160" s="40"/>
    </row>
    <row r="161" spans="1:7" x14ac:dyDescent="0.35">
      <c r="A161" s="37"/>
      <c r="B161" s="15"/>
      <c r="C161" s="39"/>
      <c r="D161" s="39"/>
      <c r="E161" s="39"/>
      <c r="F161" s="39"/>
      <c r="G161" s="40"/>
    </row>
    <row r="162" spans="1:7" x14ac:dyDescent="0.35">
      <c r="A162" s="37"/>
      <c r="B162" s="15"/>
      <c r="C162" s="39"/>
      <c r="D162" s="39"/>
      <c r="E162" s="39"/>
      <c r="F162" s="39"/>
      <c r="G162" s="40"/>
    </row>
    <row r="163" spans="1:7" x14ac:dyDescent="0.35">
      <c r="A163" s="16"/>
      <c r="B163" s="15"/>
      <c r="C163" s="39"/>
      <c r="D163" s="41"/>
      <c r="E163" s="41"/>
      <c r="F163" s="41"/>
      <c r="G163" s="40"/>
    </row>
    <row r="164" spans="1:7" x14ac:dyDescent="0.35">
      <c r="A164" s="17"/>
      <c r="B164" s="15"/>
      <c r="C164" s="39"/>
      <c r="D164" s="41"/>
      <c r="E164" s="41"/>
      <c r="F164" s="41"/>
      <c r="G164" s="40"/>
    </row>
    <row r="165" spans="1:7" x14ac:dyDescent="0.35">
      <c r="A165" s="17"/>
      <c r="B165" s="15"/>
      <c r="C165" s="39"/>
      <c r="D165" s="41"/>
      <c r="E165" s="41"/>
      <c r="F165" s="41"/>
      <c r="G165" s="40"/>
    </row>
    <row r="166" spans="1:7" x14ac:dyDescent="0.35">
      <c r="A166" s="14"/>
      <c r="B166" s="15"/>
      <c r="C166" s="39"/>
      <c r="D166" s="41"/>
      <c r="E166" s="41"/>
      <c r="F166" s="41"/>
      <c r="G166" s="40"/>
    </row>
    <row r="167" spans="1:7" x14ac:dyDescent="0.35">
      <c r="A167" s="16"/>
      <c r="B167" s="15"/>
      <c r="C167" s="39"/>
      <c r="D167" s="41"/>
      <c r="E167" s="41"/>
      <c r="F167" s="41"/>
      <c r="G167" s="40"/>
    </row>
    <row r="168" spans="1:7" x14ac:dyDescent="0.35">
      <c r="A168" s="17"/>
      <c r="B168" s="15"/>
      <c r="C168" s="39"/>
      <c r="D168" s="41"/>
      <c r="E168" s="41"/>
      <c r="F168" s="41"/>
      <c r="G168" s="40"/>
    </row>
    <row r="169" spans="1:7" x14ac:dyDescent="0.35">
      <c r="A169" s="16"/>
      <c r="B169" s="15"/>
      <c r="C169" s="39"/>
      <c r="D169" s="41"/>
      <c r="E169" s="41"/>
      <c r="F169" s="41"/>
      <c r="G169" s="40"/>
    </row>
    <row r="170" spans="1:7" x14ac:dyDescent="0.35">
      <c r="A170" s="17"/>
      <c r="B170" s="15"/>
      <c r="C170" s="39"/>
      <c r="D170" s="41"/>
      <c r="E170" s="41"/>
      <c r="F170" s="41"/>
      <c r="G170" s="40"/>
    </row>
    <row r="171" spans="1:7" x14ac:dyDescent="0.35">
      <c r="A171" s="10"/>
      <c r="B171" s="11"/>
      <c r="C171" s="39"/>
      <c r="D171" s="39"/>
      <c r="E171" s="41"/>
      <c r="F171" s="39"/>
      <c r="G171" s="40"/>
    </row>
    <row r="172" spans="1:7" x14ac:dyDescent="0.35">
      <c r="A172" s="12"/>
      <c r="B172" s="13"/>
      <c r="C172" s="39"/>
      <c r="D172" s="39"/>
      <c r="E172" s="41"/>
      <c r="F172" s="39"/>
      <c r="G172" s="40"/>
    </row>
    <row r="173" spans="1:7" x14ac:dyDescent="0.35">
      <c r="A173" s="14"/>
      <c r="B173" s="15"/>
      <c r="C173" s="39"/>
      <c r="D173" s="39"/>
      <c r="E173" s="41"/>
      <c r="F173" s="39"/>
      <c r="G173" s="40"/>
    </row>
    <row r="174" spans="1:7" x14ac:dyDescent="0.35">
      <c r="A174" s="16"/>
      <c r="B174" s="15"/>
      <c r="C174" s="39"/>
      <c r="D174" s="39"/>
      <c r="E174" s="41"/>
      <c r="F174" s="39"/>
      <c r="G174" s="40"/>
    </row>
    <row r="175" spans="1:7" x14ac:dyDescent="0.35">
      <c r="A175" s="17"/>
      <c r="B175" s="15"/>
      <c r="C175" s="39"/>
      <c r="D175" s="39"/>
      <c r="E175" s="41"/>
      <c r="F175" s="39"/>
      <c r="G175" s="40"/>
    </row>
    <row r="176" spans="1:7" x14ac:dyDescent="0.35">
      <c r="A176" s="17"/>
      <c r="B176" s="15"/>
      <c r="C176" s="39"/>
      <c r="D176" s="39"/>
      <c r="E176" s="41"/>
      <c r="F176" s="39"/>
      <c r="G176" s="40"/>
    </row>
    <row r="177" spans="1:7" x14ac:dyDescent="0.35">
      <c r="A177" s="12"/>
      <c r="B177" s="13"/>
      <c r="C177" s="39"/>
      <c r="D177" s="41"/>
      <c r="E177" s="41"/>
      <c r="F177" s="41"/>
      <c r="G177" s="40"/>
    </row>
    <row r="178" spans="1:7" x14ac:dyDescent="0.35">
      <c r="A178" s="14"/>
      <c r="B178" s="15"/>
      <c r="C178" s="39"/>
      <c r="D178" s="41"/>
      <c r="E178" s="41"/>
      <c r="F178" s="41"/>
      <c r="G178" s="40"/>
    </row>
    <row r="179" spans="1:7" x14ac:dyDescent="0.35">
      <c r="A179" s="16"/>
      <c r="B179" s="15"/>
      <c r="C179" s="39"/>
      <c r="D179" s="41"/>
      <c r="E179" s="41"/>
      <c r="F179" s="41"/>
      <c r="G179" s="40"/>
    </row>
    <row r="180" spans="1:7" x14ac:dyDescent="0.35">
      <c r="A180" s="17"/>
      <c r="B180" s="15"/>
      <c r="C180" s="39"/>
      <c r="D180" s="41"/>
      <c r="E180" s="41"/>
      <c r="F180" s="41"/>
      <c r="G180" s="40"/>
    </row>
    <row r="181" spans="1:7" x14ac:dyDescent="0.35">
      <c r="A181" s="10"/>
      <c r="B181" s="11"/>
      <c r="C181" s="41"/>
      <c r="D181" s="39"/>
      <c r="E181" s="39"/>
      <c r="F181" s="41"/>
      <c r="G181" s="42"/>
    </row>
    <row r="182" spans="1:7" x14ac:dyDescent="0.35">
      <c r="A182" s="12"/>
      <c r="B182" s="13"/>
      <c r="C182" s="41"/>
      <c r="D182" s="39"/>
      <c r="E182" s="39"/>
      <c r="F182" s="41"/>
      <c r="G182" s="42"/>
    </row>
    <row r="183" spans="1:7" x14ac:dyDescent="0.35">
      <c r="A183" s="14"/>
      <c r="B183" s="15"/>
      <c r="C183" s="41"/>
      <c r="D183" s="39"/>
      <c r="E183" s="39"/>
      <c r="F183" s="41"/>
      <c r="G183" s="42"/>
    </row>
    <row r="184" spans="1:7" x14ac:dyDescent="0.35">
      <c r="A184" s="16"/>
      <c r="B184" s="15"/>
      <c r="C184" s="41"/>
      <c r="D184" s="39"/>
      <c r="E184" s="39"/>
      <c r="F184" s="41"/>
      <c r="G184" s="42"/>
    </row>
    <row r="185" spans="1:7" x14ac:dyDescent="0.35">
      <c r="A185" s="17"/>
      <c r="B185" s="15"/>
      <c r="C185" s="41"/>
      <c r="D185" s="39"/>
      <c r="E185" s="39"/>
      <c r="F185" s="41"/>
      <c r="G185" s="42"/>
    </row>
    <row r="186" spans="1:7" x14ac:dyDescent="0.35">
      <c r="A186" s="18"/>
      <c r="B186" s="19"/>
      <c r="C186" s="39"/>
      <c r="D186" s="39"/>
      <c r="E186" s="39"/>
      <c r="F186" s="39"/>
      <c r="G186" s="40"/>
    </row>
    <row r="187" spans="1:7" x14ac:dyDescent="0.35">
      <c r="A187" s="10"/>
      <c r="B187" s="11"/>
      <c r="C187" s="39"/>
      <c r="D187" s="41"/>
      <c r="E187" s="41"/>
      <c r="F187" s="41"/>
      <c r="G187" s="40"/>
    </row>
    <row r="188" spans="1:7" x14ac:dyDescent="0.35">
      <c r="A188" s="10"/>
      <c r="B188" s="11"/>
      <c r="C188" s="39"/>
      <c r="D188" s="39"/>
      <c r="E188" s="39"/>
      <c r="F188" s="39"/>
      <c r="G188" s="40"/>
    </row>
    <row r="189" spans="1:7" x14ac:dyDescent="0.35">
      <c r="A189" s="10"/>
      <c r="B189" s="11"/>
      <c r="C189" s="39"/>
      <c r="D189" s="39"/>
      <c r="E189" s="39"/>
      <c r="F189" s="39"/>
      <c r="G189" s="40"/>
    </row>
    <row r="190" spans="1:7" x14ac:dyDescent="0.35">
      <c r="A190" s="10"/>
      <c r="B190" s="11"/>
      <c r="C190" s="39"/>
      <c r="D190" s="39"/>
      <c r="E190" s="39"/>
      <c r="F190" s="39"/>
      <c r="G190" s="40"/>
    </row>
    <row r="191" spans="1:7" x14ac:dyDescent="0.35">
      <c r="A191" s="10"/>
      <c r="B191" s="11"/>
      <c r="C191" s="39"/>
      <c r="D191" s="39"/>
      <c r="E191" s="39"/>
      <c r="F191" s="39"/>
      <c r="G191" s="40"/>
    </row>
    <row r="192" spans="1:7" x14ac:dyDescent="0.35">
      <c r="A192" s="10"/>
      <c r="B192" s="11"/>
      <c r="C192" s="41"/>
      <c r="D192" s="39"/>
      <c r="E192" s="39"/>
      <c r="F192" s="41"/>
      <c r="G192" s="42"/>
    </row>
    <row r="193" spans="1:7" x14ac:dyDescent="0.35">
      <c r="A193" s="10"/>
      <c r="B193" s="11"/>
      <c r="C193" s="41"/>
      <c r="D193" s="39"/>
      <c r="E193" s="39"/>
      <c r="F193" s="41"/>
      <c r="G193" s="42"/>
    </row>
    <row r="194" spans="1:7" x14ac:dyDescent="0.35">
      <c r="A194" s="10"/>
      <c r="B194" s="11"/>
      <c r="C194" s="39"/>
      <c r="D194" s="39"/>
      <c r="E194" s="39"/>
      <c r="F194" s="39"/>
      <c r="G194" s="40"/>
    </row>
    <row r="195" spans="1:7" x14ac:dyDescent="0.35">
      <c r="A195" s="10"/>
      <c r="B195" s="11"/>
      <c r="C195" s="39"/>
      <c r="D195" s="39"/>
      <c r="E195" s="41"/>
      <c r="F195" s="39"/>
      <c r="G195" s="40"/>
    </row>
    <row r="196" spans="1:7" x14ac:dyDescent="0.35">
      <c r="A196" s="17"/>
      <c r="B196" s="15"/>
      <c r="C196" s="39"/>
      <c r="D196" s="39"/>
      <c r="E196" s="41"/>
      <c r="F196" s="39"/>
      <c r="G196" s="40"/>
    </row>
    <row r="197" spans="1:7" x14ac:dyDescent="0.35">
      <c r="A197" s="16"/>
      <c r="B197" s="15"/>
      <c r="C197" s="39"/>
      <c r="D197" s="41"/>
      <c r="E197" s="39"/>
      <c r="F197" s="39"/>
      <c r="G197" s="40"/>
    </row>
    <row r="198" spans="1:7" x14ac:dyDescent="0.35">
      <c r="A198" s="17"/>
      <c r="B198" s="15"/>
      <c r="C198" s="39"/>
      <c r="D198" s="41"/>
      <c r="E198" s="39"/>
      <c r="F198" s="39"/>
      <c r="G198" s="40"/>
    </row>
    <row r="199" spans="1:7" x14ac:dyDescent="0.35">
      <c r="A199" s="17"/>
      <c r="B199" s="15"/>
      <c r="C199" s="39"/>
      <c r="D199" s="41"/>
      <c r="E199" s="39"/>
      <c r="F199" s="39"/>
      <c r="G199" s="40"/>
    </row>
    <row r="200" spans="1:7" x14ac:dyDescent="0.35">
      <c r="A200" s="10"/>
      <c r="B200" s="11"/>
      <c r="C200" s="41"/>
      <c r="D200" s="39"/>
      <c r="E200" s="39"/>
      <c r="F200" s="41"/>
      <c r="G200" s="42"/>
    </row>
    <row r="201" spans="1:7" x14ac:dyDescent="0.35">
      <c r="A201" s="12"/>
      <c r="B201" s="13"/>
      <c r="C201" s="41"/>
      <c r="D201" s="39"/>
      <c r="E201" s="39"/>
      <c r="F201" s="41"/>
      <c r="G201" s="42"/>
    </row>
    <row r="202" spans="1:7" x14ac:dyDescent="0.35">
      <c r="A202" s="14"/>
      <c r="B202" s="15"/>
      <c r="C202" s="41"/>
      <c r="D202" s="39"/>
      <c r="E202" s="39"/>
      <c r="F202" s="41"/>
      <c r="G202" s="42"/>
    </row>
    <row r="203" spans="1:7" x14ac:dyDescent="0.35">
      <c r="A203" s="16"/>
      <c r="B203" s="15"/>
      <c r="C203" s="41"/>
      <c r="D203" s="39"/>
      <c r="E203" s="39"/>
      <c r="F203" s="41"/>
      <c r="G203" s="42"/>
    </row>
    <row r="204" spans="1:7" x14ac:dyDescent="0.35">
      <c r="A204" s="17"/>
      <c r="B204" s="15"/>
      <c r="C204" s="41"/>
      <c r="D204" s="39"/>
      <c r="E204" s="39"/>
      <c r="F204" s="41"/>
      <c r="G204" s="42"/>
    </row>
    <row r="205" spans="1:7" x14ac:dyDescent="0.35">
      <c r="A205" s="18"/>
      <c r="B205" s="19"/>
      <c r="C205" s="39"/>
      <c r="D205" s="39"/>
      <c r="E205" s="39"/>
      <c r="F205" s="39"/>
      <c r="G205" s="40"/>
    </row>
    <row r="206" spans="1:7" x14ac:dyDescent="0.35">
      <c r="A206" s="10"/>
      <c r="B206" s="11"/>
      <c r="C206" s="39"/>
      <c r="D206" s="39"/>
      <c r="E206" s="39"/>
      <c r="F206" s="39"/>
      <c r="G206" s="40"/>
    </row>
    <row r="207" spans="1:7" x14ac:dyDescent="0.35">
      <c r="A207" s="10"/>
      <c r="B207" s="11"/>
      <c r="C207" s="41"/>
      <c r="D207" s="39"/>
      <c r="E207" s="39"/>
      <c r="F207" s="39"/>
      <c r="G207" s="40"/>
    </row>
    <row r="208" spans="1:7" x14ac:dyDescent="0.35">
      <c r="A208" s="10"/>
      <c r="B208" s="11"/>
      <c r="C208" s="39"/>
      <c r="D208" s="39"/>
      <c r="E208" s="39"/>
      <c r="F208" s="39"/>
      <c r="G208" s="40"/>
    </row>
    <row r="209" spans="1:7" x14ac:dyDescent="0.35">
      <c r="A209" s="10"/>
      <c r="B209" s="11"/>
      <c r="C209" s="39"/>
      <c r="D209" s="41"/>
      <c r="E209" s="39"/>
      <c r="F209" s="39"/>
      <c r="G209" s="40"/>
    </row>
    <row r="210" spans="1:7" x14ac:dyDescent="0.35">
      <c r="A210" s="10"/>
      <c r="B210" s="11"/>
      <c r="C210" s="39"/>
      <c r="D210" s="39"/>
      <c r="E210" s="39"/>
      <c r="F210" s="39"/>
      <c r="G210" s="40"/>
    </row>
    <row r="211" spans="1:7" x14ac:dyDescent="0.35">
      <c r="A211" s="10"/>
      <c r="B211" s="11"/>
      <c r="C211" s="41"/>
      <c r="D211" s="39"/>
      <c r="E211" s="39"/>
      <c r="F211" s="41"/>
      <c r="G211" s="42"/>
    </row>
    <row r="212" spans="1:7" x14ac:dyDescent="0.35">
      <c r="A212" s="10"/>
      <c r="B212" s="11"/>
      <c r="C212" s="41"/>
      <c r="D212" s="39"/>
      <c r="E212" s="39"/>
      <c r="F212" s="41"/>
      <c r="G212" s="42"/>
    </row>
    <row r="213" spans="1:7" x14ac:dyDescent="0.35">
      <c r="A213" s="10"/>
      <c r="B213" s="11"/>
      <c r="C213" s="41"/>
      <c r="D213" s="39"/>
      <c r="E213" s="39"/>
      <c r="F213" s="41"/>
      <c r="G213" s="42"/>
    </row>
    <row r="214" spans="1:7" x14ac:dyDescent="0.35">
      <c r="A214" s="10"/>
      <c r="B214" s="11"/>
      <c r="C214" s="41"/>
      <c r="D214" s="39"/>
      <c r="E214" s="39"/>
      <c r="F214" s="41"/>
      <c r="G214" s="42"/>
    </row>
    <row r="215" spans="1:7" x14ac:dyDescent="0.35">
      <c r="A215" s="10"/>
      <c r="B215" s="11"/>
      <c r="C215" s="41"/>
      <c r="D215" s="39"/>
      <c r="E215" s="39"/>
      <c r="F215" s="41"/>
      <c r="G215" s="42"/>
    </row>
    <row r="216" spans="1:7" x14ac:dyDescent="0.35">
      <c r="A216" s="10"/>
      <c r="B216" s="11"/>
      <c r="C216" s="39"/>
      <c r="D216" s="39"/>
      <c r="E216" s="39"/>
      <c r="F216" s="39"/>
      <c r="G216" s="40"/>
    </row>
    <row r="217" spans="1:7" x14ac:dyDescent="0.35">
      <c r="A217" s="10"/>
      <c r="B217" s="11"/>
      <c r="C217" s="39"/>
      <c r="D217" s="39"/>
      <c r="E217" s="39"/>
      <c r="F217" s="39"/>
      <c r="G217" s="40"/>
    </row>
    <row r="218" spans="1:7" x14ac:dyDescent="0.35">
      <c r="A218" s="10"/>
      <c r="B218" s="11"/>
      <c r="C218" s="39"/>
      <c r="D218" s="41"/>
      <c r="E218" s="39"/>
      <c r="F218" s="39"/>
      <c r="G218" s="40"/>
    </row>
    <row r="219" spans="1:7" x14ac:dyDescent="0.35">
      <c r="A219" s="10"/>
      <c r="B219" s="11"/>
      <c r="C219" s="39"/>
      <c r="D219" s="39"/>
      <c r="E219" s="39"/>
      <c r="F219" s="39"/>
      <c r="G219" s="40"/>
    </row>
    <row r="220" spans="1:7" x14ac:dyDescent="0.35">
      <c r="A220" s="10"/>
      <c r="B220" s="11"/>
      <c r="C220" s="39"/>
      <c r="D220" s="39"/>
      <c r="E220" s="41"/>
      <c r="F220" s="39"/>
      <c r="G220" s="42"/>
    </row>
    <row r="221" spans="1:7" x14ac:dyDescent="0.35">
      <c r="A221" s="10"/>
      <c r="B221" s="11"/>
      <c r="C221" s="39"/>
      <c r="D221" s="41"/>
      <c r="E221" s="39"/>
      <c r="F221" s="39"/>
      <c r="G221" s="42"/>
    </row>
    <row r="222" spans="1:7" x14ac:dyDescent="0.35">
      <c r="A222" s="10"/>
      <c r="B222" s="11"/>
      <c r="C222" s="39"/>
      <c r="D222" s="41"/>
      <c r="E222" s="39"/>
      <c r="F222" s="39"/>
      <c r="G222" s="40"/>
    </row>
    <row r="223" spans="1:7" x14ac:dyDescent="0.35">
      <c r="A223" s="10"/>
      <c r="B223" s="11"/>
      <c r="C223" s="39"/>
      <c r="D223" s="39"/>
      <c r="E223" s="39"/>
      <c r="F223" s="39"/>
      <c r="G223" s="40"/>
    </row>
    <row r="224" spans="1:7" x14ac:dyDescent="0.35">
      <c r="A224" s="10"/>
      <c r="B224" s="11"/>
      <c r="C224" s="41"/>
      <c r="D224" s="39"/>
      <c r="E224" s="39"/>
      <c r="F224" s="39"/>
      <c r="G224" s="40"/>
    </row>
    <row r="225" spans="1:7" x14ac:dyDescent="0.35">
      <c r="A225" s="10"/>
      <c r="B225" s="11"/>
      <c r="C225" s="39"/>
      <c r="D225" s="39"/>
      <c r="E225" s="39"/>
      <c r="F225" s="39"/>
      <c r="G225" s="40"/>
    </row>
    <row r="226" spans="1:7" x14ac:dyDescent="0.35">
      <c r="A226" s="10"/>
      <c r="B226" s="11"/>
      <c r="C226" s="39"/>
      <c r="D226" s="39"/>
      <c r="E226" s="39"/>
      <c r="F226" s="39"/>
      <c r="G226" s="40"/>
    </row>
    <row r="227" spans="1:7" x14ac:dyDescent="0.35">
      <c r="A227" s="10"/>
      <c r="B227" s="11"/>
      <c r="C227" s="41"/>
      <c r="D227" s="39"/>
      <c r="E227" s="39"/>
      <c r="F227" s="39"/>
      <c r="G227" s="40"/>
    </row>
    <row r="228" spans="1:7" x14ac:dyDescent="0.35">
      <c r="A228" s="10"/>
      <c r="B228" s="11"/>
      <c r="C228" s="39"/>
      <c r="D228" s="39"/>
      <c r="E228" s="41"/>
      <c r="F228" s="39"/>
      <c r="G228" s="40"/>
    </row>
    <row r="229" spans="1:7" x14ac:dyDescent="0.35">
      <c r="A229" s="10"/>
      <c r="B229" s="11"/>
      <c r="C229" s="41"/>
      <c r="D229" s="39"/>
      <c r="E229" s="39"/>
      <c r="F229" s="39"/>
      <c r="G229" s="40"/>
    </row>
    <row r="230" spans="1:7" x14ac:dyDescent="0.35">
      <c r="A230" s="10"/>
      <c r="B230" s="11"/>
      <c r="C230" s="41"/>
      <c r="D230" s="39"/>
      <c r="E230" s="41"/>
      <c r="F230" s="39"/>
      <c r="G230" s="40"/>
    </row>
    <row r="231" spans="1:7" x14ac:dyDescent="0.35">
      <c r="A231" s="10"/>
      <c r="B231" s="11"/>
      <c r="C231" s="41"/>
      <c r="D231" s="39"/>
      <c r="E231" s="41"/>
      <c r="F231" s="39"/>
      <c r="G231" s="40"/>
    </row>
    <row r="232" spans="1:7" x14ac:dyDescent="0.35">
      <c r="A232" s="10"/>
      <c r="B232" s="11"/>
      <c r="C232" s="39"/>
      <c r="D232" s="39"/>
      <c r="E232" s="41"/>
      <c r="F232" s="39"/>
      <c r="G232" s="40"/>
    </row>
    <row r="233" spans="1:7" x14ac:dyDescent="0.35">
      <c r="A233" s="10"/>
      <c r="B233" s="11"/>
      <c r="C233" s="39"/>
      <c r="D233" s="41"/>
      <c r="E233" s="41"/>
      <c r="F233" s="41"/>
      <c r="G233" s="40"/>
    </row>
    <row r="234" spans="1:7" x14ac:dyDescent="0.35">
      <c r="A234" s="10"/>
      <c r="B234" s="11"/>
      <c r="C234" s="39"/>
      <c r="D234" s="39"/>
      <c r="E234" s="39"/>
      <c r="F234" s="39"/>
      <c r="G234" s="40"/>
    </row>
    <row r="235" spans="1:7" x14ac:dyDescent="0.35">
      <c r="A235" s="10"/>
      <c r="B235" s="11"/>
      <c r="C235" s="41"/>
      <c r="D235" s="39"/>
      <c r="E235" s="41"/>
      <c r="F235" s="39"/>
      <c r="G235" s="40"/>
    </row>
    <row r="236" spans="1:7" x14ac:dyDescent="0.35">
      <c r="A236" s="10"/>
      <c r="B236" s="11"/>
      <c r="C236" s="39"/>
      <c r="D236" s="41"/>
      <c r="E236" s="39"/>
      <c r="F236" s="39"/>
      <c r="G236" s="40"/>
    </row>
    <row r="237" spans="1:7" x14ac:dyDescent="0.35">
      <c r="A237" s="10"/>
      <c r="B237" s="11"/>
      <c r="C237" s="39"/>
      <c r="D237" s="39"/>
      <c r="E237" s="41"/>
      <c r="F237" s="39"/>
      <c r="G237" s="40"/>
    </row>
    <row r="238" spans="1:7" x14ac:dyDescent="0.35">
      <c r="A238" s="10"/>
      <c r="B238" s="11"/>
      <c r="C238" s="41"/>
      <c r="D238" s="41"/>
      <c r="E238" s="39"/>
      <c r="F238" s="39"/>
      <c r="G238" s="40"/>
    </row>
    <row r="239" spans="1:7" x14ac:dyDescent="0.35">
      <c r="A239" s="10"/>
      <c r="B239" s="11"/>
      <c r="C239" s="41"/>
      <c r="D239" s="39"/>
      <c r="E239" s="41"/>
      <c r="F239" s="39"/>
      <c r="G239" s="40"/>
    </row>
    <row r="240" spans="1:7" x14ac:dyDescent="0.35">
      <c r="A240" s="10"/>
      <c r="B240" s="11"/>
      <c r="C240" s="39"/>
      <c r="D240" s="41"/>
      <c r="E240" s="39"/>
      <c r="F240" s="39"/>
      <c r="G240" s="42"/>
    </row>
    <row r="241" spans="1:7" x14ac:dyDescent="0.35">
      <c r="A241" s="10"/>
      <c r="B241" s="11"/>
      <c r="C241" s="39"/>
      <c r="D241" s="39"/>
      <c r="E241" s="41"/>
      <c r="F241" s="39"/>
      <c r="G241" s="40"/>
    </row>
    <row r="242" spans="1:7" x14ac:dyDescent="0.35">
      <c r="A242" s="10"/>
      <c r="B242" s="11"/>
      <c r="C242" s="39"/>
      <c r="D242" s="39"/>
      <c r="E242" s="39"/>
      <c r="F242" s="39"/>
      <c r="G242" s="40"/>
    </row>
    <row r="243" spans="1:7" x14ac:dyDescent="0.35">
      <c r="A243" s="10"/>
      <c r="B243" s="11"/>
      <c r="C243" s="39"/>
      <c r="D243" s="39"/>
      <c r="E243" s="39"/>
      <c r="F243" s="39"/>
      <c r="G243" s="40"/>
    </row>
    <row r="244" spans="1:7" x14ac:dyDescent="0.35">
      <c r="A244" s="10"/>
      <c r="B244" s="11"/>
      <c r="C244" s="39"/>
      <c r="D244" s="39"/>
      <c r="E244" s="39"/>
      <c r="F244" s="39"/>
      <c r="G244" s="40"/>
    </row>
    <row r="245" spans="1:7" x14ac:dyDescent="0.35">
      <c r="A245" s="10"/>
      <c r="B245" s="11"/>
      <c r="C245" s="39"/>
      <c r="D245" s="39"/>
      <c r="E245" s="41"/>
      <c r="F245" s="39"/>
      <c r="G245" s="40"/>
    </row>
    <row r="246" spans="1:7" x14ac:dyDescent="0.35">
      <c r="A246" s="10"/>
      <c r="B246" s="11"/>
      <c r="C246" s="39"/>
      <c r="D246" s="41"/>
      <c r="E246" s="39"/>
      <c r="F246" s="39"/>
      <c r="G246" s="40"/>
    </row>
    <row r="247" spans="1:7" x14ac:dyDescent="0.35">
      <c r="A247" s="10"/>
      <c r="B247" s="11"/>
      <c r="C247" s="39"/>
      <c r="D247" s="39"/>
      <c r="E247" s="39"/>
      <c r="F247" s="39"/>
      <c r="G247" s="40"/>
    </row>
    <row r="248" spans="1:7" x14ac:dyDescent="0.35">
      <c r="A248" s="10"/>
      <c r="B248" s="11"/>
      <c r="C248" s="39"/>
      <c r="D248" s="41"/>
      <c r="E248" s="39"/>
      <c r="F248" s="39"/>
      <c r="G248" s="40"/>
    </row>
    <row r="249" spans="1:7" x14ac:dyDescent="0.35">
      <c r="A249" s="10"/>
      <c r="B249" s="11"/>
      <c r="C249" s="39"/>
      <c r="D249" s="39"/>
      <c r="E249" s="39"/>
      <c r="F249" s="39"/>
      <c r="G249" s="40"/>
    </row>
    <row r="250" spans="1:7" x14ac:dyDescent="0.35">
      <c r="A250" s="10"/>
      <c r="B250" s="11"/>
      <c r="C250" s="39"/>
      <c r="D250" s="41"/>
      <c r="E250" s="39"/>
      <c r="F250" s="39"/>
      <c r="G250" s="40"/>
    </row>
    <row r="251" spans="1:7" x14ac:dyDescent="0.35">
      <c r="A251" s="10"/>
      <c r="B251" s="11"/>
      <c r="C251" s="41"/>
      <c r="D251" s="41"/>
      <c r="E251" s="39"/>
      <c r="F251" s="39"/>
      <c r="G251" s="40"/>
    </row>
    <row r="252" spans="1:7" x14ac:dyDescent="0.35">
      <c r="A252" s="10"/>
      <c r="B252" s="11"/>
      <c r="C252" s="41"/>
      <c r="D252" s="41"/>
      <c r="E252" s="39"/>
      <c r="F252" s="39"/>
      <c r="G252" s="40"/>
    </row>
    <row r="253" spans="1:7" x14ac:dyDescent="0.35">
      <c r="A253" s="10"/>
      <c r="B253" s="11"/>
      <c r="C253" s="39"/>
      <c r="D253" s="41"/>
      <c r="E253" s="39"/>
      <c r="F253" s="39"/>
      <c r="G253" s="40"/>
    </row>
    <row r="254" spans="1:7" x14ac:dyDescent="0.35">
      <c r="A254" s="10"/>
      <c r="B254" s="11"/>
      <c r="C254" s="39"/>
      <c r="D254" s="39"/>
      <c r="E254" s="41"/>
      <c r="F254" s="39"/>
      <c r="G254" s="40"/>
    </row>
    <row r="255" spans="1:7" x14ac:dyDescent="0.35">
      <c r="A255" s="10"/>
      <c r="B255" s="11"/>
      <c r="C255" s="39"/>
      <c r="D255" s="39"/>
      <c r="E255" s="41"/>
      <c r="F255" s="39"/>
      <c r="G255" s="40"/>
    </row>
    <row r="256" spans="1:7" x14ac:dyDescent="0.35">
      <c r="A256" s="10"/>
      <c r="B256" s="11"/>
      <c r="C256" s="39"/>
      <c r="D256" s="41"/>
      <c r="E256" s="39"/>
      <c r="F256" s="39"/>
      <c r="G256" s="40"/>
    </row>
    <row r="257" spans="1:7" x14ac:dyDescent="0.35">
      <c r="A257" s="10"/>
      <c r="B257" s="11"/>
      <c r="C257" s="39"/>
      <c r="D257" s="39"/>
      <c r="E257" s="39"/>
      <c r="F257" s="39"/>
      <c r="G257" s="40"/>
    </row>
    <row r="258" spans="1:7" x14ac:dyDescent="0.35">
      <c r="A258" s="10"/>
      <c r="B258" s="11"/>
      <c r="C258" s="39"/>
      <c r="D258" s="39"/>
      <c r="E258" s="39"/>
      <c r="F258" s="39"/>
      <c r="G258" s="40"/>
    </row>
    <row r="259" spans="1:7" x14ac:dyDescent="0.35">
      <c r="A259" s="10"/>
      <c r="B259" s="11"/>
      <c r="C259" s="39"/>
      <c r="D259" s="41"/>
      <c r="E259" s="39"/>
      <c r="F259" s="39"/>
      <c r="G259" s="40"/>
    </row>
    <row r="260" spans="1:7" x14ac:dyDescent="0.35">
      <c r="A260" s="10"/>
      <c r="B260" s="11"/>
      <c r="C260" s="39"/>
      <c r="D260" s="39"/>
      <c r="E260" s="39"/>
      <c r="F260" s="39"/>
      <c r="G260" s="40"/>
    </row>
    <row r="261" spans="1:7" x14ac:dyDescent="0.35">
      <c r="A261" s="10"/>
      <c r="B261" s="11"/>
      <c r="C261" s="39"/>
      <c r="D261" s="41"/>
      <c r="E261" s="39"/>
      <c r="F261" s="39"/>
      <c r="G261" s="40"/>
    </row>
    <row r="262" spans="1:7" x14ac:dyDescent="0.35">
      <c r="A262" s="10"/>
      <c r="B262" s="11"/>
      <c r="C262" s="39"/>
      <c r="D262" s="39"/>
      <c r="E262" s="41"/>
      <c r="F262" s="39"/>
      <c r="G262" s="40"/>
    </row>
    <row r="263" spans="1:7" x14ac:dyDescent="0.35">
      <c r="A263" s="10"/>
      <c r="B263" s="11"/>
      <c r="C263" s="39"/>
      <c r="D263" s="39"/>
      <c r="E263" s="41"/>
      <c r="F263" s="39"/>
      <c r="G263" s="40"/>
    </row>
    <row r="264" spans="1:7" x14ac:dyDescent="0.35">
      <c r="A264" s="10"/>
      <c r="B264" s="11"/>
      <c r="C264" s="41"/>
      <c r="D264" s="41"/>
      <c r="E264" s="39"/>
      <c r="F264" s="39"/>
      <c r="G264" s="40"/>
    </row>
    <row r="265" spans="1:7" x14ac:dyDescent="0.35">
      <c r="A265" s="10"/>
      <c r="B265" s="11"/>
      <c r="C265" s="41"/>
      <c r="D265" s="41"/>
      <c r="E265" s="39"/>
      <c r="F265" s="39"/>
      <c r="G265" s="40"/>
    </row>
    <row r="266" spans="1:7" x14ac:dyDescent="0.35">
      <c r="A266" s="10"/>
      <c r="B266" s="11"/>
      <c r="C266" s="39"/>
      <c r="D266" s="41"/>
      <c r="E266" s="39"/>
      <c r="F266" s="39"/>
      <c r="G266" s="40"/>
    </row>
    <row r="267" spans="1:7" x14ac:dyDescent="0.35">
      <c r="A267" s="10"/>
      <c r="B267" s="11"/>
      <c r="C267" s="39"/>
      <c r="D267" s="39"/>
      <c r="E267" s="41"/>
      <c r="F267" s="39"/>
      <c r="G267" s="40"/>
    </row>
    <row r="268" spans="1:7" x14ac:dyDescent="0.35">
      <c r="A268" s="10"/>
      <c r="B268" s="11"/>
      <c r="C268" s="41"/>
      <c r="D268" s="41"/>
      <c r="E268" s="39"/>
      <c r="F268" s="39"/>
      <c r="G268" s="40"/>
    </row>
    <row r="269" spans="1:7" x14ac:dyDescent="0.35">
      <c r="A269" s="10"/>
      <c r="B269" s="11"/>
      <c r="C269" s="39"/>
      <c r="D269" s="39"/>
      <c r="E269" s="41"/>
      <c r="F269" s="39"/>
      <c r="G269" s="40"/>
    </row>
    <row r="270" spans="1:7" x14ac:dyDescent="0.35">
      <c r="A270" s="10"/>
      <c r="B270" s="11"/>
      <c r="C270" s="39"/>
      <c r="D270" s="41"/>
      <c r="E270" s="39"/>
      <c r="F270" s="39"/>
      <c r="G270" s="40"/>
    </row>
    <row r="271" spans="1:7" x14ac:dyDescent="0.35">
      <c r="A271" s="10"/>
      <c r="B271" s="11"/>
      <c r="C271" s="41"/>
      <c r="D271" s="39"/>
      <c r="E271" s="41"/>
      <c r="F271" s="39"/>
      <c r="G271" s="40"/>
    </row>
    <row r="272" spans="1:7" x14ac:dyDescent="0.35">
      <c r="A272" s="10"/>
      <c r="B272" s="11"/>
      <c r="C272" s="41"/>
      <c r="D272" s="41"/>
      <c r="E272" s="39"/>
      <c r="F272" s="39"/>
      <c r="G272" s="40"/>
    </row>
    <row r="273" spans="1:7" x14ac:dyDescent="0.35">
      <c r="A273" s="10"/>
      <c r="B273" s="11"/>
      <c r="C273" s="39"/>
      <c r="D273" s="39"/>
      <c r="E273" s="39"/>
      <c r="F273" s="39"/>
      <c r="G273" s="40"/>
    </row>
    <row r="274" spans="1:7" x14ac:dyDescent="0.35">
      <c r="A274" s="10"/>
      <c r="B274" s="11"/>
      <c r="C274" s="41"/>
      <c r="D274" s="39"/>
      <c r="E274" s="39"/>
      <c r="F274" s="39"/>
      <c r="G274" s="40"/>
    </row>
    <row r="275" spans="1:7" x14ac:dyDescent="0.35">
      <c r="A275" s="10"/>
      <c r="B275" s="11"/>
      <c r="C275" s="39"/>
      <c r="D275" s="39"/>
      <c r="E275" s="39"/>
      <c r="F275" s="39"/>
      <c r="G275" s="40"/>
    </row>
    <row r="276" spans="1:7" x14ac:dyDescent="0.35">
      <c r="A276" s="10"/>
      <c r="B276" s="11"/>
      <c r="C276" s="39"/>
      <c r="D276" s="39"/>
      <c r="E276" s="39"/>
      <c r="F276" s="39"/>
      <c r="G276" s="40"/>
    </row>
    <row r="277" spans="1:7" x14ac:dyDescent="0.35">
      <c r="A277" s="10"/>
      <c r="B277" s="11"/>
      <c r="C277" s="41"/>
      <c r="D277" s="39"/>
      <c r="E277" s="39"/>
      <c r="F277" s="39"/>
      <c r="G277" s="40"/>
    </row>
    <row r="278" spans="1:7" x14ac:dyDescent="0.35">
      <c r="A278" s="10"/>
      <c r="B278" s="11"/>
      <c r="C278" s="41"/>
      <c r="D278" s="39"/>
      <c r="E278" s="39"/>
      <c r="F278" s="39"/>
      <c r="G278" s="40"/>
    </row>
    <row r="279" spans="1:7" x14ac:dyDescent="0.35">
      <c r="A279" s="10"/>
      <c r="B279" s="11"/>
      <c r="C279" s="39"/>
      <c r="D279" s="39"/>
      <c r="E279" s="41"/>
      <c r="F279" s="39"/>
      <c r="G279" s="40"/>
    </row>
    <row r="280" spans="1:7" x14ac:dyDescent="0.35">
      <c r="A280" s="10"/>
      <c r="B280" s="11"/>
      <c r="C280" s="39"/>
      <c r="D280" s="39"/>
      <c r="E280" s="39"/>
      <c r="F280" s="39"/>
      <c r="G280" s="40"/>
    </row>
    <row r="281" spans="1:7" x14ac:dyDescent="0.35">
      <c r="A281" s="10"/>
      <c r="B281" s="11"/>
      <c r="C281" s="41"/>
      <c r="D281" s="39"/>
      <c r="E281" s="41"/>
      <c r="F281" s="39"/>
      <c r="G281" s="40"/>
    </row>
    <row r="282" spans="1:7" x14ac:dyDescent="0.35">
      <c r="A282" s="10"/>
      <c r="B282" s="11"/>
      <c r="C282" s="41"/>
      <c r="D282" s="39"/>
      <c r="E282" s="41"/>
      <c r="F282" s="39"/>
      <c r="G282" s="40"/>
    </row>
    <row r="283" spans="1:7" x14ac:dyDescent="0.35">
      <c r="A283" s="10"/>
      <c r="B283" s="11"/>
      <c r="C283" s="39"/>
      <c r="D283" s="39"/>
      <c r="E283" s="41"/>
      <c r="F283" s="39"/>
      <c r="G283" s="40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86988d4-be3b-4ec2-b594-a5e71ab61a46}" enabled="1" method="Privileged" siteId="{3ef37b1d-05c0-422c-a5e3-242605904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Apuração</vt:lpstr>
      <vt:lpstr>Bal 06.2026</vt:lpstr>
      <vt:lpstr>Bal 052026</vt:lpstr>
      <vt:lpstr>Bal 042026</vt:lpstr>
      <vt:lpstr>Bal 032026</vt:lpstr>
      <vt:lpstr>Bal 022026</vt:lpstr>
      <vt:lpstr>Bal 012026</vt:lpstr>
      <vt:lpstr>Bal 12.2026</vt:lpstr>
      <vt:lpstr>Bal 11.2026</vt:lpstr>
      <vt:lpstr>Bal 10.2026</vt:lpstr>
      <vt:lpstr>Bal 09.2026</vt:lpstr>
      <vt:lpstr>Bal 08.2026</vt:lpstr>
      <vt:lpstr>Bal 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Melo Diniz</dc:creator>
  <cp:lastModifiedBy>Fabiana Nascimento Carneiro de Oliveira</cp:lastModifiedBy>
  <cp:lastPrinted>2025-08-15T13:49:04Z</cp:lastPrinted>
  <dcterms:created xsi:type="dcterms:W3CDTF">2024-07-03T10:56:05Z</dcterms:created>
  <dcterms:modified xsi:type="dcterms:W3CDTF">2026-07-02T01:01:38Z</dcterms:modified>
</cp:coreProperties>
</file>