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SCAL\26 - SOMPO SERVICES (VISTOMAR)\2026\Faturamento - Prest de Serviço\"/>
    </mc:Choice>
  </mc:AlternateContent>
  <xr:revisionPtr revIDLastSave="0" documentId="8_{F1FAC865-F624-469D-9970-FBA83E3E0039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esumo" sheetId="50" r:id="rId1"/>
    <sheet name="FATURAMENTO" sheetId="97" r:id="rId2"/>
    <sheet name="RECEBIMENTO" sheetId="98" r:id="rId3"/>
    <sheet name="Conciliação" sheetId="99" r:id="rId4"/>
  </sheets>
  <externalReferences>
    <externalReference r:id="rId5"/>
    <externalReference r:id="rId6"/>
    <externalReference r:id="rId7"/>
  </externalReferences>
  <definedNames>
    <definedName name="_xlnm._FilterDatabase" localSheetId="1" hidden="1">FATURAMENTO!$A$4:$V$157</definedName>
    <definedName name="_xlnm._FilterDatabase" localSheetId="2" hidden="1">RECEBIMENTO!$A$4:$U$156</definedName>
    <definedName name="_xlnm.Print_Area" localSheetId="1">FATURAMENTO!$B$1:$N$98</definedName>
    <definedName name="_xlnm.Print_Area" localSheetId="2">RECEBIMENTO!$B$1:$N$66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9" i="98" l="1"/>
  <c r="J109" i="98"/>
  <c r="I109" i="98"/>
  <c r="K128" i="98"/>
  <c r="J128" i="98"/>
  <c r="I128" i="98"/>
  <c r="K126" i="98"/>
  <c r="J126" i="98"/>
  <c r="I126" i="98"/>
  <c r="K125" i="98"/>
  <c r="J125" i="98"/>
  <c r="I125" i="98"/>
  <c r="K124" i="98"/>
  <c r="J124" i="98"/>
  <c r="I124" i="98"/>
  <c r="K123" i="98"/>
  <c r="J123" i="98"/>
  <c r="I123" i="98"/>
  <c r="K122" i="98"/>
  <c r="J122" i="98"/>
  <c r="I122" i="98"/>
  <c r="K95" i="98"/>
  <c r="J95" i="98"/>
  <c r="I95" i="98"/>
  <c r="L95" i="98" s="1"/>
  <c r="K119" i="98"/>
  <c r="J119" i="98"/>
  <c r="I119" i="98"/>
  <c r="K107" i="98"/>
  <c r="J107" i="98"/>
  <c r="I107" i="98"/>
  <c r="K117" i="98"/>
  <c r="J117" i="98"/>
  <c r="I117" i="98"/>
  <c r="K112" i="98"/>
  <c r="J112" i="98"/>
  <c r="I112" i="98"/>
  <c r="L112" i="98" s="1"/>
  <c r="K116" i="98"/>
  <c r="J116" i="98"/>
  <c r="I116" i="98"/>
  <c r="K114" i="98"/>
  <c r="J114" i="98"/>
  <c r="I114" i="98"/>
  <c r="K118" i="98"/>
  <c r="J118" i="98"/>
  <c r="I118" i="98"/>
  <c r="K110" i="98"/>
  <c r="J110" i="98"/>
  <c r="I110" i="98"/>
  <c r="L110" i="98" s="1"/>
  <c r="K113" i="98"/>
  <c r="J113" i="98"/>
  <c r="I113" i="98"/>
  <c r="K103" i="98"/>
  <c r="J103" i="98"/>
  <c r="I103" i="98"/>
  <c r="K100" i="98"/>
  <c r="J100" i="98"/>
  <c r="I100" i="98"/>
  <c r="K108" i="98"/>
  <c r="J108" i="98"/>
  <c r="I108" i="98"/>
  <c r="L108" i="98" s="1"/>
  <c r="K104" i="98"/>
  <c r="J104" i="98"/>
  <c r="I104" i="98"/>
  <c r="K106" i="98"/>
  <c r="J106" i="98"/>
  <c r="I106" i="98"/>
  <c r="K131" i="98"/>
  <c r="J131" i="98"/>
  <c r="I131" i="98"/>
  <c r="K96" i="98"/>
  <c r="J96" i="98"/>
  <c r="I96" i="98"/>
  <c r="L96" i="98" s="1"/>
  <c r="K97" i="98"/>
  <c r="J97" i="98"/>
  <c r="I97" i="98"/>
  <c r="K102" i="98"/>
  <c r="J102" i="98"/>
  <c r="I102" i="98"/>
  <c r="K101" i="98"/>
  <c r="J101" i="98"/>
  <c r="I101" i="98"/>
  <c r="K111" i="98"/>
  <c r="J111" i="98"/>
  <c r="I111" i="98"/>
  <c r="L111" i="98" s="1"/>
  <c r="K120" i="98"/>
  <c r="J120" i="98"/>
  <c r="I120" i="98"/>
  <c r="K105" i="98"/>
  <c r="J105" i="98"/>
  <c r="I105" i="98"/>
  <c r="K99" i="98"/>
  <c r="J99" i="98"/>
  <c r="I99" i="98"/>
  <c r="K115" i="98"/>
  <c r="J115" i="98"/>
  <c r="I115" i="98"/>
  <c r="L115" i="98" s="1"/>
  <c r="K94" i="98"/>
  <c r="J94" i="98"/>
  <c r="I94" i="98"/>
  <c r="I92" i="98"/>
  <c r="N9" i="99"/>
  <c r="J9" i="99"/>
  <c r="N46" i="97"/>
  <c r="N25" i="97"/>
  <c r="N154" i="97"/>
  <c r="O154" i="97" s="1"/>
  <c r="N153" i="97"/>
  <c r="O153" i="97" s="1"/>
  <c r="N152" i="97"/>
  <c r="O152" i="97" s="1"/>
  <c r="N151" i="97"/>
  <c r="O151" i="97" s="1"/>
  <c r="N150" i="97"/>
  <c r="O150" i="97" s="1"/>
  <c r="N149" i="97"/>
  <c r="O149" i="97" s="1"/>
  <c r="N148" i="97"/>
  <c r="O148" i="97" s="1"/>
  <c r="N147" i="97"/>
  <c r="O147" i="97" s="1"/>
  <c r="N145" i="97"/>
  <c r="O145" i="97" s="1"/>
  <c r="N144" i="97"/>
  <c r="O144" i="97" s="1"/>
  <c r="N141" i="97"/>
  <c r="O141" i="97" s="1"/>
  <c r="N140" i="97"/>
  <c r="O140" i="97" s="1"/>
  <c r="N139" i="97"/>
  <c r="O139" i="97" s="1"/>
  <c r="N138" i="97"/>
  <c r="O138" i="97" s="1"/>
  <c r="N135" i="97"/>
  <c r="O135" i="97" s="1"/>
  <c r="N134" i="97"/>
  <c r="O134" i="97" s="1"/>
  <c r="N133" i="97"/>
  <c r="O133" i="97" s="1"/>
  <c r="N132" i="97"/>
  <c r="O132" i="97" s="1"/>
  <c r="N131" i="97"/>
  <c r="O131" i="97" s="1"/>
  <c r="N130" i="97"/>
  <c r="O130" i="97" s="1"/>
  <c r="N129" i="97"/>
  <c r="O129" i="97" s="1"/>
  <c r="N128" i="97"/>
  <c r="O128" i="97" s="1"/>
  <c r="N126" i="97"/>
  <c r="O126" i="97" s="1"/>
  <c r="N125" i="97"/>
  <c r="O125" i="97" s="1"/>
  <c r="N124" i="97"/>
  <c r="O124" i="97" s="1"/>
  <c r="N123" i="97"/>
  <c r="O123" i="97" s="1"/>
  <c r="N122" i="97"/>
  <c r="O122" i="97" s="1"/>
  <c r="N121" i="97"/>
  <c r="O121" i="97" s="1"/>
  <c r="N120" i="97"/>
  <c r="O120" i="97" s="1"/>
  <c r="N118" i="97"/>
  <c r="O118" i="97" s="1"/>
  <c r="M156" i="97"/>
  <c r="L156" i="97"/>
  <c r="M155" i="97"/>
  <c r="L155" i="97"/>
  <c r="M154" i="97"/>
  <c r="L154" i="97"/>
  <c r="M153" i="97"/>
  <c r="L153" i="97"/>
  <c r="M152" i="97"/>
  <c r="L152" i="97"/>
  <c r="M151" i="97"/>
  <c r="L151" i="97"/>
  <c r="M150" i="97"/>
  <c r="L150" i="97"/>
  <c r="M149" i="97"/>
  <c r="L149" i="97"/>
  <c r="M148" i="97"/>
  <c r="L148" i="97"/>
  <c r="M147" i="97"/>
  <c r="L147" i="97"/>
  <c r="M146" i="97"/>
  <c r="L146" i="97"/>
  <c r="M145" i="97"/>
  <c r="L145" i="97"/>
  <c r="M144" i="97"/>
  <c r="L144" i="97"/>
  <c r="M143" i="97"/>
  <c r="L143" i="97"/>
  <c r="M142" i="97"/>
  <c r="L142" i="97"/>
  <c r="M141" i="97"/>
  <c r="L141" i="97"/>
  <c r="M140" i="97"/>
  <c r="L140" i="97"/>
  <c r="M139" i="97"/>
  <c r="L139" i="97"/>
  <c r="M138" i="97"/>
  <c r="L138" i="97"/>
  <c r="M137" i="97"/>
  <c r="L137" i="97"/>
  <c r="M136" i="97"/>
  <c r="L136" i="97"/>
  <c r="M135" i="97"/>
  <c r="L135" i="97"/>
  <c r="M134" i="97"/>
  <c r="L134" i="97"/>
  <c r="M133" i="97"/>
  <c r="L133" i="97"/>
  <c r="M132" i="97"/>
  <c r="L132" i="97"/>
  <c r="M131" i="97"/>
  <c r="L131" i="97"/>
  <c r="M130" i="97"/>
  <c r="L130" i="97"/>
  <c r="M129" i="97"/>
  <c r="L129" i="97"/>
  <c r="M128" i="97"/>
  <c r="L128" i="97"/>
  <c r="M127" i="97"/>
  <c r="L127" i="97"/>
  <c r="M126" i="97"/>
  <c r="L126" i="97"/>
  <c r="M125" i="97"/>
  <c r="L125" i="97"/>
  <c r="M124" i="97"/>
  <c r="L124" i="97"/>
  <c r="M123" i="97"/>
  <c r="L123" i="97"/>
  <c r="M122" i="97"/>
  <c r="L122" i="97"/>
  <c r="M121" i="97"/>
  <c r="L121" i="97"/>
  <c r="M120" i="97"/>
  <c r="L120" i="97"/>
  <c r="M119" i="97"/>
  <c r="L119" i="97"/>
  <c r="M118" i="97"/>
  <c r="L118" i="97"/>
  <c r="M117" i="97"/>
  <c r="L117" i="97"/>
  <c r="L99" i="98" l="1"/>
  <c r="L101" i="98"/>
  <c r="L131" i="98"/>
  <c r="L100" i="98"/>
  <c r="L118" i="98"/>
  <c r="L122" i="98"/>
  <c r="L126" i="98"/>
  <c r="L125" i="98"/>
  <c r="L117" i="98"/>
  <c r="L94" i="98"/>
  <c r="L120" i="98"/>
  <c r="L97" i="98"/>
  <c r="L104" i="98"/>
  <c r="L113" i="98"/>
  <c r="L116" i="98"/>
  <c r="L124" i="98"/>
  <c r="L109" i="98"/>
  <c r="L119" i="98"/>
  <c r="L105" i="98"/>
  <c r="L102" i="98"/>
  <c r="L106" i="98"/>
  <c r="L103" i="98"/>
  <c r="L114" i="98"/>
  <c r="L107" i="98"/>
  <c r="L123" i="98"/>
  <c r="L128" i="98"/>
  <c r="I157" i="97"/>
  <c r="I109" i="97"/>
  <c r="K157" i="97"/>
  <c r="J157" i="97"/>
  <c r="H157" i="97"/>
  <c r="J109" i="97"/>
  <c r="K109" i="97"/>
  <c r="N8" i="99"/>
  <c r="J8" i="99"/>
  <c r="F15" i="99"/>
  <c r="F14" i="99"/>
  <c r="F13" i="99"/>
  <c r="F12" i="99"/>
  <c r="F11" i="99"/>
  <c r="F10" i="99"/>
  <c r="F9" i="99"/>
  <c r="F8" i="99"/>
  <c r="F7" i="99"/>
  <c r="K84" i="98"/>
  <c r="J84" i="98"/>
  <c r="I84" i="98"/>
  <c r="H84" i="98"/>
  <c r="A84" i="98"/>
  <c r="A13" i="97"/>
  <c r="K85" i="98"/>
  <c r="J85" i="98"/>
  <c r="I85" i="98"/>
  <c r="H85" i="98"/>
  <c r="A85" i="98"/>
  <c r="K86" i="98"/>
  <c r="J86" i="98"/>
  <c r="I86" i="98"/>
  <c r="H86" i="98"/>
  <c r="A86" i="98"/>
  <c r="M88" i="98"/>
  <c r="L88" i="98"/>
  <c r="A88" i="98"/>
  <c r="K87" i="98"/>
  <c r="J87" i="98"/>
  <c r="I87" i="98"/>
  <c r="H87" i="98"/>
  <c r="A87" i="98"/>
  <c r="B15" i="99"/>
  <c r="B14" i="99"/>
  <c r="B13" i="99"/>
  <c r="B12" i="99"/>
  <c r="B11" i="99"/>
  <c r="B10" i="99"/>
  <c r="B9" i="99"/>
  <c r="B8" i="99"/>
  <c r="B7" i="99"/>
  <c r="B6" i="99"/>
  <c r="B5" i="99"/>
  <c r="B4" i="99"/>
  <c r="K133" i="98"/>
  <c r="J133" i="98"/>
  <c r="I133" i="98"/>
  <c r="H133" i="98"/>
  <c r="A133" i="98"/>
  <c r="R91" i="98"/>
  <c r="K91" i="98"/>
  <c r="J91" i="98"/>
  <c r="I91" i="98"/>
  <c r="H91" i="98"/>
  <c r="R144" i="98"/>
  <c r="M144" i="98"/>
  <c r="L144" i="98"/>
  <c r="R90" i="98"/>
  <c r="K90" i="98"/>
  <c r="J90" i="98"/>
  <c r="I90" i="98"/>
  <c r="H90" i="98"/>
  <c r="R134" i="98"/>
  <c r="K134" i="98"/>
  <c r="J134" i="98"/>
  <c r="I134" i="98"/>
  <c r="K9" i="98"/>
  <c r="J9" i="98"/>
  <c r="I9" i="98"/>
  <c r="H9" i="98"/>
  <c r="R89" i="98"/>
  <c r="K89" i="98"/>
  <c r="J89" i="98"/>
  <c r="I89" i="98"/>
  <c r="H89" i="98"/>
  <c r="K143" i="98"/>
  <c r="J143" i="98"/>
  <c r="I143" i="98"/>
  <c r="H143" i="98"/>
  <c r="K83" i="98"/>
  <c r="J83" i="98"/>
  <c r="I83" i="98"/>
  <c r="K82" i="98"/>
  <c r="J82" i="98"/>
  <c r="I82" i="98"/>
  <c r="M81" i="98"/>
  <c r="L81" i="98"/>
  <c r="M142" i="98"/>
  <c r="L142" i="98"/>
  <c r="K80" i="98"/>
  <c r="J80" i="98"/>
  <c r="I80" i="98"/>
  <c r="H80" i="98"/>
  <c r="K79" i="98"/>
  <c r="J79" i="98"/>
  <c r="I79" i="98"/>
  <c r="H79" i="98"/>
  <c r="M78" i="98"/>
  <c r="L78" i="98"/>
  <c r="K77" i="98"/>
  <c r="J77" i="98"/>
  <c r="I77" i="98"/>
  <c r="H77" i="98"/>
  <c r="K141" i="98"/>
  <c r="J141" i="98"/>
  <c r="I141" i="98"/>
  <c r="K76" i="98"/>
  <c r="J76" i="98"/>
  <c r="I76" i="98"/>
  <c r="H76" i="98"/>
  <c r="K140" i="98"/>
  <c r="J140" i="98"/>
  <c r="I140" i="98"/>
  <c r="H140" i="98"/>
  <c r="K75" i="98"/>
  <c r="J75" i="98"/>
  <c r="I75" i="98"/>
  <c r="H75" i="98"/>
  <c r="M74" i="98"/>
  <c r="L74" i="98"/>
  <c r="K73" i="98"/>
  <c r="J73" i="98"/>
  <c r="I73" i="98"/>
  <c r="H73" i="98"/>
  <c r="K72" i="98"/>
  <c r="J72" i="98"/>
  <c r="I72" i="98"/>
  <c r="H72" i="98"/>
  <c r="K71" i="98"/>
  <c r="J71" i="98"/>
  <c r="I71" i="98"/>
  <c r="K92" i="98"/>
  <c r="J92" i="98"/>
  <c r="K70" i="98"/>
  <c r="J70" i="98"/>
  <c r="I70" i="98"/>
  <c r="K69" i="98"/>
  <c r="J69" i="98"/>
  <c r="I69" i="98"/>
  <c r="H69" i="98"/>
  <c r="K68" i="98"/>
  <c r="J68" i="98"/>
  <c r="I68" i="98"/>
  <c r="H68" i="98"/>
  <c r="K67" i="98"/>
  <c r="J67" i="98"/>
  <c r="I67" i="98"/>
  <c r="H67" i="98"/>
  <c r="K66" i="98"/>
  <c r="J66" i="98"/>
  <c r="I66" i="98"/>
  <c r="H66" i="98"/>
  <c r="K65" i="98"/>
  <c r="J65" i="98"/>
  <c r="I65" i="98"/>
  <c r="H65" i="98"/>
  <c r="K64" i="98"/>
  <c r="J64" i="98"/>
  <c r="I64" i="98"/>
  <c r="H64" i="98"/>
  <c r="K63" i="98"/>
  <c r="J63" i="98"/>
  <c r="I63" i="98"/>
  <c r="H63" i="98"/>
  <c r="K62" i="98"/>
  <c r="J62" i="98"/>
  <c r="I62" i="98"/>
  <c r="H62" i="98"/>
  <c r="K61" i="98"/>
  <c r="J61" i="98"/>
  <c r="I61" i="98"/>
  <c r="L157" i="97" l="1"/>
  <c r="M157" i="97"/>
  <c r="L140" i="98"/>
  <c r="L87" i="98"/>
  <c r="L85" i="98"/>
  <c r="M85" i="98"/>
  <c r="L84" i="98"/>
  <c r="M84" i="98"/>
  <c r="L86" i="98"/>
  <c r="M86" i="98"/>
  <c r="M87" i="98"/>
  <c r="M134" i="98"/>
  <c r="L80" i="98"/>
  <c r="M62" i="98"/>
  <c r="L77" i="98"/>
  <c r="M73" i="98"/>
  <c r="M63" i="98"/>
  <c r="M65" i="98"/>
  <c r="M68" i="98"/>
  <c r="L73" i="98"/>
  <c r="L63" i="98"/>
  <c r="L65" i="98"/>
  <c r="L68" i="98"/>
  <c r="M76" i="98"/>
  <c r="M83" i="98"/>
  <c r="L71" i="98"/>
  <c r="L76" i="98"/>
  <c r="M79" i="98"/>
  <c r="M82" i="98"/>
  <c r="L79" i="98"/>
  <c r="M66" i="98"/>
  <c r="M61" i="98"/>
  <c r="L66" i="98"/>
  <c r="L69" i="98"/>
  <c r="M75" i="98"/>
  <c r="M69" i="98"/>
  <c r="M92" i="98"/>
  <c r="M140" i="98"/>
  <c r="M143" i="98"/>
  <c r="L134" i="98"/>
  <c r="M91" i="98"/>
  <c r="L91" i="98"/>
  <c r="L90" i="98"/>
  <c r="M90" i="98"/>
  <c r="L75" i="98"/>
  <c r="M141" i="98"/>
  <c r="M89" i="98"/>
  <c r="M64" i="98"/>
  <c r="M67" i="98"/>
  <c r="L70" i="98"/>
  <c r="M72" i="98"/>
  <c r="M133" i="98"/>
  <c r="L62" i="98"/>
  <c r="L64" i="98"/>
  <c r="L67" i="98"/>
  <c r="M77" i="98"/>
  <c r="M80" i="98"/>
  <c r="L9" i="98"/>
  <c r="L92" i="98"/>
  <c r="L82" i="98"/>
  <c r="L61" i="98"/>
  <c r="M70" i="98"/>
  <c r="M71" i="98"/>
  <c r="L141" i="98"/>
  <c r="L143" i="98"/>
  <c r="L72" i="98"/>
  <c r="L83" i="98"/>
  <c r="L89" i="98"/>
  <c r="L133" i="98"/>
  <c r="H109" i="97" l="1"/>
  <c r="A109" i="97"/>
  <c r="K96" i="97"/>
  <c r="J96" i="97"/>
  <c r="I96" i="97"/>
  <c r="K95" i="97"/>
  <c r="J95" i="97"/>
  <c r="I95" i="97"/>
  <c r="L94" i="97"/>
  <c r="M94" i="97"/>
  <c r="L93" i="97"/>
  <c r="K92" i="97"/>
  <c r="J92" i="97"/>
  <c r="I92" i="97"/>
  <c r="H92" i="97"/>
  <c r="K91" i="97"/>
  <c r="J91" i="97"/>
  <c r="I91" i="97"/>
  <c r="H91" i="97"/>
  <c r="L90" i="97"/>
  <c r="M90" i="97"/>
  <c r="K89" i="97"/>
  <c r="J89" i="97"/>
  <c r="I89" i="97"/>
  <c r="H89" i="97"/>
  <c r="K88" i="97"/>
  <c r="J88" i="97"/>
  <c r="I88" i="97"/>
  <c r="K97" i="97"/>
  <c r="J97" i="97"/>
  <c r="I97" i="97"/>
  <c r="H97" i="97"/>
  <c r="K87" i="97"/>
  <c r="J87" i="97"/>
  <c r="I87" i="97"/>
  <c r="H87" i="97"/>
  <c r="K86" i="97"/>
  <c r="J86" i="97"/>
  <c r="I86" i="97"/>
  <c r="H86" i="97"/>
  <c r="K85" i="97"/>
  <c r="J85" i="97"/>
  <c r="I85" i="97"/>
  <c r="H85" i="97"/>
  <c r="L84" i="97"/>
  <c r="K83" i="97"/>
  <c r="J83" i="97"/>
  <c r="I83" i="97"/>
  <c r="H83" i="97"/>
  <c r="K82" i="97"/>
  <c r="J82" i="97"/>
  <c r="I82" i="97"/>
  <c r="H82" i="97"/>
  <c r="K81" i="97"/>
  <c r="J81" i="97"/>
  <c r="I81" i="97"/>
  <c r="M80" i="97"/>
  <c r="K79" i="97"/>
  <c r="J79" i="97"/>
  <c r="I79" i="97"/>
  <c r="K78" i="97"/>
  <c r="J78" i="97"/>
  <c r="I78" i="97"/>
  <c r="K77" i="97"/>
  <c r="J77" i="97"/>
  <c r="I77" i="97"/>
  <c r="H77" i="97"/>
  <c r="K76" i="97"/>
  <c r="J76" i="97"/>
  <c r="I76" i="97"/>
  <c r="H76" i="97"/>
  <c r="K75" i="97"/>
  <c r="J75" i="97"/>
  <c r="I75" i="97"/>
  <c r="H75" i="97"/>
  <c r="K74" i="97"/>
  <c r="J74" i="97"/>
  <c r="I74" i="97"/>
  <c r="H74" i="97"/>
  <c r="K73" i="97"/>
  <c r="J73" i="97"/>
  <c r="I73" i="97"/>
  <c r="H73" i="97"/>
  <c r="K72" i="97"/>
  <c r="J72" i="97"/>
  <c r="I72" i="97"/>
  <c r="H72" i="97"/>
  <c r="K71" i="97"/>
  <c r="J71" i="97"/>
  <c r="I71" i="97"/>
  <c r="H71" i="97"/>
  <c r="K70" i="97"/>
  <c r="J70" i="97"/>
  <c r="I70" i="97"/>
  <c r="H70" i="97"/>
  <c r="K69" i="97"/>
  <c r="J69" i="97"/>
  <c r="I69" i="97"/>
  <c r="H69" i="97"/>
  <c r="K68" i="97"/>
  <c r="J68" i="97"/>
  <c r="I68" i="97"/>
  <c r="R104" i="97"/>
  <c r="R107" i="97"/>
  <c r="K107" i="97"/>
  <c r="J107" i="97"/>
  <c r="I107" i="97"/>
  <c r="H107" i="97"/>
  <c r="R102" i="97"/>
  <c r="R106" i="97"/>
  <c r="R105" i="97"/>
  <c r="K102" i="97"/>
  <c r="J102" i="97"/>
  <c r="I102" i="97"/>
  <c r="H102" i="97"/>
  <c r="K105" i="97"/>
  <c r="J105" i="97"/>
  <c r="I105" i="97"/>
  <c r="H105" i="97"/>
  <c r="K104" i="97"/>
  <c r="J104" i="97"/>
  <c r="I104" i="97"/>
  <c r="K103" i="97"/>
  <c r="J103" i="97"/>
  <c r="I103" i="97"/>
  <c r="H103" i="97"/>
  <c r="L83" i="97" l="1"/>
  <c r="M109" i="97"/>
  <c r="L109" i="97"/>
  <c r="M87" i="97"/>
  <c r="L87" i="97"/>
  <c r="L76" i="97"/>
  <c r="L105" i="97"/>
  <c r="L73" i="97"/>
  <c r="M96" i="97"/>
  <c r="M88" i="97"/>
  <c r="L82" i="97"/>
  <c r="L103" i="97"/>
  <c r="M81" i="97"/>
  <c r="M69" i="97"/>
  <c r="M75" i="97"/>
  <c r="L78" i="97"/>
  <c r="L69" i="97"/>
  <c r="L72" i="97"/>
  <c r="L75" i="97"/>
  <c r="M71" i="97"/>
  <c r="M77" i="97"/>
  <c r="L81" i="97"/>
  <c r="M85" i="97"/>
  <c r="L68" i="97"/>
  <c r="L71" i="97"/>
  <c r="M70" i="97"/>
  <c r="L74" i="97"/>
  <c r="L77" i="97"/>
  <c r="L85" i="97"/>
  <c r="L97" i="97"/>
  <c r="M95" i="97"/>
  <c r="L96" i="97"/>
  <c r="M79" i="97"/>
  <c r="L88" i="97"/>
  <c r="M89" i="97"/>
  <c r="M102" i="97"/>
  <c r="M91" i="97"/>
  <c r="M86" i="97"/>
  <c r="M92" i="97"/>
  <c r="M73" i="97"/>
  <c r="L79" i="97"/>
  <c r="M83" i="97"/>
  <c r="L92" i="97"/>
  <c r="L70" i="97"/>
  <c r="L80" i="97"/>
  <c r="L86" i="97"/>
  <c r="L89" i="97"/>
  <c r="L91" i="97"/>
  <c r="L95" i="97"/>
  <c r="M68" i="97"/>
  <c r="M72" i="97"/>
  <c r="M74" i="97"/>
  <c r="M76" i="97"/>
  <c r="M78" i="97"/>
  <c r="M82" i="97"/>
  <c r="M84" i="97"/>
  <c r="M97" i="97"/>
  <c r="M93" i="97"/>
  <c r="M105" i="97"/>
  <c r="M107" i="97"/>
  <c r="L107" i="97"/>
  <c r="M104" i="97"/>
  <c r="L104" i="97"/>
  <c r="L102" i="97"/>
  <c r="M106" i="97"/>
  <c r="L106" i="97"/>
  <c r="P57" i="98"/>
  <c r="N7" i="99"/>
  <c r="N6" i="99"/>
  <c r="N5" i="99"/>
  <c r="J6" i="99"/>
  <c r="J7" i="99"/>
  <c r="J5" i="99"/>
  <c r="N4" i="99"/>
  <c r="J4" i="99"/>
  <c r="F6" i="99"/>
  <c r="F5" i="99"/>
  <c r="F4" i="99"/>
  <c r="P21" i="98" l="1"/>
  <c r="K21" i="98"/>
  <c r="J21" i="98"/>
  <c r="I21" i="98"/>
  <c r="H21" i="98"/>
  <c r="M21" i="98" l="1"/>
  <c r="L21" i="98"/>
  <c r="P20" i="98"/>
  <c r="H20" i="98"/>
  <c r="I20" i="98"/>
  <c r="J20" i="98"/>
  <c r="K20" i="98"/>
  <c r="M20" i="98" l="1"/>
  <c r="L20" i="98"/>
  <c r="K132" i="98" l="1"/>
  <c r="J132" i="98"/>
  <c r="I132" i="98"/>
  <c r="H132" i="98"/>
  <c r="A132" i="98"/>
  <c r="P56" i="98"/>
  <c r="K56" i="98"/>
  <c r="J56" i="98"/>
  <c r="I56" i="98"/>
  <c r="H56" i="98"/>
  <c r="A56" i="98"/>
  <c r="P55" i="98"/>
  <c r="K55" i="98"/>
  <c r="J55" i="98"/>
  <c r="I55" i="98"/>
  <c r="A55" i="98"/>
  <c r="K58" i="98"/>
  <c r="J58" i="98"/>
  <c r="I58" i="98"/>
  <c r="A58" i="98"/>
  <c r="P54" i="98"/>
  <c r="M54" i="98"/>
  <c r="L54" i="98"/>
  <c r="A54" i="98"/>
  <c r="P53" i="98"/>
  <c r="M53" i="98"/>
  <c r="L53" i="98"/>
  <c r="A53" i="98"/>
  <c r="M139" i="98"/>
  <c r="L139" i="98"/>
  <c r="A139" i="98"/>
  <c r="P52" i="98"/>
  <c r="K52" i="98"/>
  <c r="J52" i="98"/>
  <c r="I52" i="98"/>
  <c r="A52" i="98"/>
  <c r="K138" i="98"/>
  <c r="J138" i="98"/>
  <c r="I138" i="98"/>
  <c r="H138" i="98"/>
  <c r="A138" i="98"/>
  <c r="K57" i="98"/>
  <c r="J57" i="98"/>
  <c r="I57" i="98"/>
  <c r="H57" i="98"/>
  <c r="A57" i="98"/>
  <c r="P51" i="98"/>
  <c r="K51" i="98"/>
  <c r="J51" i="98"/>
  <c r="I51" i="98"/>
  <c r="H51" i="98"/>
  <c r="A51" i="98"/>
  <c r="P50" i="98"/>
  <c r="K50" i="98"/>
  <c r="J50" i="98"/>
  <c r="I50" i="98"/>
  <c r="A50" i="98"/>
  <c r="M59" i="98"/>
  <c r="L59" i="98"/>
  <c r="A59" i="98"/>
  <c r="P49" i="98"/>
  <c r="K49" i="98"/>
  <c r="J49" i="98"/>
  <c r="I49" i="98"/>
  <c r="H49" i="98"/>
  <c r="A49" i="98"/>
  <c r="P48" i="98"/>
  <c r="K48" i="98"/>
  <c r="J48" i="98"/>
  <c r="I48" i="98"/>
  <c r="H48" i="98"/>
  <c r="A48" i="98"/>
  <c r="P47" i="98"/>
  <c r="K47" i="98"/>
  <c r="J47" i="98"/>
  <c r="I47" i="98"/>
  <c r="H47" i="98"/>
  <c r="A47" i="98"/>
  <c r="P46" i="98"/>
  <c r="K46" i="98"/>
  <c r="J46" i="98"/>
  <c r="I46" i="98"/>
  <c r="A46" i="98"/>
  <c r="P45" i="98"/>
  <c r="K45" i="98"/>
  <c r="J45" i="98"/>
  <c r="I45" i="98"/>
  <c r="H45" i="98"/>
  <c r="A45" i="98"/>
  <c r="P44" i="98"/>
  <c r="M44" i="98"/>
  <c r="L44" i="98"/>
  <c r="A44" i="98"/>
  <c r="P42" i="98"/>
  <c r="K42" i="98"/>
  <c r="J42" i="98"/>
  <c r="I42" i="98"/>
  <c r="A42" i="98"/>
  <c r="P41" i="98"/>
  <c r="M41" i="98"/>
  <c r="L41" i="98"/>
  <c r="A41" i="98"/>
  <c r="P40" i="98"/>
  <c r="K40" i="98"/>
  <c r="J40" i="98"/>
  <c r="I40" i="98"/>
  <c r="H40" i="98"/>
  <c r="A40" i="98"/>
  <c r="P39" i="98"/>
  <c r="K39" i="98"/>
  <c r="J39" i="98"/>
  <c r="I39" i="98"/>
  <c r="H39" i="98"/>
  <c r="A39" i="98"/>
  <c r="P38" i="98"/>
  <c r="K38" i="98"/>
  <c r="J38" i="98"/>
  <c r="I38" i="98"/>
  <c r="A38" i="98"/>
  <c r="P37" i="98"/>
  <c r="K37" i="98"/>
  <c r="J37" i="98"/>
  <c r="I37" i="98"/>
  <c r="H37" i="98"/>
  <c r="A37" i="98"/>
  <c r="P36" i="98"/>
  <c r="K36" i="98"/>
  <c r="J36" i="98"/>
  <c r="I36" i="98"/>
  <c r="A36" i="98"/>
  <c r="P35" i="98"/>
  <c r="M35" i="98"/>
  <c r="L35" i="98"/>
  <c r="A35" i="98"/>
  <c r="K137" i="98"/>
  <c r="J137" i="98"/>
  <c r="I137" i="98"/>
  <c r="H137" i="98"/>
  <c r="A137" i="98"/>
  <c r="P34" i="98"/>
  <c r="M34" i="98"/>
  <c r="L34" i="98"/>
  <c r="A34" i="98"/>
  <c r="P43" i="98"/>
  <c r="K43" i="98"/>
  <c r="J43" i="98"/>
  <c r="I43" i="98"/>
  <c r="H43" i="98"/>
  <c r="A43" i="98"/>
  <c r="P33" i="98"/>
  <c r="K33" i="98"/>
  <c r="J33" i="98"/>
  <c r="I33" i="98"/>
  <c r="H33" i="98"/>
  <c r="A33" i="98"/>
  <c r="P32" i="98"/>
  <c r="M32" i="98"/>
  <c r="L32" i="98"/>
  <c r="A32" i="98"/>
  <c r="P31" i="98"/>
  <c r="M31" i="98"/>
  <c r="L31" i="98"/>
  <c r="A31" i="98"/>
  <c r="A60" i="98"/>
  <c r="P30" i="98"/>
  <c r="M30" i="98"/>
  <c r="L30" i="98"/>
  <c r="A30" i="98"/>
  <c r="P29" i="98"/>
  <c r="M29" i="98"/>
  <c r="L29" i="98"/>
  <c r="A29" i="98"/>
  <c r="P28" i="98"/>
  <c r="K28" i="98"/>
  <c r="J28" i="98"/>
  <c r="I28" i="98"/>
  <c r="A28" i="98"/>
  <c r="P27" i="98"/>
  <c r="K27" i="98"/>
  <c r="J27" i="98"/>
  <c r="I27" i="98"/>
  <c r="H27" i="98"/>
  <c r="A27" i="98"/>
  <c r="P26" i="98"/>
  <c r="K26" i="98"/>
  <c r="J26" i="98"/>
  <c r="I26" i="98"/>
  <c r="A26" i="98"/>
  <c r="P25" i="98"/>
  <c r="K25" i="98"/>
  <c r="J25" i="98"/>
  <c r="I25" i="98"/>
  <c r="A25" i="98"/>
  <c r="K136" i="98"/>
  <c r="J136" i="98"/>
  <c r="I136" i="98"/>
  <c r="H136" i="98"/>
  <c r="A136" i="98"/>
  <c r="K135" i="98"/>
  <c r="J135" i="98"/>
  <c r="I135" i="98"/>
  <c r="H135" i="98"/>
  <c r="A135" i="98"/>
  <c r="P24" i="98"/>
  <c r="K24" i="98"/>
  <c r="J24" i="98"/>
  <c r="I24" i="98"/>
  <c r="H24" i="98"/>
  <c r="A24" i="98"/>
  <c r="P23" i="98"/>
  <c r="M23" i="98"/>
  <c r="L23" i="98"/>
  <c r="A23" i="98"/>
  <c r="P22" i="98"/>
  <c r="K22" i="98"/>
  <c r="J22" i="98"/>
  <c r="I22" i="98"/>
  <c r="H22" i="98"/>
  <c r="A22" i="98"/>
  <c r="P19" i="98"/>
  <c r="K19" i="98"/>
  <c r="J19" i="98"/>
  <c r="I19" i="98"/>
  <c r="H19" i="98"/>
  <c r="A19" i="98"/>
  <c r="P18" i="98"/>
  <c r="K18" i="98"/>
  <c r="J18" i="98"/>
  <c r="I18" i="98"/>
  <c r="H18" i="98"/>
  <c r="A18" i="98"/>
  <c r="P17" i="98"/>
  <c r="K17" i="98"/>
  <c r="J17" i="98"/>
  <c r="I17" i="98"/>
  <c r="H17" i="98"/>
  <c r="A17" i="98"/>
  <c r="P16" i="98"/>
  <c r="K16" i="98"/>
  <c r="J16" i="98"/>
  <c r="I16" i="98"/>
  <c r="H16" i="98"/>
  <c r="A16" i="98"/>
  <c r="P15" i="98"/>
  <c r="K15" i="98"/>
  <c r="J15" i="98"/>
  <c r="I15" i="98"/>
  <c r="A15" i="98"/>
  <c r="P14" i="98"/>
  <c r="K14" i="98"/>
  <c r="J14" i="98"/>
  <c r="I14" i="98"/>
  <c r="H14" i="98"/>
  <c r="M35" i="97"/>
  <c r="K28" i="97"/>
  <c r="J28" i="97"/>
  <c r="I28" i="97"/>
  <c r="P64" i="97"/>
  <c r="P63" i="97"/>
  <c r="P60" i="97"/>
  <c r="P61" i="97"/>
  <c r="P57" i="97"/>
  <c r="P53" i="97"/>
  <c r="P52" i="97"/>
  <c r="P50" i="97"/>
  <c r="P49" i="97"/>
  <c r="P48" i="97"/>
  <c r="P47" i="97"/>
  <c r="P45" i="97"/>
  <c r="P44" i="97"/>
  <c r="P42" i="97"/>
  <c r="P41" i="97"/>
  <c r="P40" i="97"/>
  <c r="P39" i="97"/>
  <c r="P38" i="97"/>
  <c r="P37" i="97"/>
  <c r="P36" i="97"/>
  <c r="P35" i="97"/>
  <c r="P33" i="97"/>
  <c r="P32" i="97"/>
  <c r="P31" i="97"/>
  <c r="P30" i="97"/>
  <c r="P29" i="97"/>
  <c r="P27" i="97"/>
  <c r="P24" i="97"/>
  <c r="P23" i="97"/>
  <c r="P22" i="97"/>
  <c r="P21" i="97"/>
  <c r="P20" i="97"/>
  <c r="P17" i="97"/>
  <c r="P16" i="97"/>
  <c r="P15" i="97"/>
  <c r="P5" i="97"/>
  <c r="P6" i="97"/>
  <c r="P7" i="97"/>
  <c r="P8" i="97"/>
  <c r="P9" i="97"/>
  <c r="K36" i="97"/>
  <c r="J36" i="97"/>
  <c r="I36" i="97"/>
  <c r="M135" i="98" l="1"/>
  <c r="K9" i="99"/>
  <c r="L9" i="99" s="1"/>
  <c r="G13" i="99"/>
  <c r="H13" i="99" s="1"/>
  <c r="K10" i="99"/>
  <c r="L10" i="99" s="1"/>
  <c r="G15" i="99"/>
  <c r="H15" i="99" s="1"/>
  <c r="K12" i="99"/>
  <c r="L12" i="99" s="1"/>
  <c r="O9" i="99"/>
  <c r="P9" i="99" s="1"/>
  <c r="C9" i="99"/>
  <c r="D9" i="99" s="1"/>
  <c r="O10" i="99"/>
  <c r="P10" i="99" s="1"/>
  <c r="C10" i="99"/>
  <c r="D10" i="99" s="1"/>
  <c r="O11" i="99"/>
  <c r="P11" i="99" s="1"/>
  <c r="C11" i="99"/>
  <c r="D11" i="99" s="1"/>
  <c r="C14" i="99"/>
  <c r="D14" i="99" s="1"/>
  <c r="O15" i="99"/>
  <c r="P15" i="99" s="1"/>
  <c r="C15" i="99"/>
  <c r="D15" i="99" s="1"/>
  <c r="O8" i="99"/>
  <c r="P8" i="99" s="1"/>
  <c r="G14" i="99"/>
  <c r="H14" i="99" s="1"/>
  <c r="K11" i="99"/>
  <c r="L11" i="99" s="1"/>
  <c r="G8" i="99"/>
  <c r="H8" i="99" s="1"/>
  <c r="K13" i="99"/>
  <c r="L13" i="99" s="1"/>
  <c r="K14" i="99"/>
  <c r="L14" i="99" s="1"/>
  <c r="K15" i="99"/>
  <c r="L15" i="99" s="1"/>
  <c r="G12" i="99"/>
  <c r="H12" i="99" s="1"/>
  <c r="O12" i="99"/>
  <c r="P12" i="99" s="1"/>
  <c r="K8" i="99"/>
  <c r="L8" i="99" s="1"/>
  <c r="C12" i="99"/>
  <c r="D12" i="99" s="1"/>
  <c r="O13" i="99"/>
  <c r="P13" i="99" s="1"/>
  <c r="G9" i="99"/>
  <c r="H9" i="99" s="1"/>
  <c r="C13" i="99"/>
  <c r="D13" i="99" s="1"/>
  <c r="O14" i="99"/>
  <c r="P14" i="99" s="1"/>
  <c r="G10" i="99"/>
  <c r="H10" i="99" s="1"/>
  <c r="G11" i="99"/>
  <c r="H11" i="99" s="1"/>
  <c r="C8" i="99"/>
  <c r="D8" i="99" s="1"/>
  <c r="K7" i="99"/>
  <c r="L7" i="99" s="1"/>
  <c r="K6" i="99"/>
  <c r="L6" i="99" s="1"/>
  <c r="K5" i="99"/>
  <c r="L5" i="99" s="1"/>
  <c r="K4" i="99"/>
  <c r="O7" i="99"/>
  <c r="P7" i="99" s="1"/>
  <c r="O6" i="99"/>
  <c r="P6" i="99" s="1"/>
  <c r="O5" i="99"/>
  <c r="P5" i="99" s="1"/>
  <c r="O4" i="99"/>
  <c r="G7" i="99"/>
  <c r="H7" i="99" s="1"/>
  <c r="G6" i="99"/>
  <c r="H6" i="99" s="1"/>
  <c r="G5" i="99"/>
  <c r="H5" i="99" s="1"/>
  <c r="G4" i="99"/>
  <c r="C7" i="99"/>
  <c r="D7" i="99" s="1"/>
  <c r="C6" i="99"/>
  <c r="D6" i="99" s="1"/>
  <c r="C5" i="99"/>
  <c r="D5" i="99" s="1"/>
  <c r="C4" i="99"/>
  <c r="L47" i="98"/>
  <c r="M57" i="98"/>
  <c r="L42" i="98"/>
  <c r="L48" i="98"/>
  <c r="M47" i="98"/>
  <c r="M52" i="98"/>
  <c r="M18" i="98"/>
  <c r="L26" i="98"/>
  <c r="L18" i="98"/>
  <c r="M24" i="98"/>
  <c r="L136" i="98"/>
  <c r="L24" i="98"/>
  <c r="L58" i="98"/>
  <c r="L60" i="98"/>
  <c r="L40" i="98"/>
  <c r="M55" i="98"/>
  <c r="L138" i="98"/>
  <c r="M132" i="98"/>
  <c r="L132" i="98"/>
  <c r="M19" i="98"/>
  <c r="M14" i="98"/>
  <c r="L14" i="98"/>
  <c r="L50" i="98"/>
  <c r="M36" i="98"/>
  <c r="M39" i="98"/>
  <c r="L57" i="98"/>
  <c r="L56" i="98"/>
  <c r="M136" i="98"/>
  <c r="M45" i="98"/>
  <c r="M16" i="98"/>
  <c r="M26" i="98"/>
  <c r="M50" i="98"/>
  <c r="M22" i="98"/>
  <c r="M43" i="98"/>
  <c r="M37" i="98"/>
  <c r="L39" i="98"/>
  <c r="L36" i="98"/>
  <c r="M56" i="98"/>
  <c r="M137" i="98"/>
  <c r="M49" i="98"/>
  <c r="M17" i="98"/>
  <c r="L22" i="98"/>
  <c r="M27" i="98"/>
  <c r="L37" i="98"/>
  <c r="M51" i="98"/>
  <c r="L28" i="98"/>
  <c r="L17" i="98"/>
  <c r="M25" i="98"/>
  <c r="L52" i="98"/>
  <c r="L27" i="98"/>
  <c r="L51" i="98"/>
  <c r="M48" i="98"/>
  <c r="M33" i="98"/>
  <c r="L33" i="98"/>
  <c r="M46" i="98"/>
  <c r="M38" i="98"/>
  <c r="M40" i="98"/>
  <c r="M138" i="98"/>
  <c r="L19" i="98"/>
  <c r="L43" i="98"/>
  <c r="L137" i="98"/>
  <c r="L135" i="98"/>
  <c r="M28" i="98"/>
  <c r="L38" i="98"/>
  <c r="L55" i="98"/>
  <c r="L15" i="98"/>
  <c r="M15" i="98"/>
  <c r="M42" i="98"/>
  <c r="L16" i="98"/>
  <c r="L45" i="98"/>
  <c r="L46" i="98"/>
  <c r="L49" i="98"/>
  <c r="L25" i="98"/>
  <c r="M60" i="98"/>
  <c r="M58" i="98"/>
  <c r="P4" i="99" l="1"/>
  <c r="O16" i="99"/>
  <c r="D4" i="99"/>
  <c r="C16" i="99"/>
  <c r="L4" i="99"/>
  <c r="K16" i="99"/>
  <c r="H4" i="99"/>
  <c r="G16" i="99"/>
  <c r="H45" i="97"/>
  <c r="I45" i="97"/>
  <c r="J45" i="97"/>
  <c r="K45" i="97"/>
  <c r="M41" i="97" l="1"/>
  <c r="M36" i="97"/>
  <c r="M33" i="97"/>
  <c r="M30" i="97"/>
  <c r="M29" i="97"/>
  <c r="M28" i="97"/>
  <c r="M27" i="97"/>
  <c r="M25" i="97"/>
  <c r="M24" i="97"/>
  <c r="M16" i="97"/>
  <c r="A45" i="97"/>
  <c r="A46" i="97"/>
  <c r="A47" i="97"/>
  <c r="A48" i="97"/>
  <c r="A49" i="97"/>
  <c r="A50" i="97"/>
  <c r="A51" i="97"/>
  <c r="A52" i="97"/>
  <c r="A53" i="97"/>
  <c r="A54" i="97"/>
  <c r="A55" i="97"/>
  <c r="A56" i="97"/>
  <c r="A57" i="97"/>
  <c r="A58" i="97"/>
  <c r="A59" i="97"/>
  <c r="A60" i="97"/>
  <c r="A61" i="97"/>
  <c r="A62" i="97"/>
  <c r="A63" i="97"/>
  <c r="A64" i="97"/>
  <c r="A65" i="97"/>
  <c r="A66" i="97"/>
  <c r="K66" i="97"/>
  <c r="J66" i="97"/>
  <c r="I66" i="97"/>
  <c r="H66" i="97"/>
  <c r="K65" i="97"/>
  <c r="J65" i="97"/>
  <c r="I65" i="97"/>
  <c r="H65" i="97"/>
  <c r="K64" i="97"/>
  <c r="J64" i="97"/>
  <c r="I64" i="97"/>
  <c r="H64" i="97"/>
  <c r="K63" i="97"/>
  <c r="J63" i="97"/>
  <c r="I63" i="97"/>
  <c r="K62" i="97"/>
  <c r="J62" i="97"/>
  <c r="I62" i="97"/>
  <c r="K57" i="97"/>
  <c r="J57" i="97"/>
  <c r="I57" i="97"/>
  <c r="K56" i="97"/>
  <c r="J56" i="97"/>
  <c r="I56" i="97"/>
  <c r="H56" i="97"/>
  <c r="K55" i="97"/>
  <c r="J55" i="97"/>
  <c r="I55" i="97"/>
  <c r="H55" i="97"/>
  <c r="K54" i="97"/>
  <c r="J54" i="97"/>
  <c r="I54" i="97"/>
  <c r="H54" i="97"/>
  <c r="K53" i="97"/>
  <c r="J53" i="97"/>
  <c r="I53" i="97"/>
  <c r="H53" i="97"/>
  <c r="K52" i="97"/>
  <c r="J52" i="97"/>
  <c r="I52" i="97"/>
  <c r="K50" i="97"/>
  <c r="J50" i="97"/>
  <c r="I50" i="97"/>
  <c r="H50" i="97"/>
  <c r="K49" i="97"/>
  <c r="J49" i="97"/>
  <c r="I49" i="97"/>
  <c r="H49" i="97"/>
  <c r="K48" i="97"/>
  <c r="J48" i="97"/>
  <c r="I48" i="97"/>
  <c r="H48" i="97"/>
  <c r="K47" i="97"/>
  <c r="J47" i="97"/>
  <c r="I47" i="97"/>
  <c r="K46" i="97"/>
  <c r="J46" i="97"/>
  <c r="I46" i="97"/>
  <c r="L45" i="97"/>
  <c r="A44" i="97"/>
  <c r="M61" i="97" l="1"/>
  <c r="L48" i="97"/>
  <c r="L50" i="97"/>
  <c r="M53" i="97"/>
  <c r="M55" i="97"/>
  <c r="M57" i="97"/>
  <c r="M48" i="97"/>
  <c r="M50" i="97"/>
  <c r="M54" i="97"/>
  <c r="M44" i="97"/>
  <c r="M47" i="97"/>
  <c r="M65" i="97"/>
  <c r="L46" i="97"/>
  <c r="L59" i="97"/>
  <c r="L44" i="97"/>
  <c r="M64" i="97"/>
  <c r="M66" i="97"/>
  <c r="M52" i="97"/>
  <c r="L66" i="97"/>
  <c r="L47" i="97"/>
  <c r="L60" i="97"/>
  <c r="M56" i="97"/>
  <c r="M58" i="97"/>
  <c r="M63" i="97"/>
  <c r="L54" i="97"/>
  <c r="M45" i="97"/>
  <c r="M49" i="97"/>
  <c r="M51" i="97"/>
  <c r="M60" i="97"/>
  <c r="M46" i="97"/>
  <c r="L53" i="97"/>
  <c r="L57" i="97"/>
  <c r="L64" i="97"/>
  <c r="L51" i="97"/>
  <c r="L55" i="97"/>
  <c r="L62" i="97"/>
  <c r="M62" i="97"/>
  <c r="L56" i="97"/>
  <c r="L61" i="97"/>
  <c r="L49" i="97"/>
  <c r="L58" i="97"/>
  <c r="M59" i="97"/>
  <c r="L52" i="97"/>
  <c r="L63" i="97"/>
  <c r="L65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I42" i="97"/>
  <c r="J42" i="97"/>
  <c r="K42" i="97"/>
  <c r="H40" i="97"/>
  <c r="I40" i="97"/>
  <c r="J40" i="97"/>
  <c r="K40" i="97"/>
  <c r="H39" i="97"/>
  <c r="I39" i="97"/>
  <c r="J39" i="97"/>
  <c r="K39" i="97"/>
  <c r="I38" i="97"/>
  <c r="J38" i="97"/>
  <c r="K38" i="97"/>
  <c r="H37" i="97"/>
  <c r="I37" i="97"/>
  <c r="J37" i="97"/>
  <c r="K37" i="97"/>
  <c r="H34" i="97"/>
  <c r="I34" i="97"/>
  <c r="J34" i="97"/>
  <c r="K34" i="97"/>
  <c r="H32" i="97"/>
  <c r="I32" i="97"/>
  <c r="J32" i="97"/>
  <c r="K32" i="97"/>
  <c r="H31" i="97"/>
  <c r="I31" i="97"/>
  <c r="J31" i="97"/>
  <c r="K31" i="97"/>
  <c r="I23" i="97"/>
  <c r="J23" i="97"/>
  <c r="K23" i="97"/>
  <c r="H22" i="97"/>
  <c r="I22" i="97"/>
  <c r="J22" i="97"/>
  <c r="K22" i="97"/>
  <c r="I21" i="97"/>
  <c r="J21" i="97"/>
  <c r="K21" i="97"/>
  <c r="I20" i="97"/>
  <c r="J20" i="97"/>
  <c r="K20" i="97"/>
  <c r="H19" i="97"/>
  <c r="I19" i="97"/>
  <c r="J19" i="97"/>
  <c r="K19" i="97"/>
  <c r="H18" i="97"/>
  <c r="I18" i="97"/>
  <c r="J18" i="97"/>
  <c r="K18" i="97"/>
  <c r="H17" i="97"/>
  <c r="I17" i="97"/>
  <c r="J17" i="97"/>
  <c r="K17" i="97"/>
  <c r="H15" i="97"/>
  <c r="I15" i="97"/>
  <c r="J15" i="97"/>
  <c r="K15" i="97"/>
  <c r="H14" i="97"/>
  <c r="I14" i="97"/>
  <c r="J14" i="97"/>
  <c r="K14" i="97"/>
  <c r="A14" i="97"/>
  <c r="H67" i="97"/>
  <c r="I67" i="97"/>
  <c r="J67" i="97"/>
  <c r="K67" i="97"/>
  <c r="A6" i="97"/>
  <c r="A7" i="97"/>
  <c r="A8" i="97"/>
  <c r="A9" i="97"/>
  <c r="A10" i="97"/>
  <c r="A11" i="97"/>
  <c r="A12" i="97"/>
  <c r="A43" i="97"/>
  <c r="A67" i="97"/>
  <c r="A5" i="97"/>
  <c r="H26" i="97"/>
  <c r="I26" i="97"/>
  <c r="J26" i="97"/>
  <c r="K26" i="97"/>
  <c r="K12" i="97"/>
  <c r="J12" i="97"/>
  <c r="I12" i="97"/>
  <c r="H12" i="97"/>
  <c r="G12" i="97"/>
  <c r="K11" i="97"/>
  <c r="J11" i="97"/>
  <c r="I11" i="97"/>
  <c r="H11" i="97"/>
  <c r="G11" i="97"/>
  <c r="K10" i="97"/>
  <c r="J10" i="97"/>
  <c r="I10" i="97"/>
  <c r="H10" i="97"/>
  <c r="G10" i="97"/>
  <c r="K9" i="97"/>
  <c r="J9" i="97"/>
  <c r="I9" i="97"/>
  <c r="H9" i="97"/>
  <c r="K8" i="97"/>
  <c r="J8" i="97"/>
  <c r="I8" i="97"/>
  <c r="H8" i="97"/>
  <c r="K7" i="97"/>
  <c r="J7" i="97"/>
  <c r="I7" i="97"/>
  <c r="H7" i="97"/>
  <c r="K6" i="97"/>
  <c r="J6" i="97"/>
  <c r="I6" i="97"/>
  <c r="H6" i="97"/>
  <c r="K5" i="97"/>
  <c r="J5" i="97"/>
  <c r="I5" i="97"/>
  <c r="M18" i="97" l="1"/>
  <c r="L20" i="97"/>
  <c r="M20" i="97"/>
  <c r="M26" i="97"/>
  <c r="M22" i="97"/>
  <c r="M31" i="97"/>
  <c r="M37" i="97"/>
  <c r="M42" i="97"/>
  <c r="M17" i="97"/>
  <c r="M19" i="97"/>
  <c r="M21" i="97"/>
  <c r="M23" i="97"/>
  <c r="M32" i="97"/>
  <c r="M15" i="97"/>
  <c r="M34" i="97"/>
  <c r="M38" i="97"/>
  <c r="M40" i="97"/>
  <c r="M67" i="97"/>
  <c r="M39" i="97"/>
  <c r="L19" i="97"/>
  <c r="L41" i="97"/>
  <c r="L33" i="97"/>
  <c r="L30" i="97"/>
  <c r="L32" i="97"/>
  <c r="L34" i="97"/>
  <c r="L36" i="97"/>
  <c r="L31" i="97"/>
  <c r="L29" i="97"/>
  <c r="L38" i="97"/>
  <c r="L40" i="97"/>
  <c r="L42" i="97"/>
  <c r="L35" i="97"/>
  <c r="L37" i="97"/>
  <c r="L39" i="97"/>
  <c r="L28" i="97"/>
  <c r="L27" i="97"/>
  <c r="L17" i="97"/>
  <c r="L23" i="97"/>
  <c r="L25" i="97"/>
  <c r="L16" i="97"/>
  <c r="L14" i="97"/>
  <c r="L24" i="97"/>
  <c r="L15" i="97"/>
  <c r="L18" i="97"/>
  <c r="L21" i="97"/>
  <c r="L22" i="97"/>
  <c r="M8" i="97"/>
  <c r="L5" i="97"/>
  <c r="M7" i="97"/>
  <c r="L11" i="97"/>
  <c r="L26" i="97"/>
  <c r="M6" i="97"/>
  <c r="M9" i="97"/>
  <c r="M5" i="97"/>
  <c r="L7" i="97"/>
  <c r="L9" i="97"/>
  <c r="L6" i="97"/>
  <c r="L8" i="97"/>
  <c r="L67" i="97"/>
  <c r="L12" i="97"/>
  <c r="L10" i="97"/>
  <c r="K43" i="97" l="1"/>
  <c r="J43" i="97"/>
  <c r="I43" i="97"/>
  <c r="H43" i="97"/>
  <c r="K13" i="97"/>
  <c r="J13" i="97"/>
  <c r="I13" i="97"/>
  <c r="H13" i="97"/>
  <c r="M43" i="97" l="1"/>
  <c r="L13" i="97"/>
  <c r="L43" i="97"/>
  <c r="M13" i="97"/>
  <c r="E20" i="50" l="1"/>
  <c r="D20" i="50"/>
  <c r="C20" i="50"/>
  <c r="F20" i="5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tc={1C01828F-2185-4265-B542-755832530BCB}</author>
    <author>tc={47653B42-EC76-4219-B2B7-C8A1735123E2}</author>
    <author>tc={9BD1133A-4EE7-4A76-9F7C-64B107443080}</author>
  </authors>
  <commentList>
    <comment ref="M35" authorId="0" shapeId="0" xr:uid="{1C01828F-2185-4265-B542-755832530B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Recebido o valor bruto mas é não optante - correto é ter imposto</t>
      </text>
    </comment>
    <comment ref="M44" authorId="1" shapeId="0" xr:uid="{47653B42-EC76-4219-B2B7-C8A1735123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Recebido o valor bruto mas é não optante - correto é ter imposto</t>
      </text>
    </comment>
    <comment ref="M61" authorId="2" shapeId="0" xr:uid="{9BD1133A-4EE7-4A76-9F7C-64B10744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Recebido o valor bruto mas é não optante - correto é ter imposto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tc={DF7EA65B-84C0-497F-9376-3D0B41F58BF4}</author>
    <author>tc={DE7733DD-010C-4500-A773-E128E5C4E6FB}</author>
    <author>tc={01F21FC6-C26E-44A3-8421-9D75FDFC2154}</author>
    <author>tc={E9934993-CF04-4D2A-B32A-69E8F404C7F0}</author>
    <author>tc={A2B1EB50-75DA-4D14-92A1-C8E58B681678}</author>
    <author>tc={9DD618EE-06C9-4586-A25D-D4A724940B46}</author>
    <author>tc={94E63473-C6DB-4AF8-89A6-1E7A59134FB8}</author>
    <author>tc={ADFCB6FC-AF99-4C65-A86B-8073F65BC2DE}</author>
  </authors>
  <commentList>
    <comment ref="M35" authorId="0" shapeId="0" xr:uid="{DF7EA65B-84C0-497F-9376-3D0B41F58B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Recebido o valor bruto mas é não optante - correto é ter imposto</t>
      </text>
    </comment>
    <comment ref="M44" authorId="1" shapeId="0" xr:uid="{DE7733DD-010C-4500-A773-E128E5C4E6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Recebido o valor bruto mas é não optante - correto é ter imposto</t>
      </text>
    </comment>
    <comment ref="M54" authorId="2" shapeId="0" xr:uid="{01F21FC6-C26E-44A3-8421-9D75FDFC21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Recebido o valor bruto mas é não optante - correto é ter imposto</t>
      </text>
    </comment>
    <comment ref="L57" authorId="3" shapeId="0" xr:uid="{E9934993-CF04-4D2A-B32A-69E8F404C7F0}">
      <text>
        <t>[Threaded comment]
Your version of Excel allows you to read this threaded comment; however, any edits to it will get removed if the file is opened in a newer version of Excel. Learn more: https://go.microsoft.com/fwlink/?linkid=870924
Comment:
    Foi realizado devolução do montante pago a maior referente PCC não retido em 07/05/2026</t>
      </text>
    </comment>
    <comment ref="E58" authorId="4" shapeId="0" xr:uid="{A2B1EB50-75DA-4D14-92A1-C8E58B681678}">
      <text>
        <t>[Threaded comment]
Your version of Excel allows you to read this threaded comment; however, any edits to it will get removed if the file is opened in a newer version of Excel. Learn more: https://go.microsoft.com/fwlink/?linkid=870924
Comment:
    DOC 1800000436 estornado - 2700000135</t>
      </text>
    </comment>
    <comment ref="E59" authorId="5" shapeId="0" xr:uid="{9DD618EE-06C9-4586-A25D-D4A724940B46}">
      <text>
        <t>[Threaded comment]
Your version of Excel allows you to read this threaded comment; however, any edits to it will get removed if the file is opened in a newer version of Excel. Learn more: https://go.microsoft.com/fwlink/?linkid=870924
Comment:
    DOC 1800000138 foi estornado pelo DOC 2700000120</t>
      </text>
    </comment>
    <comment ref="E60" authorId="6" shapeId="0" xr:uid="{94E63473-C6DB-4AF8-89A6-1E7A59134F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DOC original 1800000270
DOC estorno 2700000150
</t>
      </text>
    </comment>
    <comment ref="L60" authorId="7" shapeId="0" xr:uid="{ADFCB6FC-AF99-4C65-A86B-8073F65BC2DE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foi considerado a retenção, pois a TELERISCO fez a emissao da nota fiscal sem contemplar o imposto. Como a resolução do caso só ocorreu em 06/05/2026 não fizemos o reconhecimento da retenção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tc={3D39A7B8-567A-47FD-AC29-B9A6BEBD519E}</author>
    <author>tc={28492983-FAB6-4504-8AEC-FAC855C2C865}</author>
    <author>tc={04E6D49F-2823-4A1B-91BD-AE97B2C0753F}</author>
    <author>tc={0DBD6B88-EABD-4101-9246-EF9B003FB9DC}</author>
    <author>tc={8CA823E8-BA14-43C0-9307-A7A7200B8C8A}</author>
    <author>tc={6A24EFCD-20C1-4CDC-8396-7499AC8F46E2}</author>
  </authors>
  <commentList>
    <comment ref="H4" authorId="0" shapeId="0" xr:uid="{3D39A7B8-567A-47FD-AC29-B9A6BEBD519E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Utilização saldo 12.2025</t>
      </text>
    </comment>
    <comment ref="L4" authorId="1" shapeId="0" xr:uid="{28492983-FAB6-4504-8AEC-FAC855C2C865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Utilização saldo 12.2025</t>
      </text>
    </comment>
    <comment ref="D5" authorId="2" shapeId="0" xr:uid="{04E6D49F-2823-4A1B-91BD-AE97B2C0753F}">
      <text>
        <t>[Threaded comment]
Your version of Excel allows you to read this threaded comment; however, any edits to it will get removed if the file is opened in a newer version of Excel. Learn more: https://go.microsoft.com/fwlink/?linkid=870924
Comment:
    Ajuste compensação 2025 - transferência de saldo</t>
      </text>
    </comment>
    <comment ref="P5" authorId="3" shapeId="0" xr:uid="{0DBD6B88-EABD-4101-9246-EF9B003FB9DC}">
      <text>
        <t>[Threaded comment]
Your version of Excel allows you to read this threaded comment; however, any edits to it will get removed if the file is opened in a newer version of Excel. Learn more: https://go.microsoft.com/fwlink/?linkid=870924
Comment:
    Ajuste compensação 2025 - transferência de saldo</t>
      </text>
    </comment>
    <comment ref="H7" authorId="4" shapeId="0" xr:uid="{8CA823E8-BA14-43C0-9307-A7A7200B8C8A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Utilização compensação 02.2026</t>
      </text>
    </comment>
    <comment ref="L7" authorId="5" shapeId="0" xr:uid="{6A24EFCD-20C1-4CDC-8396-7499AC8F46E2}">
      <text>
        <t>[Threaded comment]
Your version of Excel allows you to read this threaded comment; however, any edits to it will get removed if the file is opened in a newer version of Excel. Learn more: https://go.microsoft.com/fwlink/?linkid=870924
Comment:
    Utilização compensação 02.2026</t>
      </text>
    </comment>
  </commentList>
</comments>
</file>

<file path=xl/sharedStrings.xml><?xml version="1.0" encoding="utf-8"?>
<sst xmlns="http://schemas.openxmlformats.org/spreadsheetml/2006/main" count="1759" uniqueCount="200">
  <si>
    <t>Faturamento Anual</t>
  </si>
  <si>
    <t>Sompo Services</t>
  </si>
  <si>
    <t>COMP</t>
  </si>
  <si>
    <t>VALOR BRUTO</t>
  </si>
  <si>
    <t>RET ISS</t>
  </si>
  <si>
    <t>RET FED</t>
  </si>
  <si>
    <t>VALOR LÍQUIDO</t>
  </si>
  <si>
    <t>TOTAL</t>
  </si>
  <si>
    <t xml:space="preserve">Faturamento e Apuração dos Tributos - Notas Fiscais emitidas </t>
  </si>
  <si>
    <t>SOMPO SERVICES GESTAO DE RISCOS E VISTORIA LTDA </t>
  </si>
  <si>
    <t>46.206.637/0001-30</t>
  </si>
  <si>
    <t>COMP EMISSÃO</t>
  </si>
  <si>
    <t>DATA EMISSÃO</t>
  </si>
  <si>
    <t>Prefeitura</t>
  </si>
  <si>
    <t>Nº  NF</t>
  </si>
  <si>
    <t xml:space="preserve">Numero SAP  </t>
  </si>
  <si>
    <t>Valor N. Fiscal</t>
  </si>
  <si>
    <t>ISS - 5%</t>
  </si>
  <si>
    <t>IRRF - 1,5%</t>
  </si>
  <si>
    <t>CSLL - 1%</t>
  </si>
  <si>
    <t>COFINS- 3%</t>
  </si>
  <si>
    <t>PIS- 0,65%</t>
  </si>
  <si>
    <t>TOTAL CSRF</t>
  </si>
  <si>
    <t>Valor</t>
  </si>
  <si>
    <t>DOC REC BANCO</t>
  </si>
  <si>
    <t>Dt. Dep.</t>
  </si>
  <si>
    <t>COMP RECEBIMENTO</t>
  </si>
  <si>
    <t>Cód</t>
  </si>
  <si>
    <t>BP</t>
  </si>
  <si>
    <t>Razão</t>
  </si>
  <si>
    <t>CNPJ</t>
  </si>
  <si>
    <t>REGIME</t>
  </si>
  <si>
    <t>CONTA BANCO</t>
  </si>
  <si>
    <t>SP</t>
  </si>
  <si>
    <t>TELERISCO</t>
  </si>
  <si>
    <t>COOP DE TRANSP AUTONOMOS DE BENS DE SALTO E REGIAO</t>
  </si>
  <si>
    <t>NÃO optante pelo Simples Nacional</t>
  </si>
  <si>
    <t>INTEGRA BRASIL TRANSPORTES LTDA</t>
  </si>
  <si>
    <t>PC LOGISTICA LTDA</t>
  </si>
  <si>
    <t>SENSITIVE TRANSPORTES LTDA ME</t>
  </si>
  <si>
    <t>ZANIN TRANSPORTES E LOGISTICA LTDA</t>
  </si>
  <si>
    <t>CANCELADA</t>
  </si>
  <si>
    <t>N/A</t>
  </si>
  <si>
    <t>05/2026</t>
  </si>
  <si>
    <t>3115</t>
  </si>
  <si>
    <t>GOLDEN SAT</t>
  </si>
  <si>
    <t>TRANSPORTADORA ANDARILHO LTDA</t>
  </si>
  <si>
    <t>Optante pelo Simples Nacional desde 30/10/2024</t>
  </si>
  <si>
    <t>EM ABERTO</t>
  </si>
  <si>
    <t>TRILOG EXPRESS LTDA</t>
  </si>
  <si>
    <t>ANSELMINI RODOVIARIO LTDA</t>
  </si>
  <si>
    <t>HE TRANSPORTES LTDA</t>
  </si>
  <si>
    <t>TRANSPACKLOG TRANSPORTE DE CARGAS LTDA</t>
  </si>
  <si>
    <t>Optante pelo Simples Nacional desde 01/01/2024</t>
  </si>
  <si>
    <t>06/2026</t>
  </si>
  <si>
    <t>EAGLE GROUP TECHNOLOGIES LOGISTICS E TRANSPORTS LTDA</t>
  </si>
  <si>
    <t>Optante pelo Simples Nacional</t>
  </si>
  <si>
    <t>SUNO DISTRIBUIDORA SOLAR LTDA</t>
  </si>
  <si>
    <t>UNNI SOLUCOES LOGISTICAS LTDA</t>
  </si>
  <si>
    <t>ARK LOGISTICA  ASSESSORIA E TREINAMENTOS EM COMEX LTDA</t>
  </si>
  <si>
    <t>CENTRAL LOGISTICA DE TRANSPORTE LTDA</t>
  </si>
  <si>
    <t>NAIK TRANSPORTE E L LTDA</t>
  </si>
  <si>
    <t>Optante pelo Simples Nacional desde 03/06/2024</t>
  </si>
  <si>
    <t>ALESSANDRO TRANSPORTES</t>
  </si>
  <si>
    <t>SEVAL TRANSPORTES</t>
  </si>
  <si>
    <t>04/2026</t>
  </si>
  <si>
    <t>PANTERA ALIMENTOS LTDA</t>
  </si>
  <si>
    <t>PRIMESERV LOGISTICA E SERVICOS LTDA</t>
  </si>
  <si>
    <t>CENTRAL LOGISTICA TRANSPORTES LTDA ME</t>
  </si>
  <si>
    <t>ADM COMERCIO TRANSPORTES E RECICLAGEM DE METAIS LTDA</t>
  </si>
  <si>
    <t>TRANSPORTADORA JJA LTDA</t>
  </si>
  <si>
    <t>A C PORTELA LTDA</t>
  </si>
  <si>
    <t>PRIMESERV</t>
  </si>
  <si>
    <t>NAO OPTANTE</t>
  </si>
  <si>
    <t>ADM COMERCIO TR</t>
  </si>
  <si>
    <t>INTEGRA BRASIL</t>
  </si>
  <si>
    <t>NÃO OPTANTE</t>
  </si>
  <si>
    <t>ALESSANDRO TRAN</t>
  </si>
  <si>
    <t>SENSITIVE TRANS</t>
  </si>
  <si>
    <t>NAIK TRANSPORTE</t>
  </si>
  <si>
    <t>JJA</t>
  </si>
  <si>
    <t>JMV TRANSPORTES</t>
  </si>
  <si>
    <t>ARK LOGISTICA</t>
  </si>
  <si>
    <t>ARAGUAIA TRANSP</t>
  </si>
  <si>
    <t>SUNO FOTOVOLTAI</t>
  </si>
  <si>
    <t>UNNI</t>
  </si>
  <si>
    <t>ARTUR PEREIRA</t>
  </si>
  <si>
    <t>COOTABS</t>
  </si>
  <si>
    <t>21/05/2026</t>
  </si>
  <si>
    <t>PANTERA ALIMENT</t>
  </si>
  <si>
    <t>TRILOG EXPRESS</t>
  </si>
  <si>
    <t>TRANSPORTADORA</t>
  </si>
  <si>
    <t>OPTANTE</t>
  </si>
  <si>
    <t>ANSELMINI</t>
  </si>
  <si>
    <t>PC LOGISTICA</t>
  </si>
  <si>
    <t>SEVAL LOG</t>
  </si>
  <si>
    <t>TRANSPORTES BOM</t>
  </si>
  <si>
    <t>ZANIN TRANSPORT</t>
  </si>
  <si>
    <t>TRANSPACKLOG</t>
  </si>
  <si>
    <t>PROLOG TRANSP E</t>
  </si>
  <si>
    <t>GRAO DE OURO CE</t>
  </si>
  <si>
    <t>M NETO TRANSPOR</t>
  </si>
  <si>
    <t>EAGLE TECH LOG</t>
  </si>
  <si>
    <t>CENTRAL LOG TRA</t>
  </si>
  <si>
    <t>CENTRAL DE TRAN</t>
  </si>
  <si>
    <t>A C PORTELA LTD</t>
  </si>
  <si>
    <t>NSTECH</t>
  </si>
  <si>
    <t>SPEED TRANSPORTES LTDA</t>
  </si>
  <si>
    <t>K2 LOGISTICA E TRANSPORTE LTDA</t>
  </si>
  <si>
    <t>NA-LOG TRANSPORTES LTDA</t>
  </si>
  <si>
    <t>SANO TRANSPORTE E LOGISTICA LTDA</t>
  </si>
  <si>
    <t>ACP TRANSPORTES LTDA</t>
  </si>
  <si>
    <t xml:space="preserve"> -   </t>
  </si>
  <si>
    <t>CARGOCENTER AGENCIA</t>
  </si>
  <si>
    <t>Não Optante</t>
  </si>
  <si>
    <t>CENTRAL DE TRANSP</t>
  </si>
  <si>
    <t>CENTER CARGO MANAUS</t>
  </si>
  <si>
    <t>ADM COMERCIO TRANS</t>
  </si>
  <si>
    <t>MOTRIZ LOCACOES</t>
  </si>
  <si>
    <t>ALESSANDRO TRANS</t>
  </si>
  <si>
    <t>NAIK TRANSPORTES</t>
  </si>
  <si>
    <t>MIE TRANSPORTES</t>
  </si>
  <si>
    <t>SENSITIVE TRANSPORTES LTDA</t>
  </si>
  <si>
    <t>SIGATRANS LOGIS</t>
  </si>
  <si>
    <t>SUNO FOTOVOLTAICOS</t>
  </si>
  <si>
    <t>HUB TRANSPORTES</t>
  </si>
  <si>
    <t>CENTRAL LOG TRANS</t>
  </si>
  <si>
    <t>TRANSHAMAR</t>
  </si>
  <si>
    <t>LOOPS LOG TRANS</t>
  </si>
  <si>
    <t>PANTERA ALIMENTOS</t>
  </si>
  <si>
    <t>STANGES LOGISTI</t>
  </si>
  <si>
    <t>CDL TRANSPORTE</t>
  </si>
  <si>
    <t>FT COMERCIO E T</t>
  </si>
  <si>
    <t>12/2025</t>
  </si>
  <si>
    <t>10/2025</t>
  </si>
  <si>
    <t>1400000105</t>
  </si>
  <si>
    <t>1400000150</t>
  </si>
  <si>
    <t>1400000120</t>
  </si>
  <si>
    <t>1400000135</t>
  </si>
  <si>
    <t>1400000165</t>
  </si>
  <si>
    <t>1400000136</t>
  </si>
  <si>
    <t>1400000166</t>
  </si>
  <si>
    <t>1400000255</t>
  </si>
  <si>
    <t>1400000211</t>
  </si>
  <si>
    <t>1400000181</t>
  </si>
  <si>
    <t>1400000240</t>
  </si>
  <si>
    <t>1400000285</t>
  </si>
  <si>
    <t>1400000300</t>
  </si>
  <si>
    <t>1400000213</t>
  </si>
  <si>
    <t>1400000270</t>
  </si>
  <si>
    <t>1400000195</t>
  </si>
  <si>
    <t>1400000315</t>
  </si>
  <si>
    <t>1400000210</t>
  </si>
  <si>
    <t>1400000225</t>
  </si>
  <si>
    <t>1400000180</t>
  </si>
  <si>
    <t>1400000212</t>
  </si>
  <si>
    <t>1400000330</t>
  </si>
  <si>
    <t>1400000345</t>
  </si>
  <si>
    <t>1400000360</t>
  </si>
  <si>
    <t>1400000405</t>
  </si>
  <si>
    <t>1400000346</t>
  </si>
  <si>
    <t>1400000375</t>
  </si>
  <si>
    <t>1400000376</t>
  </si>
  <si>
    <t>1400000331</t>
  </si>
  <si>
    <t>1400000332</t>
  </si>
  <si>
    <t>1400000333</t>
  </si>
  <si>
    <t>1400000390</t>
  </si>
  <si>
    <t>1400000391</t>
  </si>
  <si>
    <t>1400000392</t>
  </si>
  <si>
    <t>1400000393</t>
  </si>
  <si>
    <t>1400000435</t>
  </si>
  <si>
    <t>1400000361</t>
  </si>
  <si>
    <t>1400000450</t>
  </si>
  <si>
    <t>1400000436</t>
  </si>
  <si>
    <t>02/2026</t>
  </si>
  <si>
    <t>IRRF A COMPENSAR</t>
  </si>
  <si>
    <t>PIS A COMPENSAR</t>
  </si>
  <si>
    <t>COFINS A COMPENSAR</t>
  </si>
  <si>
    <t>CSLL A COMPENSAR</t>
  </si>
  <si>
    <t>Table</t>
  </si>
  <si>
    <t xml:space="preserve"> </t>
  </si>
  <si>
    <t>Controle</t>
  </si>
  <si>
    <t>Dif</t>
  </si>
  <si>
    <t>Balancete</t>
  </si>
  <si>
    <t>Exercício/período</t>
  </si>
  <si>
    <t>001.2026</t>
  </si>
  <si>
    <t>002.2026</t>
  </si>
  <si>
    <t>003.2026</t>
  </si>
  <si>
    <t>004.2026</t>
  </si>
  <si>
    <t>005.2026</t>
  </si>
  <si>
    <t>006.2026</t>
  </si>
  <si>
    <t>Conta do Razão</t>
  </si>
  <si>
    <t/>
  </si>
  <si>
    <t>Débitos</t>
  </si>
  <si>
    <t>SOMPO SEG REC RECEIT</t>
  </si>
  <si>
    <t>Clientes SompoRisk</t>
  </si>
  <si>
    <t>CSLL RETIDO A COMP</t>
  </si>
  <si>
    <t>COFINS RETIDO A COMP</t>
  </si>
  <si>
    <t>PIS RETIDO A COMP</t>
  </si>
  <si>
    <t>IR RETIDO SERV PREST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</si>
</sst>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dd\-mmm_)"/>
    <numFmt numFmtId="166" formatCode="0.0%"/>
    <numFmt numFmtId="167" formatCode="dd/mm/yy;@"/>
    <numFmt numFmtId="168" formatCode="0000000000000"/>
    <numFmt numFmtId="169" formatCode="00000000000000"/>
    <numFmt numFmtId="170" formatCode="#,##0.00\ &quot;BRL&quot;;\-\ #,##0.00\ &quot;BRL&quot;"/>
    <numFmt numFmtId="171" formatCode="#,##0.00\ &quot;BRL&quot;"/>
  </numFmts>
  <fonts count="47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8"/>
      <color indexed="62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4" fillId="5" borderId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1" borderId="0" applyNumberFormat="0" applyBorder="0" applyAlignment="0" applyProtection="0"/>
    <xf numFmtId="0" fontId="12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1" fillId="9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1" fillId="25" borderId="0" applyNumberFormat="0" applyBorder="0" applyAlignment="0" applyProtection="0"/>
    <xf numFmtId="0" fontId="13" fillId="23" borderId="0" applyNumberFormat="0" applyBorder="0" applyAlignment="0" applyProtection="0"/>
    <xf numFmtId="0" fontId="14" fillId="26" borderId="4" applyNumberFormat="0" applyAlignment="0" applyProtection="0"/>
    <xf numFmtId="0" fontId="15" fillId="18" borderId="5" applyNumberFormat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2" fillId="16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24" borderId="4" applyNumberFormat="0" applyAlignment="0" applyProtection="0"/>
    <xf numFmtId="0" fontId="21" fillId="0" borderId="9" applyNumberFormat="0" applyFill="0" applyAlignment="0" applyProtection="0"/>
    <xf numFmtId="0" fontId="21" fillId="24" borderId="0" applyNumberFormat="0" applyBorder="0" applyAlignment="0" applyProtection="0"/>
    <xf numFmtId="0" fontId="5" fillId="23" borderId="4" applyNumberFormat="0" applyFont="0" applyAlignment="0" applyProtection="0"/>
    <xf numFmtId="0" fontId="22" fillId="26" borderId="10" applyNumberFormat="0" applyAlignment="0" applyProtection="0"/>
    <xf numFmtId="4" fontId="5" fillId="30" borderId="4" applyNumberFormat="0" applyProtection="0">
      <alignment vertical="center"/>
    </xf>
    <xf numFmtId="4" fontId="25" fillId="31" borderId="4" applyNumberFormat="0" applyProtection="0">
      <alignment vertical="center"/>
    </xf>
    <xf numFmtId="4" fontId="5" fillId="31" borderId="4" applyNumberFormat="0" applyProtection="0">
      <alignment horizontal="left" vertical="center" indent="1"/>
    </xf>
    <xf numFmtId="0" fontId="8" fillId="30" borderId="11" applyNumberFormat="0" applyProtection="0">
      <alignment horizontal="left" vertical="top" indent="1"/>
    </xf>
    <xf numFmtId="4" fontId="5" fillId="32" borderId="4" applyNumberFormat="0" applyProtection="0">
      <alignment horizontal="left" vertical="center" indent="1"/>
    </xf>
    <xf numFmtId="4" fontId="5" fillId="33" borderId="4" applyNumberFormat="0" applyProtection="0">
      <alignment horizontal="right" vertical="center"/>
    </xf>
    <xf numFmtId="4" fontId="5" fillId="34" borderId="4" applyNumberFormat="0" applyProtection="0">
      <alignment horizontal="right" vertical="center"/>
    </xf>
    <xf numFmtId="4" fontId="5" fillId="35" borderId="12" applyNumberFormat="0" applyProtection="0">
      <alignment horizontal="right" vertical="center"/>
    </xf>
    <xf numFmtId="4" fontId="5" fillId="36" borderId="4" applyNumberFormat="0" applyProtection="0">
      <alignment horizontal="right" vertical="center"/>
    </xf>
    <xf numFmtId="4" fontId="5" fillId="37" borderId="4" applyNumberFormat="0" applyProtection="0">
      <alignment horizontal="right" vertical="center"/>
    </xf>
    <xf numFmtId="4" fontId="5" fillId="38" borderId="4" applyNumberFormat="0" applyProtection="0">
      <alignment horizontal="right" vertical="center"/>
    </xf>
    <xf numFmtId="4" fontId="5" fillId="39" borderId="4" applyNumberFormat="0" applyProtection="0">
      <alignment horizontal="right" vertical="center"/>
    </xf>
    <xf numFmtId="4" fontId="5" fillId="40" borderId="4" applyNumberFormat="0" applyProtection="0">
      <alignment horizontal="right" vertical="center"/>
    </xf>
    <xf numFmtId="4" fontId="5" fillId="41" borderId="4" applyNumberFormat="0" applyProtection="0">
      <alignment horizontal="right" vertical="center"/>
    </xf>
    <xf numFmtId="4" fontId="5" fillId="42" borderId="12" applyNumberFormat="0" applyProtection="0">
      <alignment horizontal="left" vertical="center" indent="1"/>
    </xf>
    <xf numFmtId="4" fontId="2" fillId="43" borderId="12" applyNumberFormat="0" applyProtection="0">
      <alignment horizontal="left" vertical="center" indent="1"/>
    </xf>
    <xf numFmtId="4" fontId="2" fillId="43" borderId="12" applyNumberFormat="0" applyProtection="0">
      <alignment horizontal="left" vertical="center" indent="1"/>
    </xf>
    <xf numFmtId="4" fontId="5" fillId="44" borderId="4" applyNumberFormat="0" applyProtection="0">
      <alignment horizontal="right" vertical="center"/>
    </xf>
    <xf numFmtId="4" fontId="5" fillId="45" borderId="12" applyNumberFormat="0" applyProtection="0">
      <alignment horizontal="left" vertical="center" indent="1"/>
    </xf>
    <xf numFmtId="4" fontId="5" fillId="44" borderId="12" applyNumberFormat="0" applyProtection="0">
      <alignment horizontal="left" vertical="center" indent="1"/>
    </xf>
    <xf numFmtId="0" fontId="5" fillId="46" borderId="4" applyNumberFormat="0" applyProtection="0">
      <alignment horizontal="left" vertical="center" indent="1"/>
    </xf>
    <xf numFmtId="0" fontId="5" fillId="43" borderId="11" applyNumberFormat="0" applyProtection="0">
      <alignment horizontal="left" vertical="top" indent="1"/>
    </xf>
    <xf numFmtId="0" fontId="5" fillId="47" borderId="4" applyNumberFormat="0" applyProtection="0">
      <alignment horizontal="left" vertical="center" indent="1"/>
    </xf>
    <xf numFmtId="0" fontId="5" fillId="44" borderId="11" applyNumberFormat="0" applyProtection="0">
      <alignment horizontal="left" vertical="top" indent="1"/>
    </xf>
    <xf numFmtId="0" fontId="5" fillId="48" borderId="4" applyNumberFormat="0" applyProtection="0">
      <alignment horizontal="left" vertical="center" indent="1"/>
    </xf>
    <xf numFmtId="0" fontId="5" fillId="48" borderId="11" applyNumberFormat="0" applyProtection="0">
      <alignment horizontal="left" vertical="top" indent="1"/>
    </xf>
    <xf numFmtId="0" fontId="5" fillId="45" borderId="4" applyNumberFormat="0" applyProtection="0">
      <alignment horizontal="left" vertical="center" indent="1"/>
    </xf>
    <xf numFmtId="0" fontId="5" fillId="45" borderId="11" applyNumberFormat="0" applyProtection="0">
      <alignment horizontal="left" vertical="top" indent="1"/>
    </xf>
    <xf numFmtId="0" fontId="5" fillId="49" borderId="13" applyNumberFormat="0">
      <protection locked="0"/>
    </xf>
    <xf numFmtId="0" fontId="6" fillId="43" borderId="14" applyBorder="0"/>
    <xf numFmtId="4" fontId="7" fillId="50" borderId="11" applyNumberFormat="0" applyProtection="0">
      <alignment vertical="center"/>
    </xf>
    <xf numFmtId="4" fontId="25" fillId="51" borderId="2" applyNumberFormat="0" applyProtection="0">
      <alignment vertical="center"/>
    </xf>
    <xf numFmtId="4" fontId="7" fillId="46" borderId="11" applyNumberFormat="0" applyProtection="0">
      <alignment horizontal="left" vertical="center" indent="1"/>
    </xf>
    <xf numFmtId="0" fontId="7" fillId="50" borderId="11" applyNumberFormat="0" applyProtection="0">
      <alignment horizontal="left" vertical="top" indent="1"/>
    </xf>
    <xf numFmtId="4" fontId="5" fillId="0" borderId="4" applyNumberFormat="0" applyProtection="0">
      <alignment horizontal="right" vertical="center"/>
    </xf>
    <xf numFmtId="4" fontId="25" fillId="4" borderId="4" applyNumberFormat="0" applyProtection="0">
      <alignment horizontal="right" vertical="center"/>
    </xf>
    <xf numFmtId="4" fontId="5" fillId="32" borderId="4" applyNumberFormat="0" applyProtection="0">
      <alignment horizontal="left" vertical="center" indent="1"/>
    </xf>
    <xf numFmtId="0" fontId="7" fillId="44" borderId="11" applyNumberFormat="0" applyProtection="0">
      <alignment horizontal="left" vertical="top" indent="1"/>
    </xf>
    <xf numFmtId="4" fontId="9" fillId="52" borderId="12" applyNumberFormat="0" applyProtection="0">
      <alignment horizontal="left" vertical="center" indent="1"/>
    </xf>
    <xf numFmtId="0" fontId="5" fillId="53" borderId="2"/>
    <xf numFmtId="4" fontId="10" fillId="49" borderId="4" applyNumberFormat="0" applyProtection="0">
      <alignment horizontal="right" vertical="center"/>
    </xf>
    <xf numFmtId="0" fontId="23" fillId="0" borderId="0" applyNumberFormat="0" applyFill="0" applyBorder="0" applyAlignment="0" applyProtection="0"/>
    <xf numFmtId="0" fontId="16" fillId="0" borderId="15" applyNumberFormat="0" applyFill="0" applyAlignment="0" applyProtection="0"/>
    <xf numFmtId="0" fontId="24" fillId="0" borderId="0" applyNumberFormat="0" applyFill="0" applyBorder="0" applyAlignment="0" applyProtection="0"/>
    <xf numFmtId="0" fontId="5" fillId="5" borderId="0"/>
    <xf numFmtId="0" fontId="26" fillId="5" borderId="0"/>
    <xf numFmtId="0" fontId="4" fillId="23" borderId="4" applyNumberFormat="0" applyFont="0" applyAlignment="0" applyProtection="0"/>
    <xf numFmtId="4" fontId="4" fillId="30" borderId="4" applyNumberFormat="0" applyProtection="0">
      <alignment vertical="center"/>
    </xf>
    <xf numFmtId="4" fontId="4" fillId="31" borderId="4" applyNumberFormat="0" applyProtection="0">
      <alignment horizontal="left" vertical="center" indent="1"/>
    </xf>
    <xf numFmtId="4" fontId="4" fillId="32" borderId="4" applyNumberFormat="0" applyProtection="0">
      <alignment horizontal="left" vertical="center" indent="1"/>
    </xf>
    <xf numFmtId="4" fontId="4" fillId="33" borderId="4" applyNumberFormat="0" applyProtection="0">
      <alignment horizontal="right" vertical="center"/>
    </xf>
    <xf numFmtId="4" fontId="4" fillId="34" borderId="4" applyNumberFormat="0" applyProtection="0">
      <alignment horizontal="right" vertical="center"/>
    </xf>
    <xf numFmtId="4" fontId="4" fillId="35" borderId="12" applyNumberFormat="0" applyProtection="0">
      <alignment horizontal="right" vertical="center"/>
    </xf>
    <xf numFmtId="4" fontId="4" fillId="36" borderId="4" applyNumberFormat="0" applyProtection="0">
      <alignment horizontal="right" vertical="center"/>
    </xf>
    <xf numFmtId="4" fontId="4" fillId="37" borderId="4" applyNumberFormat="0" applyProtection="0">
      <alignment horizontal="right" vertical="center"/>
    </xf>
    <xf numFmtId="4" fontId="4" fillId="38" borderId="4" applyNumberFormat="0" applyProtection="0">
      <alignment horizontal="right" vertical="center"/>
    </xf>
    <xf numFmtId="4" fontId="4" fillId="39" borderId="4" applyNumberFormat="0" applyProtection="0">
      <alignment horizontal="right" vertical="center"/>
    </xf>
    <xf numFmtId="4" fontId="4" fillId="40" borderId="4" applyNumberFormat="0" applyProtection="0">
      <alignment horizontal="right" vertical="center"/>
    </xf>
    <xf numFmtId="4" fontId="4" fillId="41" borderId="4" applyNumberFormat="0" applyProtection="0">
      <alignment horizontal="right" vertical="center"/>
    </xf>
    <xf numFmtId="4" fontId="4" fillId="42" borderId="12" applyNumberFormat="0" applyProtection="0">
      <alignment horizontal="left" vertical="center" indent="1"/>
    </xf>
    <xf numFmtId="4" fontId="4" fillId="44" borderId="4" applyNumberFormat="0" applyProtection="0">
      <alignment horizontal="right" vertical="center"/>
    </xf>
    <xf numFmtId="4" fontId="4" fillId="45" borderId="12" applyNumberFormat="0" applyProtection="0">
      <alignment horizontal="left" vertical="center" indent="1"/>
    </xf>
    <xf numFmtId="4" fontId="4" fillId="44" borderId="12" applyNumberFormat="0" applyProtection="0">
      <alignment horizontal="left" vertical="center" indent="1"/>
    </xf>
    <xf numFmtId="0" fontId="4" fillId="46" borderId="4" applyNumberFormat="0" applyProtection="0">
      <alignment horizontal="left" vertical="center" indent="1"/>
    </xf>
    <xf numFmtId="0" fontId="4" fillId="43" borderId="11" applyNumberFormat="0" applyProtection="0">
      <alignment horizontal="left" vertical="top" indent="1"/>
    </xf>
    <xf numFmtId="0" fontId="4" fillId="47" borderId="4" applyNumberFormat="0" applyProtection="0">
      <alignment horizontal="left" vertical="center" indent="1"/>
    </xf>
    <xf numFmtId="0" fontId="4" fillId="44" borderId="11" applyNumberFormat="0" applyProtection="0">
      <alignment horizontal="left" vertical="top" indent="1"/>
    </xf>
    <xf numFmtId="0" fontId="4" fillId="48" borderId="4" applyNumberFormat="0" applyProtection="0">
      <alignment horizontal="left" vertical="center" indent="1"/>
    </xf>
    <xf numFmtId="0" fontId="4" fillId="48" borderId="11" applyNumberFormat="0" applyProtection="0">
      <alignment horizontal="left" vertical="top" indent="1"/>
    </xf>
    <xf numFmtId="0" fontId="4" fillId="45" borderId="4" applyNumberFormat="0" applyProtection="0">
      <alignment horizontal="left" vertical="center" indent="1"/>
    </xf>
    <xf numFmtId="0" fontId="4" fillId="45" borderId="11" applyNumberFormat="0" applyProtection="0">
      <alignment horizontal="left" vertical="top" indent="1"/>
    </xf>
    <xf numFmtId="0" fontId="4" fillId="49" borderId="13" applyNumberFormat="0">
      <protection locked="0"/>
    </xf>
    <xf numFmtId="4" fontId="4" fillId="0" borderId="4" applyNumberFormat="0" applyProtection="0">
      <alignment horizontal="right" vertical="center"/>
    </xf>
    <xf numFmtId="4" fontId="4" fillId="32" borderId="4" applyNumberFormat="0" applyProtection="0">
      <alignment horizontal="left" vertical="center" indent="1"/>
    </xf>
    <xf numFmtId="0" fontId="4" fillId="53" borderId="2"/>
    <xf numFmtId="0" fontId="27" fillId="5" borderId="0"/>
    <xf numFmtId="0" fontId="28" fillId="5" borderId="0"/>
    <xf numFmtId="0" fontId="29" fillId="5" borderId="0"/>
    <xf numFmtId="0" fontId="30" fillId="5" borderId="0"/>
    <xf numFmtId="0" fontId="31" fillId="5" borderId="0"/>
    <xf numFmtId="0" fontId="32" fillId="5" borderId="0"/>
    <xf numFmtId="0" fontId="33" fillId="5" borderId="0"/>
    <xf numFmtId="0" fontId="34" fillId="5" borderId="0"/>
    <xf numFmtId="0" fontId="36" fillId="5" borderId="0"/>
    <xf numFmtId="0" fontId="13" fillId="23" borderId="0" applyNumberFormat="0" applyBorder="0" applyAlignment="0" applyProtection="0"/>
    <xf numFmtId="0" fontId="21" fillId="24" borderId="0" applyNumberFormat="0" applyBorder="0" applyAlignment="0" applyProtection="0"/>
    <xf numFmtId="43" fontId="2" fillId="0" borderId="0" applyFont="0" applyFill="0" applyBorder="0" applyAlignment="0" applyProtection="0"/>
    <xf numFmtId="0" fontId="4" fillId="23" borderId="4" applyNumberFormat="0" applyFont="0" applyAlignment="0" applyProtection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0" fontId="4" fillId="5" borderId="0"/>
    <xf numFmtId="44" fontId="39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37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1" fillId="2" borderId="0" xfId="0" applyNumberFormat="1" applyFont="1" applyFill="1" applyAlignment="1">
      <alignment horizontal="center"/>
    </xf>
    <xf numFmtId="0" fontId="1" fillId="0" borderId="0" xfId="0" applyFont="1"/>
    <xf numFmtId="164" fontId="1" fillId="0" borderId="0" xfId="1" applyFont="1" applyFill="1"/>
    <xf numFmtId="43" fontId="1" fillId="0" borderId="0" xfId="0" applyNumberFormat="1" applyFont="1"/>
    <xf numFmtId="164" fontId="1" fillId="0" borderId="0" xfId="1" applyFont="1"/>
    <xf numFmtId="165" fontId="3" fillId="0" borderId="2" xfId="2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164" fontId="35" fillId="0" borderId="2" xfId="1" applyFont="1" applyFill="1" applyBorder="1" applyAlignment="1" applyProtection="1">
      <alignment horizontal="center"/>
    </xf>
    <xf numFmtId="164" fontId="1" fillId="0" borderId="2" xfId="1" applyFont="1" applyFill="1" applyBorder="1" applyProtection="1"/>
    <xf numFmtId="164" fontId="3" fillId="0" borderId="2" xfId="1" applyFont="1" applyFill="1" applyBorder="1" applyProtection="1"/>
    <xf numFmtId="0" fontId="38" fillId="54" borderId="0" xfId="0" applyFont="1" applyFill="1"/>
    <xf numFmtId="0" fontId="3" fillId="55" borderId="0" xfId="0" applyFont="1" applyFill="1"/>
    <xf numFmtId="17" fontId="1" fillId="0" borderId="0" xfId="0" applyNumberFormat="1" applyFont="1"/>
    <xf numFmtId="164" fontId="3" fillId="55" borderId="0" xfId="0" applyNumberFormat="1" applyFont="1" applyFill="1"/>
    <xf numFmtId="164" fontId="1" fillId="0" borderId="2" xfId="0" quotePrefix="1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37" fillId="55" borderId="1" xfId="0" applyFont="1" applyFill="1" applyBorder="1" applyAlignment="1">
      <alignment horizontal="center"/>
    </xf>
    <xf numFmtId="167" fontId="3" fillId="0" borderId="2" xfId="2" applyNumberFormat="1" applyFont="1" applyBorder="1" applyAlignment="1">
      <alignment horizontal="center"/>
    </xf>
    <xf numFmtId="0" fontId="41" fillId="55" borderId="0" xfId="0" applyFont="1" applyFill="1" applyAlignment="1">
      <alignment horizontal="center"/>
    </xf>
    <xf numFmtId="0" fontId="42" fillId="2" borderId="0" xfId="0" applyFont="1" applyFill="1"/>
    <xf numFmtId="168" fontId="1" fillId="2" borderId="0" xfId="0" applyNumberFormat="1" applyFont="1" applyFill="1"/>
    <xf numFmtId="167" fontId="1" fillId="3" borderId="2" xfId="0" applyNumberFormat="1" applyFont="1" applyFill="1" applyBorder="1"/>
    <xf numFmtId="14" fontId="41" fillId="0" borderId="2" xfId="1" applyNumberFormat="1" applyFont="1" applyFill="1" applyBorder="1" applyAlignment="1" applyProtection="1">
      <alignment horizontal="center"/>
    </xf>
    <xf numFmtId="0" fontId="41" fillId="0" borderId="2" xfId="1" applyNumberFormat="1" applyFont="1" applyFill="1" applyBorder="1" applyAlignment="1" applyProtection="1">
      <alignment horizontal="center"/>
    </xf>
    <xf numFmtId="0" fontId="42" fillId="0" borderId="2" xfId="1" applyNumberFormat="1" applyFont="1" applyFill="1" applyBorder="1" applyAlignment="1" applyProtection="1">
      <alignment horizontal="center"/>
    </xf>
    <xf numFmtId="14" fontId="41" fillId="56" borderId="2" xfId="1" applyNumberFormat="1" applyFont="1" applyFill="1" applyBorder="1" applyAlignment="1" applyProtection="1">
      <alignment horizontal="center"/>
    </xf>
    <xf numFmtId="14" fontId="41" fillId="57" borderId="2" xfId="1" applyNumberFormat="1" applyFont="1" applyFill="1" applyBorder="1" applyAlignment="1" applyProtection="1">
      <alignment horizontal="center"/>
    </xf>
    <xf numFmtId="0" fontId="37" fillId="55" borderId="1" xfId="0" applyFont="1" applyFill="1" applyBorder="1"/>
    <xf numFmtId="169" fontId="1" fillId="2" borderId="0" xfId="0" applyNumberFormat="1" applyFont="1" applyFill="1"/>
    <xf numFmtId="0" fontId="41" fillId="0" borderId="0" xfId="0" applyFont="1" applyAlignment="1">
      <alignment horizontal="center"/>
    </xf>
    <xf numFmtId="169" fontId="1" fillId="0" borderId="0" xfId="0" applyNumberFormat="1" applyFont="1"/>
    <xf numFmtId="0" fontId="37" fillId="55" borderId="3" xfId="0" applyFont="1" applyFill="1" applyBorder="1" applyAlignment="1">
      <alignment horizontal="left"/>
    </xf>
    <xf numFmtId="44" fontId="40" fillId="54" borderId="2" xfId="142" applyFont="1" applyFill="1" applyBorder="1" applyAlignment="1">
      <alignment vertical="center"/>
    </xf>
    <xf numFmtId="0" fontId="40" fillId="54" borderId="2" xfId="0" applyFont="1" applyFill="1" applyBorder="1" applyAlignment="1">
      <alignment vertical="center"/>
    </xf>
    <xf numFmtId="169" fontId="40" fillId="54" borderId="2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69" fontId="40" fillId="54" borderId="18" xfId="0" applyNumberFormat="1" applyFont="1" applyFill="1" applyBorder="1" applyAlignment="1">
      <alignment vertical="center"/>
    </xf>
    <xf numFmtId="0" fontId="37" fillId="0" borderId="20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1" xfId="0" applyFont="1" applyBorder="1"/>
    <xf numFmtId="165" fontId="3" fillId="55" borderId="2" xfId="0" applyNumberFormat="1" applyFont="1" applyFill="1" applyBorder="1" applyAlignment="1">
      <alignment horizontal="center" vertical="center" wrapText="1"/>
    </xf>
    <xf numFmtId="165" fontId="3" fillId="55" borderId="2" xfId="0" applyNumberFormat="1" applyFont="1" applyFill="1" applyBorder="1" applyAlignment="1">
      <alignment horizontal="center" vertical="center"/>
    </xf>
    <xf numFmtId="1" fontId="3" fillId="55" borderId="2" xfId="0" applyNumberFormat="1" applyFont="1" applyFill="1" applyBorder="1" applyAlignment="1">
      <alignment horizontal="center" vertical="center"/>
    </xf>
    <xf numFmtId="166" fontId="3" fillId="55" borderId="2" xfId="0" applyNumberFormat="1" applyFont="1" applyFill="1" applyBorder="1" applyAlignment="1">
      <alignment horizontal="center" vertical="center"/>
    </xf>
    <xf numFmtId="0" fontId="3" fillId="55" borderId="2" xfId="0" applyFont="1" applyFill="1" applyBorder="1" applyAlignment="1">
      <alignment horizontal="center" vertical="center"/>
    </xf>
    <xf numFmtId="0" fontId="41" fillId="55" borderId="2" xfId="0" applyFont="1" applyFill="1" applyBorder="1" applyAlignment="1">
      <alignment horizontal="center" vertical="center" wrapText="1"/>
    </xf>
    <xf numFmtId="0" fontId="41" fillId="55" borderId="2" xfId="0" applyFont="1" applyFill="1" applyBorder="1" applyAlignment="1">
      <alignment horizontal="center" vertical="center"/>
    </xf>
    <xf numFmtId="0" fontId="1" fillId="0" borderId="2" xfId="0" quotePrefix="1" applyFont="1" applyBorder="1"/>
    <xf numFmtId="165" fontId="3" fillId="0" borderId="2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64" fontId="3" fillId="0" borderId="2" xfId="1" applyFont="1" applyFill="1" applyBorder="1" applyAlignment="1">
      <alignment horizontal="center"/>
    </xf>
    <xf numFmtId="169" fontId="1" fillId="0" borderId="2" xfId="0" applyNumberFormat="1" applyFont="1" applyBorder="1" applyAlignment="1">
      <alignment vertical="center"/>
    </xf>
    <xf numFmtId="169" fontId="1" fillId="0" borderId="2" xfId="0" applyNumberFormat="1" applyFont="1" applyBorder="1"/>
    <xf numFmtId="0" fontId="35" fillId="3" borderId="2" xfId="2" applyFont="1" applyFill="1" applyBorder="1" applyAlignment="1">
      <alignment horizontal="center"/>
    </xf>
    <xf numFmtId="169" fontId="1" fillId="3" borderId="2" xfId="0" applyNumberFormat="1" applyFont="1" applyFill="1" applyBorder="1"/>
    <xf numFmtId="167" fontId="1" fillId="0" borderId="2" xfId="0" applyNumberFormat="1" applyFont="1" applyBorder="1"/>
    <xf numFmtId="167" fontId="1" fillId="57" borderId="2" xfId="0" applyNumberFormat="1" applyFont="1" applyFill="1" applyBorder="1"/>
    <xf numFmtId="167" fontId="3" fillId="57" borderId="2" xfId="2" applyNumberFormat="1" applyFont="1" applyFill="1" applyBorder="1" applyAlignment="1">
      <alignment horizontal="center"/>
    </xf>
    <xf numFmtId="165" fontId="3" fillId="57" borderId="2" xfId="2" applyNumberFormat="1" applyFont="1" applyFill="1" applyBorder="1" applyAlignment="1">
      <alignment horizontal="center"/>
    </xf>
    <xf numFmtId="0" fontId="3" fillId="57" borderId="2" xfId="2" applyFont="1" applyFill="1" applyBorder="1" applyAlignment="1">
      <alignment horizontal="center"/>
    </xf>
    <xf numFmtId="164" fontId="35" fillId="57" borderId="2" xfId="1" applyFont="1" applyFill="1" applyBorder="1" applyAlignment="1" applyProtection="1">
      <alignment horizontal="center"/>
    </xf>
    <xf numFmtId="164" fontId="1" fillId="57" borderId="2" xfId="1" applyFont="1" applyFill="1" applyBorder="1" applyProtection="1"/>
    <xf numFmtId="164" fontId="3" fillId="57" borderId="2" xfId="1" applyFont="1" applyFill="1" applyBorder="1" applyProtection="1"/>
    <xf numFmtId="164" fontId="1" fillId="57" borderId="2" xfId="0" quotePrefix="1" applyNumberFormat="1" applyFont="1" applyFill="1" applyBorder="1"/>
    <xf numFmtId="0" fontId="1" fillId="57" borderId="2" xfId="0" applyFont="1" applyFill="1" applyBorder="1" applyAlignment="1">
      <alignment vertical="center"/>
    </xf>
    <xf numFmtId="169" fontId="1" fillId="57" borderId="2" xfId="0" applyNumberFormat="1" applyFont="1" applyFill="1" applyBorder="1" applyAlignment="1">
      <alignment vertical="center"/>
    </xf>
    <xf numFmtId="0" fontId="1" fillId="3" borderId="2" xfId="0" applyFont="1" applyFill="1" applyBorder="1"/>
    <xf numFmtId="0" fontId="1" fillId="3" borderId="16" xfId="0" applyFont="1" applyFill="1" applyBorder="1"/>
    <xf numFmtId="0" fontId="35" fillId="57" borderId="2" xfId="2" applyFont="1" applyFill="1" applyBorder="1" applyAlignment="1">
      <alignment horizontal="center"/>
    </xf>
    <xf numFmtId="0" fontId="1" fillId="3" borderId="18" xfId="0" applyFont="1" applyFill="1" applyBorder="1"/>
    <xf numFmtId="0" fontId="1" fillId="3" borderId="17" xfId="0" applyFont="1" applyFill="1" applyBorder="1"/>
    <xf numFmtId="0" fontId="1" fillId="0" borderId="18" xfId="0" applyFont="1" applyBorder="1"/>
    <xf numFmtId="0" fontId="1" fillId="0" borderId="16" xfId="0" applyFont="1" applyBorder="1"/>
    <xf numFmtId="0" fontId="1" fillId="0" borderId="17" xfId="0" applyFont="1" applyBorder="1"/>
    <xf numFmtId="0" fontId="42" fillId="0" borderId="0" xfId="0" applyFont="1"/>
    <xf numFmtId="0" fontId="41" fillId="59" borderId="0" xfId="136" applyFont="1" applyFill="1"/>
    <xf numFmtId="0" fontId="42" fillId="32" borderId="4" xfId="93" quotePrefix="1" applyNumberFormat="1" applyFont="1">
      <alignment horizontal="left" vertical="center" indent="1"/>
    </xf>
    <xf numFmtId="0" fontId="42" fillId="32" borderId="4" xfId="117" quotePrefix="1" applyNumberFormat="1" applyFont="1">
      <alignment horizontal="left" vertical="center" indent="1"/>
    </xf>
    <xf numFmtId="17" fontId="42" fillId="0" borderId="0" xfId="0" applyNumberFormat="1" applyFont="1"/>
    <xf numFmtId="0" fontId="42" fillId="45" borderId="4" xfId="113" quotePrefix="1" applyFont="1" applyAlignment="1">
      <alignment horizontal="left" vertical="center" indent="9"/>
    </xf>
    <xf numFmtId="0" fontId="42" fillId="45" borderId="4" xfId="113" quotePrefix="1" applyFont="1">
      <alignment horizontal="left" vertical="center" indent="1"/>
    </xf>
    <xf numFmtId="170" fontId="42" fillId="0" borderId="4" xfId="116" applyNumberFormat="1" applyFont="1">
      <alignment horizontal="right" vertical="center"/>
    </xf>
    <xf numFmtId="171" fontId="42" fillId="0" borderId="4" xfId="116" applyNumberFormat="1" applyFont="1">
      <alignment horizontal="right" vertical="center"/>
    </xf>
    <xf numFmtId="0" fontId="42" fillId="45" borderId="4" xfId="113" quotePrefix="1" applyFont="1" applyAlignment="1">
      <alignment horizontal="left" vertical="center" indent="8"/>
    </xf>
    <xf numFmtId="17" fontId="1" fillId="0" borderId="2" xfId="0" quotePrefix="1" applyNumberFormat="1" applyFont="1" applyBorder="1"/>
    <xf numFmtId="0" fontId="41" fillId="58" borderId="0" xfId="0" applyFont="1" applyFill="1"/>
    <xf numFmtId="164" fontId="42" fillId="0" borderId="0" xfId="1" applyFont="1" applyBorder="1"/>
    <xf numFmtId="164" fontId="42" fillId="0" borderId="24" xfId="1" applyFont="1" applyBorder="1"/>
    <xf numFmtId="0" fontId="42" fillId="60" borderId="17" xfId="0" applyFont="1" applyFill="1" applyBorder="1"/>
    <xf numFmtId="0" fontId="44" fillId="60" borderId="18" xfId="0" applyFont="1" applyFill="1" applyBorder="1" applyAlignment="1">
      <alignment horizontal="center"/>
    </xf>
    <xf numFmtId="164" fontId="42" fillId="0" borderId="17" xfId="1" applyFont="1" applyBorder="1"/>
    <xf numFmtId="164" fontId="42" fillId="60" borderId="17" xfId="1" applyFont="1" applyFill="1" applyBorder="1"/>
    <xf numFmtId="164" fontId="42" fillId="0" borderId="22" xfId="1" applyFont="1" applyBorder="1"/>
    <xf numFmtId="164" fontId="42" fillId="0" borderId="16" xfId="1" applyFont="1" applyBorder="1"/>
    <xf numFmtId="164" fontId="42" fillId="60" borderId="16" xfId="1" applyFont="1" applyFill="1" applyBorder="1"/>
    <xf numFmtId="164" fontId="42" fillId="0" borderId="0" xfId="0" applyNumberFormat="1" applyFont="1"/>
    <xf numFmtId="0" fontId="41" fillId="58" borderId="19" xfId="0" applyFont="1" applyFill="1" applyBorder="1" applyAlignment="1">
      <alignment horizontal="center"/>
    </xf>
    <xf numFmtId="0" fontId="41" fillId="58" borderId="2" xfId="0" applyFont="1" applyFill="1" applyBorder="1" applyAlignment="1">
      <alignment horizontal="center"/>
    </xf>
    <xf numFmtId="0" fontId="41" fillId="58" borderId="25" xfId="0" applyFont="1" applyFill="1" applyBorder="1" applyAlignment="1">
      <alignment horizontal="center"/>
    </xf>
    <xf numFmtId="0" fontId="41" fillId="60" borderId="17" xfId="0" applyFont="1" applyFill="1" applyBorder="1" applyAlignment="1">
      <alignment horizontal="center"/>
    </xf>
    <xf numFmtId="0" fontId="41" fillId="58" borderId="23" xfId="0" applyFont="1" applyFill="1" applyBorder="1" applyAlignment="1">
      <alignment horizontal="center"/>
    </xf>
    <xf numFmtId="14" fontId="41" fillId="0" borderId="2" xfId="1" quotePrefix="1" applyNumberFormat="1" applyFont="1" applyFill="1" applyBorder="1" applyAlignment="1" applyProtection="1">
      <alignment horizontal="center"/>
    </xf>
    <xf numFmtId="0" fontId="1" fillId="56" borderId="0" xfId="0" applyFont="1" applyFill="1"/>
    <xf numFmtId="0" fontId="42" fillId="2" borderId="2" xfId="0" applyFont="1" applyFill="1" applyBorder="1"/>
    <xf numFmtId="164" fontId="1" fillId="0" borderId="18" xfId="1" applyFont="1" applyFill="1" applyBorder="1" applyProtection="1"/>
    <xf numFmtId="17" fontId="1" fillId="2" borderId="2" xfId="0" applyNumberFormat="1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 applyAlignment="1">
      <alignment horizontal="center"/>
    </xf>
    <xf numFmtId="164" fontId="1" fillId="2" borderId="2" xfId="1" applyFont="1" applyFill="1" applyBorder="1" applyAlignment="1">
      <alignment horizontal="center"/>
    </xf>
    <xf numFmtId="167" fontId="3" fillId="0" borderId="18" xfId="2" applyNumberFormat="1" applyFont="1" applyBorder="1" applyAlignment="1">
      <alignment horizontal="center"/>
    </xf>
    <xf numFmtId="164" fontId="3" fillId="0" borderId="18" xfId="1" applyFont="1" applyFill="1" applyBorder="1" applyProtection="1"/>
    <xf numFmtId="0" fontId="42" fillId="0" borderId="18" xfId="0" applyFont="1" applyBorder="1"/>
    <xf numFmtId="169" fontId="1" fillId="0" borderId="16" xfId="0" applyNumberFormat="1" applyFont="1" applyBorder="1"/>
    <xf numFmtId="1" fontId="1" fillId="0" borderId="2" xfId="0" applyNumberFormat="1" applyFont="1" applyBorder="1" applyAlignment="1">
      <alignment horizontal="center"/>
    </xf>
    <xf numFmtId="164" fontId="1" fillId="0" borderId="2" xfId="1" applyFont="1" applyFill="1" applyBorder="1" applyAlignment="1">
      <alignment horizontal="center"/>
    </xf>
    <xf numFmtId="0" fontId="42" fillId="0" borderId="2" xfId="0" applyFont="1" applyBorder="1"/>
    <xf numFmtId="0" fontId="35" fillId="0" borderId="2" xfId="2" applyFont="1" applyBorder="1" applyAlignment="1">
      <alignment horizontal="center"/>
    </xf>
    <xf numFmtId="14" fontId="41" fillId="56" borderId="2" xfId="1" quotePrefix="1" applyNumberFormat="1" applyFont="1" applyFill="1" applyBorder="1" applyAlignment="1" applyProtection="1">
      <alignment horizontal="center"/>
    </xf>
    <xf numFmtId="169" fontId="1" fillId="2" borderId="2" xfId="0" applyNumberFormat="1" applyFont="1" applyFill="1" applyBorder="1"/>
    <xf numFmtId="0" fontId="3" fillId="2" borderId="2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/>
    <xf numFmtId="164" fontId="1" fillId="2" borderId="2" xfId="1" applyFont="1" applyFill="1" applyBorder="1"/>
    <xf numFmtId="0" fontId="1" fillId="3" borderId="19" xfId="0" applyFont="1" applyFill="1" applyBorder="1"/>
    <xf numFmtId="0" fontId="41" fillId="56" borderId="2" xfId="1" applyNumberFormat="1" applyFont="1" applyFill="1" applyBorder="1" applyAlignment="1" applyProtection="1">
      <alignment horizontal="center"/>
    </xf>
    <xf numFmtId="167" fontId="1" fillId="3" borderId="18" xfId="0" applyNumberFormat="1" applyFont="1" applyFill="1" applyBorder="1"/>
    <xf numFmtId="0" fontId="3" fillId="0" borderId="18" xfId="2" applyFont="1" applyBorder="1" applyAlignment="1">
      <alignment horizontal="center"/>
    </xf>
    <xf numFmtId="164" fontId="35" fillId="0" borderId="18" xfId="1" applyFont="1" applyFill="1" applyBorder="1" applyAlignment="1" applyProtection="1">
      <alignment horizontal="center"/>
    </xf>
    <xf numFmtId="164" fontId="1" fillId="0" borderId="18" xfId="0" quotePrefix="1" applyNumberFormat="1" applyFont="1" applyBorder="1"/>
    <xf numFmtId="0" fontId="1" fillId="0" borderId="17" xfId="0" applyFont="1" applyBorder="1" applyAlignment="1">
      <alignment vertical="center"/>
    </xf>
    <xf numFmtId="0" fontId="41" fillId="0" borderId="2" xfId="1" quotePrefix="1" applyNumberFormat="1" applyFont="1" applyFill="1" applyBorder="1" applyAlignment="1" applyProtection="1">
      <alignment horizontal="center"/>
    </xf>
    <xf numFmtId="0" fontId="41" fillId="57" borderId="2" xfId="1" applyNumberFormat="1" applyFont="1" applyFill="1" applyBorder="1" applyAlignment="1" applyProtection="1">
      <alignment horizontal="center"/>
    </xf>
    <xf numFmtId="167" fontId="3" fillId="56" borderId="2" xfId="0" applyNumberFormat="1" applyFont="1" applyFill="1" applyBorder="1" applyAlignment="1">
      <alignment horizontal="center"/>
    </xf>
    <xf numFmtId="168" fontId="1" fillId="2" borderId="2" xfId="0" applyNumberFormat="1" applyFont="1" applyFill="1" applyBorder="1"/>
    <xf numFmtId="164" fontId="42" fillId="0" borderId="18" xfId="1" applyFont="1" applyBorder="1"/>
    <xf numFmtId="168" fontId="1" fillId="0" borderId="2" xfId="0" applyNumberFormat="1" applyFont="1" applyBorder="1"/>
    <xf numFmtId="49" fontId="41" fillId="55" borderId="3" xfId="0" applyNumberFormat="1" applyFont="1" applyFill="1" applyBorder="1" applyAlignment="1">
      <alignment horizontal="left"/>
    </xf>
    <xf numFmtId="0" fontId="41" fillId="55" borderId="1" xfId="0" applyFont="1" applyFill="1" applyBorder="1" applyAlignment="1">
      <alignment horizontal="center"/>
    </xf>
    <xf numFmtId="0" fontId="41" fillId="55" borderId="1" xfId="0" applyFont="1" applyFill="1" applyBorder="1"/>
    <xf numFmtId="164" fontId="42" fillId="0" borderId="0" xfId="1" applyFont="1" applyFill="1"/>
    <xf numFmtId="169" fontId="42" fillId="2" borderId="0" xfId="0" applyNumberFormat="1" applyFont="1" applyFill="1"/>
    <xf numFmtId="49" fontId="42" fillId="0" borderId="0" xfId="0" applyNumberFormat="1" applyFont="1"/>
    <xf numFmtId="0" fontId="41" fillId="0" borderId="20" xfId="0" applyFont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1" fillId="0" borderId="21" xfId="0" applyFont="1" applyBorder="1"/>
    <xf numFmtId="169" fontId="42" fillId="0" borderId="0" xfId="0" applyNumberFormat="1" applyFont="1"/>
    <xf numFmtId="49" fontId="41" fillId="55" borderId="2" xfId="0" applyNumberFormat="1" applyFont="1" applyFill="1" applyBorder="1" applyAlignment="1">
      <alignment horizontal="center" vertical="center" wrapText="1"/>
    </xf>
    <xf numFmtId="165" fontId="41" fillId="55" borderId="2" xfId="0" applyNumberFormat="1" applyFont="1" applyFill="1" applyBorder="1" applyAlignment="1">
      <alignment horizontal="center" vertical="center"/>
    </xf>
    <xf numFmtId="1" fontId="41" fillId="55" borderId="2" xfId="0" applyNumberFormat="1" applyFont="1" applyFill="1" applyBorder="1" applyAlignment="1">
      <alignment horizontal="center" vertical="center"/>
    </xf>
    <xf numFmtId="166" fontId="41" fillId="55" borderId="2" xfId="0" applyNumberFormat="1" applyFont="1" applyFill="1" applyBorder="1" applyAlignment="1">
      <alignment horizontal="center" vertical="center"/>
    </xf>
    <xf numFmtId="44" fontId="45" fillId="54" borderId="2" xfId="142" applyFont="1" applyFill="1" applyBorder="1" applyAlignment="1">
      <alignment vertical="center"/>
    </xf>
    <xf numFmtId="0" fontId="45" fillId="54" borderId="2" xfId="0" applyFont="1" applyFill="1" applyBorder="1" applyAlignment="1">
      <alignment vertical="center"/>
    </xf>
    <xf numFmtId="169" fontId="45" fillId="54" borderId="2" xfId="0" applyNumberFormat="1" applyFont="1" applyFill="1" applyBorder="1" applyAlignment="1">
      <alignment vertical="center"/>
    </xf>
    <xf numFmtId="169" fontId="45" fillId="54" borderId="18" xfId="0" applyNumberFormat="1" applyFont="1" applyFill="1" applyBorder="1" applyAlignment="1">
      <alignment vertical="center"/>
    </xf>
    <xf numFmtId="0" fontId="42" fillId="2" borderId="0" xfId="0" applyFont="1" applyFill="1" applyAlignment="1">
      <alignment vertical="center"/>
    </xf>
    <xf numFmtId="49" fontId="42" fillId="3" borderId="2" xfId="0" applyNumberFormat="1" applyFont="1" applyFill="1" applyBorder="1"/>
    <xf numFmtId="167" fontId="41" fillId="0" borderId="2" xfId="2" applyNumberFormat="1" applyFont="1" applyBorder="1" applyAlignment="1">
      <alignment horizontal="center"/>
    </xf>
    <xf numFmtId="165" fontId="41" fillId="0" borderId="2" xfId="2" applyNumberFormat="1" applyFont="1" applyBorder="1" applyAlignment="1">
      <alignment horizontal="center"/>
    </xf>
    <xf numFmtId="0" fontId="41" fillId="0" borderId="2" xfId="2" applyFont="1" applyBorder="1" applyAlignment="1">
      <alignment horizontal="center"/>
    </xf>
    <xf numFmtId="164" fontId="46" fillId="0" borderId="2" xfId="1" applyFont="1" applyFill="1" applyBorder="1" applyAlignment="1" applyProtection="1">
      <alignment horizontal="center"/>
    </xf>
    <xf numFmtId="164" fontId="42" fillId="0" borderId="2" xfId="1" applyFont="1" applyFill="1" applyBorder="1" applyProtection="1"/>
    <xf numFmtId="164" fontId="41" fillId="0" borderId="2" xfId="1" applyFont="1" applyFill="1" applyBorder="1" applyProtection="1"/>
    <xf numFmtId="167" fontId="41" fillId="0" borderId="2" xfId="0" applyNumberFormat="1" applyFont="1" applyBorder="1" applyAlignment="1">
      <alignment horizontal="center"/>
    </xf>
    <xf numFmtId="164" fontId="42" fillId="0" borderId="2" xfId="0" quotePrefix="1" applyNumberFormat="1" applyFont="1" applyBorder="1"/>
    <xf numFmtId="0" fontId="42" fillId="0" borderId="2" xfId="0" applyFont="1" applyBorder="1" applyAlignment="1">
      <alignment vertical="center"/>
    </xf>
    <xf numFmtId="169" fontId="42" fillId="0" borderId="2" xfId="0" applyNumberFormat="1" applyFont="1" applyBorder="1" applyAlignment="1">
      <alignment vertical="center"/>
    </xf>
    <xf numFmtId="0" fontId="42" fillId="3" borderId="16" xfId="0" applyFont="1" applyFill="1" applyBorder="1"/>
    <xf numFmtId="0" fontId="42" fillId="3" borderId="2" xfId="0" applyFont="1" applyFill="1" applyBorder="1"/>
    <xf numFmtId="0" fontId="42" fillId="3" borderId="0" xfId="0" applyFont="1" applyFill="1"/>
    <xf numFmtId="0" fontId="42" fillId="3" borderId="17" xfId="0" applyFont="1" applyFill="1" applyBorder="1"/>
    <xf numFmtId="169" fontId="42" fillId="0" borderId="2" xfId="0" applyNumberFormat="1" applyFont="1" applyBorder="1"/>
    <xf numFmtId="0" fontId="42" fillId="0" borderId="16" xfId="0" applyFont="1" applyBorder="1"/>
    <xf numFmtId="0" fontId="42" fillId="3" borderId="18" xfId="0" applyFont="1" applyFill="1" applyBorder="1"/>
    <xf numFmtId="0" fontId="42" fillId="0" borderId="17" xfId="0" applyFont="1" applyBorder="1"/>
    <xf numFmtId="0" fontId="46" fillId="3" borderId="2" xfId="2" applyFont="1" applyFill="1" applyBorder="1" applyAlignment="1">
      <alignment horizontal="center"/>
    </xf>
    <xf numFmtId="49" fontId="42" fillId="0" borderId="2" xfId="0" applyNumberFormat="1" applyFont="1" applyBorder="1"/>
    <xf numFmtId="0" fontId="46" fillId="0" borderId="2" xfId="2" applyFont="1" applyBorder="1" applyAlignment="1">
      <alignment horizontal="center"/>
    </xf>
    <xf numFmtId="49" fontId="42" fillId="57" borderId="2" xfId="0" applyNumberFormat="1" applyFont="1" applyFill="1" applyBorder="1"/>
    <xf numFmtId="167" fontId="41" fillId="57" borderId="2" xfId="2" applyNumberFormat="1" applyFont="1" applyFill="1" applyBorder="1" applyAlignment="1">
      <alignment horizontal="center"/>
    </xf>
    <xf numFmtId="165" fontId="41" fillId="57" borderId="2" xfId="2" applyNumberFormat="1" applyFont="1" applyFill="1" applyBorder="1" applyAlignment="1">
      <alignment horizontal="center"/>
    </xf>
    <xf numFmtId="0" fontId="46" fillId="57" borderId="2" xfId="2" applyFont="1" applyFill="1" applyBorder="1" applyAlignment="1">
      <alignment horizontal="center"/>
    </xf>
    <xf numFmtId="0" fontId="41" fillId="57" borderId="2" xfId="2" applyFont="1" applyFill="1" applyBorder="1" applyAlignment="1">
      <alignment horizontal="center"/>
    </xf>
    <xf numFmtId="164" fontId="41" fillId="57" borderId="2" xfId="1" applyFont="1" applyFill="1" applyBorder="1" applyProtection="1"/>
    <xf numFmtId="164" fontId="42" fillId="57" borderId="2" xfId="1" applyFont="1" applyFill="1" applyBorder="1" applyProtection="1"/>
    <xf numFmtId="167" fontId="41" fillId="57" borderId="2" xfId="0" applyNumberFormat="1" applyFont="1" applyFill="1" applyBorder="1" applyAlignment="1">
      <alignment horizontal="center"/>
    </xf>
    <xf numFmtId="164" fontId="42" fillId="57" borderId="2" xfId="0" quotePrefix="1" applyNumberFormat="1" applyFont="1" applyFill="1" applyBorder="1"/>
    <xf numFmtId="0" fontId="42" fillId="57" borderId="2" xfId="0" applyFont="1" applyFill="1" applyBorder="1" applyAlignment="1">
      <alignment vertical="center"/>
    </xf>
    <xf numFmtId="169" fontId="42" fillId="57" borderId="2" xfId="0" applyNumberFormat="1" applyFont="1" applyFill="1" applyBorder="1" applyAlignment="1">
      <alignment vertical="center"/>
    </xf>
    <xf numFmtId="164" fontId="46" fillId="57" borderId="2" xfId="1" applyFont="1" applyFill="1" applyBorder="1" applyAlignment="1" applyProtection="1">
      <alignment horizontal="center"/>
    </xf>
    <xf numFmtId="167" fontId="41" fillId="0" borderId="2" xfId="0" quotePrefix="1" applyNumberFormat="1" applyFont="1" applyBorder="1" applyAlignment="1">
      <alignment horizontal="center"/>
    </xf>
    <xf numFmtId="169" fontId="42" fillId="3" borderId="2" xfId="0" applyNumberFormat="1" applyFont="1" applyFill="1" applyBorder="1"/>
    <xf numFmtId="49" fontId="42" fillId="0" borderId="18" xfId="0" applyNumberFormat="1" applyFont="1" applyBorder="1"/>
    <xf numFmtId="167" fontId="41" fillId="0" borderId="18" xfId="2" applyNumberFormat="1" applyFont="1" applyBorder="1" applyAlignment="1">
      <alignment horizontal="center"/>
    </xf>
    <xf numFmtId="1" fontId="42" fillId="0" borderId="18" xfId="0" applyNumberFormat="1" applyFont="1" applyBorder="1" applyAlignment="1">
      <alignment horizontal="center"/>
    </xf>
    <xf numFmtId="164" fontId="42" fillId="0" borderId="18" xfId="1" applyFont="1" applyFill="1" applyBorder="1" applyAlignment="1">
      <alignment horizontal="center"/>
    </xf>
    <xf numFmtId="164" fontId="42" fillId="0" borderId="18" xfId="1" applyFont="1" applyFill="1" applyBorder="1" applyProtection="1"/>
    <xf numFmtId="164" fontId="41" fillId="0" borderId="18" xfId="1" applyFont="1" applyFill="1" applyBorder="1" applyProtection="1"/>
    <xf numFmtId="169" fontId="42" fillId="0" borderId="16" xfId="0" applyNumberFormat="1" applyFont="1" applyBorder="1"/>
    <xf numFmtId="1" fontId="42" fillId="0" borderId="2" xfId="0" applyNumberFormat="1" applyFont="1" applyBorder="1" applyAlignment="1">
      <alignment horizontal="center"/>
    </xf>
    <xf numFmtId="164" fontId="42" fillId="0" borderId="2" xfId="1" applyFont="1" applyFill="1" applyBorder="1" applyAlignment="1">
      <alignment horizontal="center"/>
    </xf>
    <xf numFmtId="49" fontId="42" fillId="2" borderId="2" xfId="0" applyNumberFormat="1" applyFont="1" applyFill="1" applyBorder="1"/>
    <xf numFmtId="1" fontId="42" fillId="2" borderId="2" xfId="0" applyNumberFormat="1" applyFont="1" applyFill="1" applyBorder="1" applyAlignment="1">
      <alignment horizontal="center"/>
    </xf>
    <xf numFmtId="164" fontId="42" fillId="2" borderId="2" xfId="1" applyFont="1" applyFill="1" applyBorder="1" applyAlignment="1">
      <alignment horizontal="center"/>
    </xf>
    <xf numFmtId="0" fontId="42" fillId="56" borderId="0" xfId="0" applyFont="1" applyFill="1"/>
    <xf numFmtId="0" fontId="41" fillId="2" borderId="2" xfId="0" applyFont="1" applyFill="1" applyBorder="1" applyAlignment="1">
      <alignment horizontal="center"/>
    </xf>
    <xf numFmtId="1" fontId="41" fillId="2" borderId="2" xfId="0" applyNumberFormat="1" applyFont="1" applyFill="1" applyBorder="1" applyAlignment="1">
      <alignment horizontal="center"/>
    </xf>
    <xf numFmtId="164" fontId="42" fillId="2" borderId="2" xfId="1" applyFont="1" applyFill="1" applyBorder="1"/>
    <xf numFmtId="0" fontId="41" fillId="2" borderId="2" xfId="0" applyFont="1" applyFill="1" applyBorder="1"/>
    <xf numFmtId="169" fontId="42" fillId="2" borderId="2" xfId="0" applyNumberFormat="1" applyFont="1" applyFill="1" applyBorder="1"/>
    <xf numFmtId="1" fontId="46" fillId="0" borderId="2" xfId="0" applyNumberFormat="1" applyFont="1" applyBorder="1" applyAlignment="1">
      <alignment horizontal="center" vertical="center"/>
    </xf>
    <xf numFmtId="49" fontId="42" fillId="2" borderId="0" xfId="0" applyNumberFormat="1" applyFont="1" applyFill="1"/>
    <xf numFmtId="1" fontId="42" fillId="2" borderId="0" xfId="0" applyNumberFormat="1" applyFont="1" applyFill="1" applyAlignment="1">
      <alignment horizontal="center"/>
    </xf>
    <xf numFmtId="168" fontId="42" fillId="2" borderId="0" xfId="0" applyNumberFormat="1" applyFont="1" applyFill="1"/>
    <xf numFmtId="168" fontId="42" fillId="0" borderId="2" xfId="0" applyNumberFormat="1" applyFont="1" applyBorder="1"/>
    <xf numFmtId="168" fontId="42" fillId="2" borderId="2" xfId="0" applyNumberFormat="1" applyFont="1" applyFill="1" applyBorder="1"/>
    <xf numFmtId="49" fontId="42" fillId="3" borderId="2" xfId="0" quotePrefix="1" applyNumberFormat="1" applyFont="1" applyFill="1" applyBorder="1"/>
    <xf numFmtId="168" fontId="1" fillId="0" borderId="16" xfId="0" applyNumberFormat="1" applyFont="1" applyBorder="1"/>
    <xf numFmtId="0" fontId="42" fillId="0" borderId="2" xfId="0" applyFont="1" applyBorder="1" applyAlignment="1">
      <alignment horizontal="center"/>
    </xf>
    <xf numFmtId="14" fontId="42" fillId="0" borderId="2" xfId="0" applyNumberFormat="1" applyFont="1" applyBorder="1" applyAlignment="1">
      <alignment horizontal="center"/>
    </xf>
    <xf numFmtId="14" fontId="42" fillId="0" borderId="2" xfId="1" applyNumberFormat="1" applyFont="1" applyFill="1" applyBorder="1" applyAlignment="1" applyProtection="1">
      <alignment horizontal="center"/>
    </xf>
    <xf numFmtId="14" fontId="42" fillId="57" borderId="2" xfId="1" applyNumberFormat="1" applyFont="1" applyFill="1" applyBorder="1" applyAlignment="1" applyProtection="1">
      <alignment horizontal="center"/>
    </xf>
    <xf numFmtId="14" fontId="42" fillId="0" borderId="2" xfId="1" quotePrefix="1" applyNumberFormat="1" applyFont="1" applyFill="1" applyBorder="1" applyAlignment="1" applyProtection="1">
      <alignment horizontal="center"/>
    </xf>
    <xf numFmtId="167" fontId="42" fillId="0" borderId="2" xfId="0" applyNumberFormat="1" applyFont="1" applyBorder="1" applyAlignment="1">
      <alignment horizontal="center"/>
    </xf>
    <xf numFmtId="167" fontId="42" fillId="0" borderId="2" xfId="0" quotePrefix="1" applyNumberFormat="1" applyFont="1" applyBorder="1" applyAlignment="1">
      <alignment horizontal="center"/>
    </xf>
    <xf numFmtId="167" fontId="42" fillId="3" borderId="2" xfId="0" applyNumberFormat="1" applyFont="1" applyFill="1" applyBorder="1" applyAlignment="1">
      <alignment horizontal="center"/>
    </xf>
    <xf numFmtId="167" fontId="42" fillId="57" borderId="2" xfId="0" applyNumberFormat="1" applyFont="1" applyFill="1" applyBorder="1" applyAlignment="1">
      <alignment horizontal="center"/>
    </xf>
    <xf numFmtId="167" fontId="3" fillId="56" borderId="2" xfId="0" quotePrefix="1" applyNumberFormat="1" applyFont="1" applyFill="1" applyBorder="1" applyAlignment="1">
      <alignment horizontal="center"/>
    </xf>
    <xf numFmtId="0" fontId="43" fillId="54" borderId="0" xfId="0" applyFont="1" applyFill="1" applyAlignment="1">
      <alignment horizontal="left"/>
    </xf>
    <xf numFmtId="0" fontId="44" fillId="54" borderId="0" xfId="0" applyFont="1" applyFill="1" applyAlignment="1">
      <alignment horizontal="left"/>
    </xf>
    <xf numFmtId="0" fontId="44" fillId="54" borderId="24" xfId="0" applyFont="1" applyFill="1" applyBorder="1" applyAlignment="1">
      <alignment horizontal="center"/>
    </xf>
    <xf numFmtId="0" fontId="42" fillId="0" borderId="19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23" xfId="0" applyFont="1" applyBorder="1" applyAlignment="1">
      <alignment horizontal="center"/>
    </xf>
  </cellXfs>
  <cellStyles count="144">
    <cellStyle name="Accent1 - 20%" xfId="5" xr:uid="{00000000-0005-0000-0000-000000000000}"/>
    <cellStyle name="Accent1 - 40%" xfId="6" xr:uid="{00000000-0005-0000-0000-000001000000}"/>
    <cellStyle name="Accent1 - 60%" xfId="7" xr:uid="{00000000-0005-0000-0000-000002000000}"/>
    <cellStyle name="Accent2 - 20%" xfId="9" xr:uid="{00000000-0005-0000-0000-000003000000}"/>
    <cellStyle name="Accent2 - 40%" xfId="10" xr:uid="{00000000-0005-0000-0000-000004000000}"/>
    <cellStyle name="Accent2 - 60%" xfId="11" xr:uid="{00000000-0005-0000-0000-000005000000}"/>
    <cellStyle name="Accent3 - 20%" xfId="13" xr:uid="{00000000-0005-0000-0000-000006000000}"/>
    <cellStyle name="Accent3 - 40%" xfId="14" xr:uid="{00000000-0005-0000-0000-000007000000}"/>
    <cellStyle name="Accent3 - 60%" xfId="15" xr:uid="{00000000-0005-0000-0000-000008000000}"/>
    <cellStyle name="Accent4 - 20%" xfId="17" xr:uid="{00000000-0005-0000-0000-000009000000}"/>
    <cellStyle name="Accent4 - 40%" xfId="18" xr:uid="{00000000-0005-0000-0000-00000A000000}"/>
    <cellStyle name="Accent4 - 60%" xfId="19" xr:uid="{00000000-0005-0000-0000-00000B000000}"/>
    <cellStyle name="Accent5 - 20%" xfId="21" xr:uid="{00000000-0005-0000-0000-00000C000000}"/>
    <cellStyle name="Accent5 - 40%" xfId="22" xr:uid="{00000000-0005-0000-0000-00000D000000}"/>
    <cellStyle name="Accent5 - 60%" xfId="23" xr:uid="{00000000-0005-0000-0000-00000E000000}"/>
    <cellStyle name="Accent6 - 20%" xfId="25" xr:uid="{00000000-0005-0000-0000-00000F000000}"/>
    <cellStyle name="Accent6 - 40%" xfId="26" xr:uid="{00000000-0005-0000-0000-000010000000}"/>
    <cellStyle name="Accent6 - 60%" xfId="27" xr:uid="{00000000-0005-0000-0000-000011000000}"/>
    <cellStyle name="Bom 2" xfId="34" xr:uid="{00000000-0005-0000-0000-000012000000}"/>
    <cellStyle name="Cálculo 2" xfId="29" xr:uid="{00000000-0005-0000-0000-000013000000}"/>
    <cellStyle name="Célula de Verificação 2" xfId="30" xr:uid="{00000000-0005-0000-0000-000014000000}"/>
    <cellStyle name="Célula Vinculada 2" xfId="40" xr:uid="{00000000-0005-0000-0000-000015000000}"/>
    <cellStyle name="Emphasis 1" xfId="31" xr:uid="{00000000-0005-0000-0000-000016000000}"/>
    <cellStyle name="Emphasis 2" xfId="32" xr:uid="{00000000-0005-0000-0000-000017000000}"/>
    <cellStyle name="Emphasis 3" xfId="33" xr:uid="{00000000-0005-0000-0000-000018000000}"/>
    <cellStyle name="Ênfase1 2" xfId="4" xr:uid="{00000000-0005-0000-0000-000019000000}"/>
    <cellStyle name="Ênfase2 2" xfId="8" xr:uid="{00000000-0005-0000-0000-00001A000000}"/>
    <cellStyle name="Ênfase3 2" xfId="12" xr:uid="{00000000-0005-0000-0000-00001B000000}"/>
    <cellStyle name="Ênfase4 2" xfId="16" xr:uid="{00000000-0005-0000-0000-00001C000000}"/>
    <cellStyle name="Ênfase5 2" xfId="20" xr:uid="{00000000-0005-0000-0000-00001D000000}"/>
    <cellStyle name="Ênfase6 2" xfId="24" xr:uid="{00000000-0005-0000-0000-00001E000000}"/>
    <cellStyle name="Entrada 2" xfId="39" xr:uid="{00000000-0005-0000-0000-00001F000000}"/>
    <cellStyle name="Incorreto 2" xfId="28" xr:uid="{00000000-0005-0000-0000-000020000000}"/>
    <cellStyle name="Moeda" xfId="142" builtinId="4"/>
    <cellStyle name="Moeda 2" xfId="143" xr:uid="{8A5EC032-AB0A-4C50-8582-3E7E5F2F4BD5}"/>
    <cellStyle name="Neutra 2" xfId="41" xr:uid="{00000000-0005-0000-0000-000021000000}"/>
    <cellStyle name="Neutro 2" xfId="129" xr:uid="{2D6AA56A-851A-4FE0-9EC0-19EE9A9271E2}"/>
    <cellStyle name="Normal" xfId="0" builtinId="0"/>
    <cellStyle name="Normal 10" xfId="123" xr:uid="{00000000-0005-0000-0000-000023000000}"/>
    <cellStyle name="Normal 10 2" xfId="138" xr:uid="{BB7A217C-6C00-46C3-8751-6947CC79E5D9}"/>
    <cellStyle name="Normal 11" xfId="124" xr:uid="{00000000-0005-0000-0000-000024000000}"/>
    <cellStyle name="Normal 11 2" xfId="139" xr:uid="{0A5BCDFE-0C5D-4BD4-BC8E-B8EC459ABC22}"/>
    <cellStyle name="Normal 12" xfId="125" xr:uid="{00000000-0005-0000-0000-000025000000}"/>
    <cellStyle name="Normal 12 2" xfId="140" xr:uid="{DFEFAD1A-ED38-4C0E-B3A3-CA524BB14304}"/>
    <cellStyle name="Normal 13" xfId="126" xr:uid="{00000000-0005-0000-0000-000026000000}"/>
    <cellStyle name="Normal 13 2" xfId="141" xr:uid="{DD3EFA45-81E1-45C3-BD63-70B3172244A6}"/>
    <cellStyle name="Normal 14" xfId="127" xr:uid="{B07D821E-3E32-4D19-ACA5-B1F7073079AD}"/>
    <cellStyle name="Normal 2" xfId="2" xr:uid="{00000000-0005-0000-0000-000027000000}"/>
    <cellStyle name="Normal 3" xfId="3" xr:uid="{00000000-0005-0000-0000-000028000000}"/>
    <cellStyle name="Normal 4" xfId="88" xr:uid="{00000000-0005-0000-0000-000029000000}"/>
    <cellStyle name="Normal 4 2" xfId="132" xr:uid="{67BA7227-1279-44F6-BB1A-5437AC335E25}"/>
    <cellStyle name="Normal 5" xfId="89" xr:uid="{00000000-0005-0000-0000-00002A000000}"/>
    <cellStyle name="Normal 5 2" xfId="133" xr:uid="{F47280C7-45DE-47EB-ADB8-72B561887D69}"/>
    <cellStyle name="Normal 6" xfId="119" xr:uid="{00000000-0005-0000-0000-00002B000000}"/>
    <cellStyle name="Normal 6 2" xfId="134" xr:uid="{E09E4D6C-EA98-4B66-A0AE-1950252FAB0F}"/>
    <cellStyle name="Normal 7" xfId="120" xr:uid="{00000000-0005-0000-0000-00002C000000}"/>
    <cellStyle name="Normal 7 2" xfId="135" xr:uid="{6B904154-6D16-4F2C-9B2A-816B1E4BBC6F}"/>
    <cellStyle name="Normal 8" xfId="121" xr:uid="{00000000-0005-0000-0000-00002D000000}"/>
    <cellStyle name="Normal 8 2" xfId="136" xr:uid="{9C879388-1801-4215-A5BD-D17AF9989950}"/>
    <cellStyle name="Normal 9" xfId="122" xr:uid="{00000000-0005-0000-0000-00002E000000}"/>
    <cellStyle name="Normal 9 2" xfId="137" xr:uid="{7A9F8744-3D7A-4922-B31A-516F03652607}"/>
    <cellStyle name="Nota 2" xfId="42" xr:uid="{00000000-0005-0000-0000-00002F000000}"/>
    <cellStyle name="Nota 2 2" xfId="131" xr:uid="{E648C06E-3F21-4AE6-8028-F48EFD648AC0}"/>
    <cellStyle name="Nota 3" xfId="90" xr:uid="{00000000-0005-0000-0000-000030000000}"/>
    <cellStyle name="Ruim 2" xfId="128" xr:uid="{F3DC4912-2EFF-45B0-A37A-D30041EB8514}"/>
    <cellStyle name="Saída 2" xfId="43" xr:uid="{00000000-0005-0000-0000-000031000000}"/>
    <cellStyle name="SAPBEXaggData" xfId="44" xr:uid="{00000000-0005-0000-0000-000032000000}"/>
    <cellStyle name="SAPBEXaggData 2" xfId="91" xr:uid="{00000000-0005-0000-0000-000033000000}"/>
    <cellStyle name="SAPBEXaggDataEmph" xfId="45" xr:uid="{00000000-0005-0000-0000-000034000000}"/>
    <cellStyle name="SAPBEXaggItem" xfId="46" xr:uid="{00000000-0005-0000-0000-000035000000}"/>
    <cellStyle name="SAPBEXaggItem 2" xfId="92" xr:uid="{00000000-0005-0000-0000-000036000000}"/>
    <cellStyle name="SAPBEXaggItemX" xfId="47" xr:uid="{00000000-0005-0000-0000-000037000000}"/>
    <cellStyle name="SAPBEXchaText" xfId="48" xr:uid="{00000000-0005-0000-0000-000038000000}"/>
    <cellStyle name="SAPBEXchaText 2" xfId="93" xr:uid="{00000000-0005-0000-0000-000039000000}"/>
    <cellStyle name="SAPBEXexcBad7" xfId="49" xr:uid="{00000000-0005-0000-0000-00003A000000}"/>
    <cellStyle name="SAPBEXexcBad7 2" xfId="94" xr:uid="{00000000-0005-0000-0000-00003B000000}"/>
    <cellStyle name="SAPBEXexcBad8" xfId="50" xr:uid="{00000000-0005-0000-0000-00003C000000}"/>
    <cellStyle name="SAPBEXexcBad8 2" xfId="95" xr:uid="{00000000-0005-0000-0000-00003D000000}"/>
    <cellStyle name="SAPBEXexcBad9" xfId="51" xr:uid="{00000000-0005-0000-0000-00003E000000}"/>
    <cellStyle name="SAPBEXexcBad9 2" xfId="96" xr:uid="{00000000-0005-0000-0000-00003F000000}"/>
    <cellStyle name="SAPBEXexcCritical4" xfId="52" xr:uid="{00000000-0005-0000-0000-000040000000}"/>
    <cellStyle name="SAPBEXexcCritical4 2" xfId="97" xr:uid="{00000000-0005-0000-0000-000041000000}"/>
    <cellStyle name="SAPBEXexcCritical5" xfId="53" xr:uid="{00000000-0005-0000-0000-000042000000}"/>
    <cellStyle name="SAPBEXexcCritical5 2" xfId="98" xr:uid="{00000000-0005-0000-0000-000043000000}"/>
    <cellStyle name="SAPBEXexcCritical6" xfId="54" xr:uid="{00000000-0005-0000-0000-000044000000}"/>
    <cellStyle name="SAPBEXexcCritical6 2" xfId="99" xr:uid="{00000000-0005-0000-0000-000045000000}"/>
    <cellStyle name="SAPBEXexcGood1" xfId="55" xr:uid="{00000000-0005-0000-0000-000046000000}"/>
    <cellStyle name="SAPBEXexcGood1 2" xfId="100" xr:uid="{00000000-0005-0000-0000-000047000000}"/>
    <cellStyle name="SAPBEXexcGood2" xfId="56" xr:uid="{00000000-0005-0000-0000-000048000000}"/>
    <cellStyle name="SAPBEXexcGood2 2" xfId="101" xr:uid="{00000000-0005-0000-0000-000049000000}"/>
    <cellStyle name="SAPBEXexcGood3" xfId="57" xr:uid="{00000000-0005-0000-0000-00004A000000}"/>
    <cellStyle name="SAPBEXexcGood3 2" xfId="102" xr:uid="{00000000-0005-0000-0000-00004B000000}"/>
    <cellStyle name="SAPBEXfilterDrill" xfId="58" xr:uid="{00000000-0005-0000-0000-00004C000000}"/>
    <cellStyle name="SAPBEXfilterDrill 2" xfId="103" xr:uid="{00000000-0005-0000-0000-00004D000000}"/>
    <cellStyle name="SAPBEXfilterItem" xfId="59" xr:uid="{00000000-0005-0000-0000-00004E000000}"/>
    <cellStyle name="SAPBEXfilterText" xfId="60" xr:uid="{00000000-0005-0000-0000-00004F000000}"/>
    <cellStyle name="SAPBEXformats" xfId="61" xr:uid="{00000000-0005-0000-0000-000050000000}"/>
    <cellStyle name="SAPBEXformats 2" xfId="104" xr:uid="{00000000-0005-0000-0000-000051000000}"/>
    <cellStyle name="SAPBEXheaderItem" xfId="62" xr:uid="{00000000-0005-0000-0000-000052000000}"/>
    <cellStyle name="SAPBEXheaderItem 2" xfId="105" xr:uid="{00000000-0005-0000-0000-000053000000}"/>
    <cellStyle name="SAPBEXheaderText" xfId="63" xr:uid="{00000000-0005-0000-0000-000054000000}"/>
    <cellStyle name="SAPBEXheaderText 2" xfId="106" xr:uid="{00000000-0005-0000-0000-000055000000}"/>
    <cellStyle name="SAPBEXHLevel0" xfId="64" xr:uid="{00000000-0005-0000-0000-000056000000}"/>
    <cellStyle name="SAPBEXHLevel0 2" xfId="107" xr:uid="{00000000-0005-0000-0000-000057000000}"/>
    <cellStyle name="SAPBEXHLevel0X" xfId="65" xr:uid="{00000000-0005-0000-0000-000058000000}"/>
    <cellStyle name="SAPBEXHLevel0X 2" xfId="108" xr:uid="{00000000-0005-0000-0000-000059000000}"/>
    <cellStyle name="SAPBEXHLevel1" xfId="66" xr:uid="{00000000-0005-0000-0000-00005A000000}"/>
    <cellStyle name="SAPBEXHLevel1 2" xfId="109" xr:uid="{00000000-0005-0000-0000-00005B000000}"/>
    <cellStyle name="SAPBEXHLevel1X" xfId="67" xr:uid="{00000000-0005-0000-0000-00005C000000}"/>
    <cellStyle name="SAPBEXHLevel1X 2" xfId="110" xr:uid="{00000000-0005-0000-0000-00005D000000}"/>
    <cellStyle name="SAPBEXHLevel2" xfId="68" xr:uid="{00000000-0005-0000-0000-00005E000000}"/>
    <cellStyle name="SAPBEXHLevel2 2" xfId="111" xr:uid="{00000000-0005-0000-0000-00005F000000}"/>
    <cellStyle name="SAPBEXHLevel2X" xfId="69" xr:uid="{00000000-0005-0000-0000-000060000000}"/>
    <cellStyle name="SAPBEXHLevel2X 2" xfId="112" xr:uid="{00000000-0005-0000-0000-000061000000}"/>
    <cellStyle name="SAPBEXHLevel3" xfId="70" xr:uid="{00000000-0005-0000-0000-000062000000}"/>
    <cellStyle name="SAPBEXHLevel3 2" xfId="113" xr:uid="{00000000-0005-0000-0000-000063000000}"/>
    <cellStyle name="SAPBEXHLevel3X" xfId="71" xr:uid="{00000000-0005-0000-0000-000064000000}"/>
    <cellStyle name="SAPBEXHLevel3X 2" xfId="114" xr:uid="{00000000-0005-0000-0000-000065000000}"/>
    <cellStyle name="SAPBEXinputData" xfId="72" xr:uid="{00000000-0005-0000-0000-000066000000}"/>
    <cellStyle name="SAPBEXinputData 2" xfId="115" xr:uid="{00000000-0005-0000-0000-000067000000}"/>
    <cellStyle name="SAPBEXItemHeader" xfId="73" xr:uid="{00000000-0005-0000-0000-000068000000}"/>
    <cellStyle name="SAPBEXresData" xfId="74" xr:uid="{00000000-0005-0000-0000-000069000000}"/>
    <cellStyle name="SAPBEXresDataEmph" xfId="75" xr:uid="{00000000-0005-0000-0000-00006A000000}"/>
    <cellStyle name="SAPBEXresItem" xfId="76" xr:uid="{00000000-0005-0000-0000-00006B000000}"/>
    <cellStyle name="SAPBEXresItemX" xfId="77" xr:uid="{00000000-0005-0000-0000-00006C000000}"/>
    <cellStyle name="SAPBEXstdData" xfId="78" xr:uid="{00000000-0005-0000-0000-00006D000000}"/>
    <cellStyle name="SAPBEXstdData 2" xfId="116" xr:uid="{00000000-0005-0000-0000-00006E000000}"/>
    <cellStyle name="SAPBEXstdDataEmph" xfId="79" xr:uid="{00000000-0005-0000-0000-00006F000000}"/>
    <cellStyle name="SAPBEXstdItem" xfId="80" xr:uid="{00000000-0005-0000-0000-000070000000}"/>
    <cellStyle name="SAPBEXstdItem 2" xfId="117" xr:uid="{00000000-0005-0000-0000-000071000000}"/>
    <cellStyle name="SAPBEXstdItemX" xfId="81" xr:uid="{00000000-0005-0000-0000-000072000000}"/>
    <cellStyle name="SAPBEXtitle" xfId="82" xr:uid="{00000000-0005-0000-0000-000073000000}"/>
    <cellStyle name="SAPBEXunassignedItem" xfId="83" xr:uid="{00000000-0005-0000-0000-000074000000}"/>
    <cellStyle name="SAPBEXunassignedItem 2" xfId="118" xr:uid="{00000000-0005-0000-0000-000075000000}"/>
    <cellStyle name="SAPBEXundefined" xfId="84" xr:uid="{00000000-0005-0000-0000-000076000000}"/>
    <cellStyle name="Sheet Title" xfId="85" xr:uid="{00000000-0005-0000-0000-000077000000}"/>
    <cellStyle name="Texto de Aviso 2" xfId="87" xr:uid="{00000000-0005-0000-0000-000078000000}"/>
    <cellStyle name="Título 1 2" xfId="35" xr:uid="{00000000-0005-0000-0000-000079000000}"/>
    <cellStyle name="Título 2 2" xfId="36" xr:uid="{00000000-0005-0000-0000-00007A000000}"/>
    <cellStyle name="Título 3 2" xfId="37" xr:uid="{00000000-0005-0000-0000-00007B000000}"/>
    <cellStyle name="Título 4 2" xfId="38" xr:uid="{00000000-0005-0000-0000-00007C000000}"/>
    <cellStyle name="Total 2" xfId="86" xr:uid="{00000000-0005-0000-0000-00007D000000}"/>
    <cellStyle name="Vírgula" xfId="1" builtinId="3"/>
    <cellStyle name="Vírgula 2" xfId="130" xr:uid="{DC19C8E4-A5E6-41E7-961A-FB415085CAF4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SCAL\26%20-%20SOMPO%20SERVICES%20(VISTOMAR)\2026\Faturamento%20-%20Prest%20de%20Servi&#231;o\Revis&#227;o%20BPs%20-%20SOMPO%20RISK..xlsx" TargetMode="External"/><Relationship Id="rId1" Type="http://schemas.openxmlformats.org/officeDocument/2006/relationships/externalLinkPath" Target="Revis&#227;o%20BPs%20-%20SOMPO%20RISK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nmdiniz\Downloads\CONTROLE%20TITULOS%20SOMPO%20RISKS%20(1).xlsx" TargetMode="External"/><Relationship Id="rId1" Type="http://schemas.openxmlformats.org/officeDocument/2006/relationships/externalLinkPath" Target="file:///D:\users\nmdiniz\Downloads\CONTROLE%20TITULOS%20SOMPO%20RISKS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nmdiniz\OneDrive%20-%20SOMPO%20SEGUROS%20S%20A\&#193;rea%20de%20Trabalho\export.MHTML" TargetMode="External"/><Relationship Id="rId1" Type="http://schemas.openxmlformats.org/officeDocument/2006/relationships/externalLinkPath" Target="file:///D:\users\nmdiniz\OneDrive%20-%20SOMPO%20SEGUROS%20S%20A\&#193;rea%20de%20Trabalho\export.MHTM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PO RISK"/>
    </sheetNames>
    <sheetDataSet>
      <sheetData sheetId="0">
        <row r="1">
          <cell r="A1" t="str">
            <v>CNPJ</v>
          </cell>
          <cell r="B1" t="str">
            <v>DATA</v>
          </cell>
          <cell r="C1" t="str">
            <v>BP</v>
          </cell>
        </row>
        <row r="2">
          <cell r="A2">
            <v>9395767000131</v>
          </cell>
          <cell r="B2">
            <v>46163</v>
          </cell>
          <cell r="C2">
            <v>1019380080</v>
          </cell>
        </row>
        <row r="3">
          <cell r="A3">
            <v>5370882000109</v>
          </cell>
          <cell r="B3">
            <v>46104</v>
          </cell>
          <cell r="C3">
            <v>1019200174</v>
          </cell>
        </row>
        <row r="4">
          <cell r="A4">
            <v>44120318000181</v>
          </cell>
          <cell r="B4">
            <v>46191</v>
          </cell>
          <cell r="C4">
            <v>1018465074</v>
          </cell>
        </row>
        <row r="5">
          <cell r="A5">
            <v>45909137000100</v>
          </cell>
          <cell r="B5">
            <v>46127</v>
          </cell>
          <cell r="C5">
            <v>1004511610</v>
          </cell>
        </row>
        <row r="6">
          <cell r="A6">
            <v>54313215000191</v>
          </cell>
          <cell r="B6">
            <v>45986</v>
          </cell>
          <cell r="C6">
            <v>1018705322</v>
          </cell>
        </row>
        <row r="7">
          <cell r="A7">
            <v>14457026000178</v>
          </cell>
          <cell r="B7">
            <v>46084</v>
          </cell>
          <cell r="C7">
            <v>1019125108</v>
          </cell>
        </row>
        <row r="8">
          <cell r="A8">
            <v>58578490000198</v>
          </cell>
          <cell r="B8">
            <v>46198</v>
          </cell>
          <cell r="C8">
            <v>1013636865</v>
          </cell>
        </row>
        <row r="9">
          <cell r="A9">
            <v>57904437000177</v>
          </cell>
          <cell r="B9">
            <v>46084</v>
          </cell>
          <cell r="C9">
            <v>1013068932</v>
          </cell>
        </row>
        <row r="10">
          <cell r="A10">
            <v>55365607000167</v>
          </cell>
          <cell r="B10">
            <v>46182</v>
          </cell>
          <cell r="C10">
            <v>1006780703</v>
          </cell>
        </row>
        <row r="11">
          <cell r="A11">
            <v>41607658000143</v>
          </cell>
          <cell r="B11">
            <v>46057</v>
          </cell>
          <cell r="C11">
            <v>1017716043</v>
          </cell>
        </row>
        <row r="12">
          <cell r="A12">
            <v>53045500000106</v>
          </cell>
          <cell r="B12">
            <v>46126</v>
          </cell>
          <cell r="C12">
            <v>1019215124</v>
          </cell>
        </row>
        <row r="13">
          <cell r="A13">
            <v>57951895000167</v>
          </cell>
          <cell r="B13">
            <v>46077</v>
          </cell>
          <cell r="C13">
            <v>1018120652</v>
          </cell>
        </row>
        <row r="14">
          <cell r="A14">
            <v>45916594000113</v>
          </cell>
          <cell r="B14">
            <v>46136</v>
          </cell>
          <cell r="C14">
            <v>1019230094</v>
          </cell>
        </row>
        <row r="15">
          <cell r="A15">
            <v>29260142000170</v>
          </cell>
          <cell r="B15">
            <v>46191</v>
          </cell>
          <cell r="C15">
            <v>1016402932</v>
          </cell>
        </row>
        <row r="16">
          <cell r="A16">
            <v>30341404000100</v>
          </cell>
          <cell r="B16">
            <v>46184</v>
          </cell>
          <cell r="C16">
            <v>1015350584</v>
          </cell>
        </row>
        <row r="17">
          <cell r="A17">
            <v>27562235000123</v>
          </cell>
          <cell r="B17">
            <v>46191</v>
          </cell>
          <cell r="C17">
            <v>1019425106</v>
          </cell>
        </row>
        <row r="18">
          <cell r="A18">
            <v>32764816000188</v>
          </cell>
          <cell r="B18">
            <v>46146</v>
          </cell>
          <cell r="C18">
            <v>1000539921</v>
          </cell>
        </row>
        <row r="19">
          <cell r="A19">
            <v>28759933000186</v>
          </cell>
          <cell r="B19">
            <v>46146</v>
          </cell>
          <cell r="C19">
            <v>1016696369</v>
          </cell>
        </row>
        <row r="20">
          <cell r="A20">
            <v>5514753000139</v>
          </cell>
          <cell r="B20">
            <v>46184</v>
          </cell>
          <cell r="C20">
            <v>1015741186</v>
          </cell>
        </row>
        <row r="21">
          <cell r="A21">
            <v>29543880000124</v>
          </cell>
          <cell r="B21">
            <v>46076</v>
          </cell>
          <cell r="C21">
            <v>1005618488</v>
          </cell>
        </row>
        <row r="22">
          <cell r="A22">
            <v>39857410000199</v>
          </cell>
          <cell r="B22">
            <v>46146</v>
          </cell>
          <cell r="C22">
            <v>1016506511</v>
          </cell>
        </row>
        <row r="23">
          <cell r="A23">
            <v>32817557000106</v>
          </cell>
          <cell r="B23">
            <v>45986</v>
          </cell>
          <cell r="C23">
            <v>1002640697</v>
          </cell>
        </row>
        <row r="24">
          <cell r="A24">
            <v>18408486000167</v>
          </cell>
          <cell r="B24">
            <v>46182</v>
          </cell>
          <cell r="C24">
            <v>1006699939</v>
          </cell>
        </row>
        <row r="25">
          <cell r="A25">
            <v>8799020000186</v>
          </cell>
          <cell r="B25">
            <v>46104</v>
          </cell>
          <cell r="C25">
            <v>1008761672</v>
          </cell>
        </row>
        <row r="26">
          <cell r="A26">
            <v>13214075000117</v>
          </cell>
          <cell r="B26">
            <v>46168</v>
          </cell>
          <cell r="C26">
            <v>1018195146</v>
          </cell>
        </row>
        <row r="27">
          <cell r="A27">
            <v>47425731000142</v>
          </cell>
          <cell r="B27">
            <v>46167</v>
          </cell>
          <cell r="C27">
            <v>1015723163</v>
          </cell>
        </row>
        <row r="28">
          <cell r="A28">
            <v>40969554000116</v>
          </cell>
          <cell r="B28">
            <v>46043</v>
          </cell>
          <cell r="C28">
            <v>1018840151</v>
          </cell>
        </row>
        <row r="29">
          <cell r="A29">
            <v>31554105000116</v>
          </cell>
          <cell r="B29">
            <v>46191</v>
          </cell>
          <cell r="C29">
            <v>1003974409</v>
          </cell>
        </row>
        <row r="30">
          <cell r="A30">
            <v>46923661000190</v>
          </cell>
          <cell r="B30">
            <v>46167</v>
          </cell>
          <cell r="C30">
            <v>1019380203</v>
          </cell>
        </row>
        <row r="31">
          <cell r="A31">
            <v>31648443000117</v>
          </cell>
          <cell r="B31">
            <v>46182</v>
          </cell>
          <cell r="C31">
            <v>1019380285</v>
          </cell>
        </row>
        <row r="32">
          <cell r="A32">
            <v>26822980000100</v>
          </cell>
          <cell r="B32">
            <v>46150</v>
          </cell>
          <cell r="C32">
            <v>1019275110</v>
          </cell>
        </row>
        <row r="33">
          <cell r="A33">
            <v>63361086000106</v>
          </cell>
          <cell r="B33">
            <v>46198</v>
          </cell>
          <cell r="C33">
            <v>1019470169</v>
          </cell>
        </row>
        <row r="34">
          <cell r="A34">
            <v>56963806000130</v>
          </cell>
          <cell r="B34">
            <v>46057</v>
          </cell>
          <cell r="C34">
            <v>1018930052</v>
          </cell>
        </row>
        <row r="35">
          <cell r="A35">
            <v>14444785000104</v>
          </cell>
          <cell r="B35">
            <v>46161</v>
          </cell>
          <cell r="C35">
            <v>1013232744</v>
          </cell>
        </row>
        <row r="36">
          <cell r="A36">
            <v>7881225000143</v>
          </cell>
          <cell r="B36">
            <v>45986</v>
          </cell>
          <cell r="C36">
            <v>1001187614</v>
          </cell>
        </row>
        <row r="37">
          <cell r="A37">
            <v>8152302000197</v>
          </cell>
          <cell r="B37">
            <v>46150</v>
          </cell>
          <cell r="C37">
            <v>1018930138</v>
          </cell>
        </row>
        <row r="38">
          <cell r="A38">
            <v>38345653000185</v>
          </cell>
          <cell r="B38">
            <v>46167</v>
          </cell>
          <cell r="C38">
            <v>1019275198</v>
          </cell>
        </row>
        <row r="39">
          <cell r="A39">
            <v>702501000110</v>
          </cell>
          <cell r="B39">
            <v>46118</v>
          </cell>
          <cell r="C39">
            <v>1017580153</v>
          </cell>
        </row>
        <row r="40">
          <cell r="A40">
            <v>52866579000173</v>
          </cell>
          <cell r="B40">
            <v>46161</v>
          </cell>
          <cell r="C40">
            <v>1015241181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 Sompo Risks"/>
      <sheetName val="Planilha1"/>
      <sheetName val="Titulos Recebidos"/>
    </sheetNames>
    <sheetDataSet>
      <sheetData sheetId="0">
        <row r="1">
          <cell r="H1" t="str">
            <v>DOC SOMPO</v>
          </cell>
          <cell r="I1" t="str">
            <v>Cod. Baixa Sompo</v>
          </cell>
        </row>
        <row r="2">
          <cell r="H2">
            <v>1800000240</v>
          </cell>
        </row>
        <row r="3">
          <cell r="H3">
            <v>1800000255</v>
          </cell>
        </row>
        <row r="4">
          <cell r="H4">
            <v>1800000226</v>
          </cell>
        </row>
        <row r="5">
          <cell r="H5">
            <v>1800000256</v>
          </cell>
        </row>
        <row r="6">
          <cell r="H6">
            <v>1800000300</v>
          </cell>
        </row>
        <row r="7">
          <cell r="H7">
            <v>1800000015</v>
          </cell>
          <cell r="I7">
            <v>1400000030</v>
          </cell>
        </row>
        <row r="8">
          <cell r="H8">
            <v>1800000000</v>
          </cell>
          <cell r="I8">
            <v>1400000015</v>
          </cell>
        </row>
        <row r="9">
          <cell r="H9">
            <v>1800000060</v>
          </cell>
          <cell r="I9">
            <v>1400000060</v>
          </cell>
        </row>
        <row r="10">
          <cell r="H10">
            <v>1800000016</v>
          </cell>
          <cell r="I10">
            <v>1400000045</v>
          </cell>
        </row>
        <row r="11">
          <cell r="H11">
            <v>1800000030</v>
          </cell>
          <cell r="I11">
            <v>1400000016</v>
          </cell>
        </row>
        <row r="12">
          <cell r="H12">
            <v>1800000090</v>
          </cell>
          <cell r="I12">
            <v>1400000105</v>
          </cell>
        </row>
        <row r="13">
          <cell r="H13">
            <v>1800000151</v>
          </cell>
          <cell r="I13">
            <v>1400000150</v>
          </cell>
        </row>
        <row r="14">
          <cell r="H14">
            <v>1800000105</v>
          </cell>
          <cell r="I14">
            <v>1400000120</v>
          </cell>
        </row>
        <row r="15">
          <cell r="H15">
            <v>1800000120</v>
          </cell>
        </row>
        <row r="16">
          <cell r="H16">
            <v>1800000121</v>
          </cell>
        </row>
        <row r="17">
          <cell r="H17">
            <v>1800000135</v>
          </cell>
          <cell r="I17">
            <v>1400000135</v>
          </cell>
        </row>
        <row r="18">
          <cell r="H18">
            <v>1800000180</v>
          </cell>
          <cell r="I18">
            <v>1400000165</v>
          </cell>
        </row>
        <row r="19">
          <cell r="H19">
            <v>1800000150</v>
          </cell>
          <cell r="I19">
            <v>1400000136</v>
          </cell>
        </row>
        <row r="20">
          <cell r="H20">
            <v>1800000061</v>
          </cell>
          <cell r="I20">
            <v>1400000166</v>
          </cell>
        </row>
        <row r="21">
          <cell r="H21">
            <v>1800000152</v>
          </cell>
          <cell r="I21">
            <v>1400000255</v>
          </cell>
        </row>
        <row r="22">
          <cell r="H22">
            <v>1800000106</v>
          </cell>
          <cell r="I22">
            <v>1400000750</v>
          </cell>
        </row>
        <row r="23">
          <cell r="H23">
            <v>1800000315</v>
          </cell>
          <cell r="I23">
            <v>1400000211</v>
          </cell>
        </row>
        <row r="24">
          <cell r="H24">
            <v>1800000525</v>
          </cell>
          <cell r="I24">
            <v>1400000436</v>
          </cell>
        </row>
        <row r="25">
          <cell r="H25">
            <v>1800000257</v>
          </cell>
          <cell r="I25">
            <v>1400000181</v>
          </cell>
        </row>
        <row r="26">
          <cell r="H26">
            <v>1800000286</v>
          </cell>
          <cell r="I26">
            <v>1400000240</v>
          </cell>
        </row>
        <row r="27">
          <cell r="H27">
            <v>1800000271</v>
          </cell>
          <cell r="I27">
            <v>1400000285</v>
          </cell>
        </row>
        <row r="28">
          <cell r="H28">
            <v>1800000272</v>
          </cell>
          <cell r="I28">
            <v>1400000330</v>
          </cell>
        </row>
        <row r="29">
          <cell r="H29">
            <v>1800000255</v>
          </cell>
          <cell r="I29">
            <v>1400000300</v>
          </cell>
        </row>
        <row r="30">
          <cell r="H30">
            <v>1800000285</v>
          </cell>
        </row>
        <row r="31">
          <cell r="H31">
            <v>1800000300</v>
          </cell>
          <cell r="I31">
            <v>1400000213</v>
          </cell>
        </row>
        <row r="32">
          <cell r="H32">
            <v>1800000195</v>
          </cell>
          <cell r="I32">
            <v>1400000270</v>
          </cell>
        </row>
        <row r="33">
          <cell r="H33">
            <v>1800000210</v>
          </cell>
          <cell r="I33">
            <v>1400000195</v>
          </cell>
        </row>
        <row r="34">
          <cell r="H34">
            <v>1800000345</v>
          </cell>
          <cell r="I34">
            <v>1400000315</v>
          </cell>
        </row>
        <row r="35">
          <cell r="H35">
            <v>1800000226</v>
          </cell>
          <cell r="I35">
            <v>1400000210</v>
          </cell>
        </row>
        <row r="36">
          <cell r="H36">
            <v>1800000240</v>
          </cell>
          <cell r="I36">
            <v>1400000225</v>
          </cell>
        </row>
        <row r="37">
          <cell r="H37">
            <v>1800000256</v>
          </cell>
          <cell r="I37">
            <v>1400000180</v>
          </cell>
        </row>
        <row r="38">
          <cell r="H38">
            <v>1800000258</v>
          </cell>
          <cell r="I38">
            <v>1400000212</v>
          </cell>
        </row>
        <row r="39">
          <cell r="H39">
            <v>1800000360</v>
          </cell>
          <cell r="I39">
            <v>1400000345</v>
          </cell>
        </row>
        <row r="40">
          <cell r="H40">
            <v>1800000361</v>
          </cell>
          <cell r="I40">
            <v>1400000360</v>
          </cell>
        </row>
        <row r="41">
          <cell r="H41">
            <v>1800000422</v>
          </cell>
          <cell r="I41">
            <v>1400000766</v>
          </cell>
        </row>
        <row r="42">
          <cell r="H42">
            <v>1800000423</v>
          </cell>
          <cell r="I42">
            <v>1400000405</v>
          </cell>
        </row>
        <row r="43">
          <cell r="H43">
            <v>1800000362</v>
          </cell>
          <cell r="I43">
            <v>1400000346</v>
          </cell>
        </row>
        <row r="44">
          <cell r="H44">
            <v>1800000375</v>
          </cell>
          <cell r="I44">
            <v>1400000375</v>
          </cell>
        </row>
        <row r="45">
          <cell r="H45">
            <v>1800000136</v>
          </cell>
          <cell r="I45">
            <v>1400000376</v>
          </cell>
        </row>
        <row r="46">
          <cell r="H46">
            <v>1800000495</v>
          </cell>
          <cell r="I46">
            <v>1400000450</v>
          </cell>
        </row>
        <row r="47">
          <cell r="H47">
            <v>1800000153</v>
          </cell>
          <cell r="I47">
            <v>1400000331</v>
          </cell>
        </row>
        <row r="48">
          <cell r="H48">
            <v>1800000390</v>
          </cell>
          <cell r="I48">
            <v>1400000332</v>
          </cell>
        </row>
        <row r="49">
          <cell r="H49">
            <v>1800000466</v>
          </cell>
          <cell r="I49">
            <v>1400000615</v>
          </cell>
        </row>
        <row r="50">
          <cell r="H50">
            <v>1800000376</v>
          </cell>
        </row>
        <row r="51">
          <cell r="H51">
            <v>1800000405</v>
          </cell>
        </row>
        <row r="52">
          <cell r="H52">
            <v>1800000420</v>
          </cell>
          <cell r="I52">
            <v>1400000333</v>
          </cell>
        </row>
        <row r="53">
          <cell r="H53">
            <v>1800000435</v>
          </cell>
          <cell r="I53">
            <v>1400000465</v>
          </cell>
        </row>
        <row r="54">
          <cell r="H54">
            <v>1800000421</v>
          </cell>
        </row>
        <row r="55">
          <cell r="H55">
            <v>1800000450</v>
          </cell>
          <cell r="I55">
            <v>1400000390</v>
          </cell>
        </row>
        <row r="56">
          <cell r="H56">
            <v>1800000451</v>
          </cell>
          <cell r="I56">
            <v>1400000391</v>
          </cell>
        </row>
        <row r="57">
          <cell r="H57">
            <v>1800000436</v>
          </cell>
          <cell r="I57">
            <v>1400000361</v>
          </cell>
        </row>
        <row r="58">
          <cell r="H58">
            <v>1800000437</v>
          </cell>
          <cell r="I58">
            <v>1400000392</v>
          </cell>
        </row>
        <row r="59">
          <cell r="H59">
            <v>1800000465</v>
          </cell>
          <cell r="I59">
            <v>1400000393</v>
          </cell>
        </row>
        <row r="60">
          <cell r="H60">
            <v>1800000154</v>
          </cell>
          <cell r="I60">
            <v>1400000765</v>
          </cell>
        </row>
        <row r="61">
          <cell r="H61">
            <v>1800000137</v>
          </cell>
          <cell r="I61">
            <v>1400000196</v>
          </cell>
        </row>
        <row r="62">
          <cell r="H62">
            <v>1800000540</v>
          </cell>
          <cell r="I62">
            <v>1400000630</v>
          </cell>
        </row>
        <row r="63">
          <cell r="H63">
            <v>1800000555</v>
          </cell>
          <cell r="I63">
            <v>1400000480</v>
          </cell>
        </row>
        <row r="64">
          <cell r="H64">
            <v>1800000570</v>
          </cell>
          <cell r="I64">
            <v>1400000481</v>
          </cell>
        </row>
        <row r="65">
          <cell r="H65">
            <v>1800000585</v>
          </cell>
          <cell r="I65">
            <v>1400000690</v>
          </cell>
        </row>
        <row r="66">
          <cell r="H66">
            <v>1800000586</v>
          </cell>
          <cell r="I66">
            <v>1400000495</v>
          </cell>
        </row>
        <row r="67">
          <cell r="H67">
            <v>1800000541</v>
          </cell>
          <cell r="I67">
            <v>1400000482</v>
          </cell>
        </row>
        <row r="68">
          <cell r="H68">
            <v>1800000196</v>
          </cell>
          <cell r="I68">
            <v>1400000483</v>
          </cell>
        </row>
        <row r="69">
          <cell r="H69">
            <v>1800000587</v>
          </cell>
          <cell r="I69">
            <v>1400000510</v>
          </cell>
        </row>
        <row r="70">
          <cell r="H70">
            <v>1800000197</v>
          </cell>
          <cell r="I70">
            <v>1400000555</v>
          </cell>
        </row>
        <row r="71">
          <cell r="H71">
            <v>1800000556</v>
          </cell>
          <cell r="I71">
            <v>1400000511</v>
          </cell>
        </row>
        <row r="72">
          <cell r="H72">
            <v>1800000600</v>
          </cell>
          <cell r="I72">
            <v>1400000525</v>
          </cell>
        </row>
        <row r="73">
          <cell r="H73">
            <v>1800000705</v>
          </cell>
          <cell r="I73">
            <v>1400000645</v>
          </cell>
        </row>
        <row r="74">
          <cell r="H74">
            <v>1800000601</v>
          </cell>
          <cell r="I74">
            <v>1400000691</v>
          </cell>
        </row>
        <row r="75">
          <cell r="H75">
            <v>1800000616</v>
          </cell>
          <cell r="I75">
            <v>1400000540</v>
          </cell>
        </row>
        <row r="76">
          <cell r="H76">
            <v>1800000617</v>
          </cell>
          <cell r="I76">
            <v>1400000182</v>
          </cell>
        </row>
        <row r="77">
          <cell r="H77">
            <v>1800000198</v>
          </cell>
          <cell r="I77">
            <v>1400000570</v>
          </cell>
        </row>
        <row r="78">
          <cell r="H78">
            <v>1800000199</v>
          </cell>
          <cell r="I78">
            <v>1400000585</v>
          </cell>
        </row>
        <row r="79">
          <cell r="H79">
            <v>1800000571</v>
          </cell>
          <cell r="I79">
            <v>1400000183</v>
          </cell>
        </row>
        <row r="80">
          <cell r="H80">
            <v>1800000542</v>
          </cell>
        </row>
        <row r="81">
          <cell r="H81">
            <v>1800000618</v>
          </cell>
          <cell r="I81">
            <v>1400000184</v>
          </cell>
        </row>
        <row r="82">
          <cell r="H82">
            <v>1800000543</v>
          </cell>
        </row>
        <row r="83">
          <cell r="H83">
            <v>1800000620</v>
          </cell>
          <cell r="I83">
            <v>1400000185</v>
          </cell>
        </row>
        <row r="84">
          <cell r="H84">
            <v>1800000621</v>
          </cell>
          <cell r="I84">
            <v>1400000496</v>
          </cell>
        </row>
        <row r="85">
          <cell r="H85">
            <v>1800000544</v>
          </cell>
          <cell r="I85">
            <v>1400000301</v>
          </cell>
        </row>
        <row r="86">
          <cell r="H86">
            <v>1800000545</v>
          </cell>
          <cell r="I86">
            <v>1400000226</v>
          </cell>
        </row>
        <row r="87">
          <cell r="H87">
            <v>1800000546</v>
          </cell>
        </row>
        <row r="88">
          <cell r="H88">
            <v>1800000547</v>
          </cell>
          <cell r="I88">
            <v>1400000227</v>
          </cell>
        </row>
        <row r="89">
          <cell r="H89">
            <v>1800000630</v>
          </cell>
          <cell r="I89">
            <v>1400000512</v>
          </cell>
        </row>
        <row r="90">
          <cell r="H90">
            <v>1800000572</v>
          </cell>
          <cell r="I90">
            <v>1400000513</v>
          </cell>
        </row>
        <row r="91">
          <cell r="H91">
            <v>1800000619</v>
          </cell>
        </row>
        <row r="92">
          <cell r="H92">
            <v>1800000765</v>
          </cell>
        </row>
        <row r="93">
          <cell r="H93">
            <v>1800000227</v>
          </cell>
          <cell r="I93">
            <v>1400000287</v>
          </cell>
        </row>
        <row r="94">
          <cell r="H94">
            <v>1800000780</v>
          </cell>
        </row>
        <row r="95">
          <cell r="H95">
            <v>1800000751</v>
          </cell>
          <cell r="I95">
            <v>1400000288</v>
          </cell>
        </row>
        <row r="96">
          <cell r="H96">
            <v>1800000781</v>
          </cell>
          <cell r="I96">
            <v>1400000705</v>
          </cell>
        </row>
        <row r="97">
          <cell r="H97">
            <v>1800000782</v>
          </cell>
          <cell r="I97">
            <v>1400000720</v>
          </cell>
        </row>
        <row r="98">
          <cell r="H98">
            <v>1800000766</v>
          </cell>
          <cell r="I98">
            <v>1400000721</v>
          </cell>
        </row>
        <row r="99">
          <cell r="H99">
            <v>1800000795</v>
          </cell>
          <cell r="I99">
            <v>1400000692</v>
          </cell>
        </row>
        <row r="100">
          <cell r="H100">
            <v>1800000810</v>
          </cell>
          <cell r="I100">
            <v>1400000693</v>
          </cell>
        </row>
        <row r="101">
          <cell r="H101">
            <v>1800000796</v>
          </cell>
          <cell r="I101">
            <v>1400000694</v>
          </cell>
        </row>
        <row r="102">
          <cell r="H102">
            <v>1800000811</v>
          </cell>
        </row>
        <row r="103">
          <cell r="H103">
            <v>1800000783</v>
          </cell>
          <cell r="I103">
            <v>1400000695</v>
          </cell>
        </row>
        <row r="104">
          <cell r="H104">
            <v>1800000825</v>
          </cell>
          <cell r="I104">
            <v>1400000696</v>
          </cell>
        </row>
        <row r="105">
          <cell r="H105">
            <v>1800000228</v>
          </cell>
          <cell r="I105">
            <v>1400000706</v>
          </cell>
        </row>
        <row r="106">
          <cell r="H106">
            <v>1800000840</v>
          </cell>
          <cell r="I106">
            <v>1400000707</v>
          </cell>
        </row>
        <row r="107">
          <cell r="H107">
            <v>1800000841</v>
          </cell>
          <cell r="I107">
            <v>1400000722</v>
          </cell>
        </row>
        <row r="108">
          <cell r="H108">
            <v>1800000826</v>
          </cell>
          <cell r="I108">
            <v>1400000708</v>
          </cell>
        </row>
        <row r="109">
          <cell r="H109">
            <v>1800000752</v>
          </cell>
          <cell r="I109">
            <v>1400000709</v>
          </cell>
        </row>
        <row r="110">
          <cell r="H110">
            <v>1800000842</v>
          </cell>
          <cell r="I110">
            <v>1400000710</v>
          </cell>
        </row>
        <row r="111">
          <cell r="H111">
            <v>1800000753</v>
          </cell>
        </row>
        <row r="112">
          <cell r="H112">
            <v>1800000767</v>
          </cell>
        </row>
        <row r="113">
          <cell r="H113">
            <v>1800000797</v>
          </cell>
          <cell r="I113">
            <v>1400000711</v>
          </cell>
        </row>
        <row r="114">
          <cell r="H114">
            <v>1800000843</v>
          </cell>
          <cell r="I114">
            <v>1400000167</v>
          </cell>
        </row>
        <row r="115">
          <cell r="H115">
            <v>1800000827</v>
          </cell>
          <cell r="I115">
            <v>1400000712</v>
          </cell>
        </row>
        <row r="116">
          <cell r="H116">
            <v>1800000844</v>
          </cell>
          <cell r="I116">
            <v>1400000697</v>
          </cell>
        </row>
        <row r="117">
          <cell r="H117">
            <v>1800000754</v>
          </cell>
        </row>
        <row r="118">
          <cell r="H118">
            <v>1800000755</v>
          </cell>
          <cell r="I118">
            <v>1800000755</v>
          </cell>
        </row>
        <row r="119">
          <cell r="H119">
            <v>1800000756</v>
          </cell>
          <cell r="I119">
            <v>1400000735</v>
          </cell>
        </row>
        <row r="120">
          <cell r="H120">
            <v>1800000812</v>
          </cell>
          <cell r="I120">
            <v>1400000698</v>
          </cell>
        </row>
        <row r="121">
          <cell r="H121">
            <v>1800000813</v>
          </cell>
        </row>
        <row r="122">
          <cell r="H122">
            <v>1800000814</v>
          </cell>
          <cell r="I122">
            <v>1400000289</v>
          </cell>
        </row>
        <row r="123">
          <cell r="H123">
            <v>1800000815</v>
          </cell>
          <cell r="I123">
            <v>1400000699</v>
          </cell>
        </row>
        <row r="124">
          <cell r="H124">
            <v>1800000816</v>
          </cell>
          <cell r="I124">
            <v>1400000700</v>
          </cell>
        </row>
        <row r="125">
          <cell r="H125">
            <v>1800000798</v>
          </cell>
          <cell r="I125">
            <v>1400000290</v>
          </cell>
        </row>
        <row r="126">
          <cell r="H126">
            <v>1800000817</v>
          </cell>
          <cell r="I126">
            <v>1400000713</v>
          </cell>
        </row>
        <row r="127">
          <cell r="H127">
            <v>1800000818</v>
          </cell>
          <cell r="I127">
            <v>1400000394</v>
          </cell>
        </row>
        <row r="128">
          <cell r="H128">
            <v>1800000819</v>
          </cell>
          <cell r="I128">
            <v>1400000723</v>
          </cell>
        </row>
        <row r="129">
          <cell r="H129">
            <v>1800000820</v>
          </cell>
          <cell r="I129">
            <v>1400000701</v>
          </cell>
        </row>
        <row r="130">
          <cell r="H130">
            <v>1800000768</v>
          </cell>
        </row>
        <row r="131">
          <cell r="H131">
            <v>1800000757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2">
          <cell r="D2" t="str">
            <v>1400000697</v>
          </cell>
          <cell r="E2" t="str">
            <v>DZ</v>
          </cell>
        </row>
        <row r="3">
          <cell r="D3" t="str">
            <v>1400000720</v>
          </cell>
          <cell r="E3" t="str">
            <v>DZ</v>
          </cell>
        </row>
        <row r="4">
          <cell r="D4" t="str">
            <v>1400000705</v>
          </cell>
          <cell r="E4" t="str">
            <v>DZ</v>
          </cell>
        </row>
        <row r="5">
          <cell r="D5" t="str">
            <v>1400000196</v>
          </cell>
          <cell r="E5" t="str">
            <v>DZ</v>
          </cell>
        </row>
        <row r="6">
          <cell r="D6" t="str">
            <v>1400000695</v>
          </cell>
          <cell r="E6" t="str">
            <v>DZ</v>
          </cell>
        </row>
        <row r="7">
          <cell r="D7" t="str">
            <v>1400000696</v>
          </cell>
          <cell r="E7" t="str">
            <v>DZ</v>
          </cell>
        </row>
        <row r="8">
          <cell r="D8" t="str">
            <v>1400000693</v>
          </cell>
          <cell r="E8" t="str">
            <v>DZ</v>
          </cell>
        </row>
        <row r="9">
          <cell r="D9" t="str">
            <v>1400000690</v>
          </cell>
          <cell r="E9" t="str">
            <v>DZ</v>
          </cell>
        </row>
        <row r="10">
          <cell r="D10" t="str">
            <v>1400000675</v>
          </cell>
          <cell r="E10" t="str">
            <v>DZ</v>
          </cell>
        </row>
        <row r="11">
          <cell r="D11" t="str">
            <v>1400000167</v>
          </cell>
          <cell r="E11" t="str">
            <v>DZ</v>
          </cell>
        </row>
        <row r="12">
          <cell r="D12" t="str">
            <v>1400000701</v>
          </cell>
          <cell r="E12" t="str">
            <v>DZ</v>
          </cell>
        </row>
        <row r="13">
          <cell r="D13" t="str">
            <v>1400000707</v>
          </cell>
          <cell r="E13" t="str">
            <v>DZ</v>
          </cell>
        </row>
        <row r="14">
          <cell r="D14" t="str">
            <v>1400000137</v>
          </cell>
          <cell r="E14" t="str">
            <v>DZ</v>
          </cell>
        </row>
        <row r="15">
          <cell r="D15" t="str">
            <v>1400000710</v>
          </cell>
          <cell r="E15" t="str">
            <v>DZ</v>
          </cell>
        </row>
        <row r="16">
          <cell r="D16" t="str">
            <v>1400000706</v>
          </cell>
          <cell r="E16" t="str">
            <v>DZ</v>
          </cell>
        </row>
        <row r="17">
          <cell r="D17" t="str">
            <v>1400000765</v>
          </cell>
          <cell r="E17" t="str">
            <v>DZ</v>
          </cell>
        </row>
        <row r="18">
          <cell r="D18" t="str">
            <v>1400000709</v>
          </cell>
          <cell r="E18" t="str">
            <v>DZ</v>
          </cell>
        </row>
        <row r="19">
          <cell r="D19" t="str">
            <v>1400000780</v>
          </cell>
          <cell r="E19" t="str">
            <v>DZ</v>
          </cell>
        </row>
        <row r="20">
          <cell r="D20" t="str">
            <v>1400000722</v>
          </cell>
          <cell r="E20" t="str">
            <v>DZ</v>
          </cell>
        </row>
        <row r="21">
          <cell r="D21" t="str">
            <v>1400000795</v>
          </cell>
          <cell r="E21" t="str">
            <v>DZ</v>
          </cell>
        </row>
        <row r="22">
          <cell r="D22" t="str">
            <v>1400000721</v>
          </cell>
          <cell r="E22" t="str">
            <v>DZ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yara Melo Diniz" id="{C6105342-9C5C-4C11-B8A5-B3DFC694E14D}" userId="S::nmdiniz@sompo.com.br::579a762e-f67d-4b37-b4fa-c8363cf3a62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5" dT="2026-05-04T19:28:03.33" personId="{C6105342-9C5C-4C11-B8A5-B3DFC694E14D}" id="{1C01828F-2185-4265-B542-755832530BCB}">
    <text>Recebido o valor bruto mas é não optante - correto é ter imposto</text>
  </threadedComment>
  <threadedComment ref="M44" dT="2026-05-04T19:28:03.33" personId="{C6105342-9C5C-4C11-B8A5-B3DFC694E14D}" id="{47653B42-EC76-4219-B2B7-C8A1735123E2}">
    <text>Recebido o valor bruto mas é não optante - correto é ter imposto</text>
  </threadedComment>
  <threadedComment ref="M61" dT="2026-05-04T19:28:03.33" personId="{C6105342-9C5C-4C11-B8A5-B3DFC694E14D}" id="{9BD1133A-4EE7-4A76-9F7C-64B107443080}">
    <text>Recebido o valor bruto mas é não optante - correto é ter imposto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35" dT="2026-05-04T19:28:03.33" personId="{C6105342-9C5C-4C11-B8A5-B3DFC694E14D}" id="{DF7EA65B-84C0-497F-9376-3D0B41F58BF4}">
    <text>Recebido o valor bruto mas é não optante - correto é ter imposto</text>
  </threadedComment>
  <threadedComment ref="M44" dT="2026-05-04T19:28:03.33" personId="{C6105342-9C5C-4C11-B8A5-B3DFC694E14D}" id="{DE7733DD-010C-4500-A773-E128E5C4E6FB}">
    <text>Recebido o valor bruto mas é não optante - correto é ter imposto</text>
  </threadedComment>
  <threadedComment ref="M54" dT="2026-05-04T19:28:03.33" personId="{C6105342-9C5C-4C11-B8A5-B3DFC694E14D}" id="{01F21FC6-C26E-44A3-8421-9D75FDFC2154}">
    <text>Recebido o valor bruto mas é não optante - correto é ter imposto</text>
  </threadedComment>
  <threadedComment ref="L57" dT="2026-05-06T12:24:05.21" personId="{C6105342-9C5C-4C11-B8A5-B3DFC694E14D}" id="{E9934993-CF04-4D2A-B32A-69E8F404C7F0}">
    <text>Foi realizado devolução do montante pago a maior referente PCC não retido em 07/05/2026</text>
  </threadedComment>
  <threadedComment ref="E58" dT="2026-05-06T12:13:49.40" personId="{C6105342-9C5C-4C11-B8A5-B3DFC694E14D}" id="{A2B1EB50-75DA-4D14-92A1-C8E58B681678}">
    <text>DOC 1800000436 estornado - 2700000135</text>
  </threadedComment>
  <threadedComment ref="E59" dT="2026-05-06T13:03:38.79" personId="{C6105342-9C5C-4C11-B8A5-B3DFC694E14D}" id="{9DD618EE-06C9-4586-A25D-D4A724940B46}">
    <text>DOC 1800000138 foi estornado pelo DOC 2700000120</text>
  </threadedComment>
  <threadedComment ref="E60" dT="2026-05-06T13:25:19.47" personId="{C6105342-9C5C-4C11-B8A5-B3DFC694E14D}" id="{94E63473-C6DB-4AF8-89A6-1E7A59134FB8}">
    <text xml:space="preserve">DOC original 1800000270
DOC estorno 2700000150
</text>
  </threadedComment>
  <threadedComment ref="L60" dT="2026-05-06T13:32:49.16" personId="{C6105342-9C5C-4C11-B8A5-B3DFC694E14D}" id="{ADFCB6FC-AF99-4C65-A86B-8073F65BC2DE}">
    <text>Não foi considerado a retenção, pois a TELERISCO fez a emissao da nota fiscal sem contemplar o imposto. Como a resolução do caso só ocorreu em 06/05/2026 não fizemos o reconhecimento da retenção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4" dT="2026-05-05T16:55:00.28" personId="{C6105342-9C5C-4C11-B8A5-B3DFC694E14D}" id="{3D39A7B8-567A-47FD-AC29-B9A6BEBD519E}">
    <text>Utilização saldo 12.2025</text>
  </threadedComment>
  <threadedComment ref="L4" dT="2026-05-05T16:54:46.77" personId="{C6105342-9C5C-4C11-B8A5-B3DFC694E14D}" id="{28492983-FAB6-4504-8AEC-FAC855C2C865}">
    <text>Utilização saldo 12.2025</text>
  </threadedComment>
  <threadedComment ref="D5" dT="2026-05-05T17:13:54.39" personId="{C6105342-9C5C-4C11-B8A5-B3DFC694E14D}" id="{04E6D49F-2823-4A1B-91BD-AE97B2C0753F}">
    <text>Ajuste compensação 2025 - transferência de saldo</text>
  </threadedComment>
  <threadedComment ref="P5" dT="2026-05-05T17:15:18.04" personId="{C6105342-9C5C-4C11-B8A5-B3DFC694E14D}" id="{0DBD6B88-EABD-4101-9246-EF9B003FB9DC}">
    <text>Ajuste compensação 2025 - transferência de saldo</text>
  </threadedComment>
  <threadedComment ref="H7" dT="2026-05-05T17:13:08.47" personId="{C6105342-9C5C-4C11-B8A5-B3DFC694E14D}" id="{8CA823E8-BA14-43C0-9307-A7A7200B8C8A}">
    <text>Utilização compensação 02.2026</text>
  </threadedComment>
  <threadedComment ref="L7" dT="2026-05-05T17:12:40.67" personId="{C6105342-9C5C-4C11-B8A5-B3DFC694E14D}" id="{6A24EFCD-20C1-4CDC-8396-7499AC8F46E2}">
    <text>Utilização compensação 02.2026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F58-9A24-4218-9DEC-7299E31D80FB}">
  <dimension ref="B3:F20"/>
  <sheetViews>
    <sheetView showGridLines="0" workbookViewId="0">
      <selection activeCell="C8" sqref="C8"/>
    </sheetView>
  </sheetViews>
  <sheetFormatPr defaultColWidth="9.140625" defaultRowHeight="12.95"/>
  <cols>
    <col min="1" max="2" width="9.140625" style="4"/>
    <col min="3" max="3" width="14.42578125" style="4" bestFit="1" customWidth="1"/>
    <col min="4" max="4" width="12.5703125" style="4" bestFit="1" customWidth="1"/>
    <col min="5" max="5" width="10" style="4" bestFit="1" customWidth="1"/>
    <col min="6" max="6" width="15.42578125" style="4" bestFit="1" customWidth="1"/>
    <col min="7" max="16384" width="9.140625" style="4"/>
  </cols>
  <sheetData>
    <row r="3" spans="2:6">
      <c r="B3" s="13" t="s">
        <v>0</v>
      </c>
      <c r="C3" s="13"/>
      <c r="D3" s="13"/>
      <c r="E3" s="13"/>
    </row>
    <row r="4" spans="2:6">
      <c r="B4" s="4" t="s">
        <v>1</v>
      </c>
    </row>
    <row r="7" spans="2:6">
      <c r="B7" s="14" t="s">
        <v>2</v>
      </c>
      <c r="C7" s="14" t="s">
        <v>3</v>
      </c>
      <c r="D7" s="14" t="s">
        <v>4</v>
      </c>
      <c r="E7" s="14" t="s">
        <v>5</v>
      </c>
      <c r="F7" s="14" t="s">
        <v>6</v>
      </c>
    </row>
    <row r="8" spans="2:6">
      <c r="B8" s="15">
        <v>46023</v>
      </c>
      <c r="C8" s="7"/>
      <c r="D8" s="7"/>
      <c r="E8" s="7"/>
      <c r="F8" s="6"/>
    </row>
    <row r="9" spans="2:6">
      <c r="B9" s="15">
        <v>46054</v>
      </c>
    </row>
    <row r="10" spans="2:6">
      <c r="B10" s="15">
        <v>46082</v>
      </c>
    </row>
    <row r="11" spans="2:6">
      <c r="B11" s="15">
        <v>46113</v>
      </c>
    </row>
    <row r="12" spans="2:6">
      <c r="B12" s="15">
        <v>46143</v>
      </c>
    </row>
    <row r="13" spans="2:6">
      <c r="B13" s="15">
        <v>46174</v>
      </c>
    </row>
    <row r="14" spans="2:6">
      <c r="B14" s="15">
        <v>46204</v>
      </c>
    </row>
    <row r="15" spans="2:6">
      <c r="B15" s="15">
        <v>46235</v>
      </c>
    </row>
    <row r="16" spans="2:6">
      <c r="B16" s="15">
        <v>46266</v>
      </c>
    </row>
    <row r="17" spans="2:6">
      <c r="B17" s="15">
        <v>46296</v>
      </c>
    </row>
    <row r="18" spans="2:6">
      <c r="B18" s="15">
        <v>46327</v>
      </c>
    </row>
    <row r="19" spans="2:6">
      <c r="B19" s="15">
        <v>46357</v>
      </c>
    </row>
    <row r="20" spans="2:6">
      <c r="B20" s="14" t="s">
        <v>7</v>
      </c>
      <c r="C20" s="16">
        <f>SUM(C8:C19)</f>
        <v>0</v>
      </c>
      <c r="D20" s="16">
        <f t="shared" ref="D20:F20" si="0">SUM(D8:D19)</f>
        <v>0</v>
      </c>
      <c r="E20" s="16">
        <f t="shared" si="0"/>
        <v>0</v>
      </c>
      <c r="F20" s="16">
        <f t="shared" si="0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EDE2-CCBA-4994-A4C8-E97A41A3EE20}">
  <sheetPr filterMode="1">
    <tabColor theme="4" tint="0.39997558519241921"/>
    <pageSetUpPr fitToPage="1"/>
  </sheetPr>
  <dimension ref="A1:V157"/>
  <sheetViews>
    <sheetView showGridLines="0" topLeftCell="G98" zoomScaleNormal="100" workbookViewId="0">
      <selection activeCell="P104" sqref="N104:P104"/>
    </sheetView>
  </sheetViews>
  <sheetFormatPr defaultColWidth="9.140625" defaultRowHeight="14.1" customHeight="1"/>
  <cols>
    <col min="1" max="1" width="8.28515625" style="214" customWidth="1"/>
    <col min="2" max="2" width="13.5703125" style="23" bestFit="1" customWidth="1"/>
    <col min="3" max="3" width="7" style="23" customWidth="1"/>
    <col min="4" max="4" width="5.7109375" style="215" bestFit="1" customWidth="1"/>
    <col min="5" max="5" width="13.85546875" style="215" customWidth="1"/>
    <col min="6" max="6" width="12.5703125" style="215" bestFit="1" customWidth="1"/>
    <col min="7" max="7" width="7.85546875" style="23" customWidth="1"/>
    <col min="8" max="8" width="11.140625" style="23" customWidth="1"/>
    <col min="9" max="9" width="10.140625" style="23" bestFit="1" customWidth="1"/>
    <col min="10" max="10" width="11.5703125" style="23" bestFit="1" customWidth="1"/>
    <col min="11" max="11" width="10.85546875" style="23" bestFit="1" customWidth="1"/>
    <col min="12" max="12" width="12.42578125" style="23" customWidth="1"/>
    <col min="13" max="13" width="16.85546875" style="23" bestFit="1" customWidth="1"/>
    <col min="14" max="14" width="12.5703125" style="23" customWidth="1"/>
    <col min="15" max="15" width="12.7109375" style="23" customWidth="1"/>
    <col min="16" max="16" width="11.5703125" style="23" customWidth="1"/>
    <col min="17" max="17" width="12.7109375" style="23" customWidth="1"/>
    <col min="18" max="18" width="12.140625" style="23" customWidth="1"/>
    <col min="19" max="19" width="12" style="23" customWidth="1"/>
    <col min="20" max="20" width="15.28515625" style="144" customWidth="1"/>
    <col min="21" max="21" width="12.85546875" style="216" customWidth="1"/>
    <col min="22" max="22" width="14" style="23" customWidth="1"/>
    <col min="23" max="16384" width="9.140625" style="23"/>
  </cols>
  <sheetData>
    <row r="1" spans="1:22" ht="29.45" customHeight="1" thickBot="1">
      <c r="A1" s="232" t="s">
        <v>8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"/>
    </row>
    <row r="2" spans="1:22" ht="12.6" thickBot="1">
      <c r="A2" s="140" t="s">
        <v>9</v>
      </c>
      <c r="B2" s="141"/>
      <c r="C2" s="141"/>
      <c r="D2" s="141"/>
      <c r="E2" s="141"/>
      <c r="F2" s="141"/>
      <c r="G2" s="141"/>
      <c r="H2" s="141"/>
      <c r="I2" s="141"/>
      <c r="J2" s="141"/>
      <c r="K2" s="142" t="s">
        <v>10</v>
      </c>
      <c r="L2" s="142"/>
      <c r="M2" s="142"/>
      <c r="N2" s="22"/>
      <c r="O2" s="22"/>
      <c r="P2" s="22"/>
      <c r="Q2" s="143"/>
      <c r="R2" s="78"/>
      <c r="U2" s="23"/>
    </row>
    <row r="3" spans="1:22" s="78" customFormat="1" ht="12">
      <c r="A3" s="145"/>
      <c r="B3" s="146"/>
      <c r="C3" s="147"/>
      <c r="D3" s="147"/>
      <c r="E3" s="147"/>
      <c r="F3" s="147"/>
      <c r="G3" s="147"/>
      <c r="H3" s="147"/>
      <c r="I3" s="147"/>
      <c r="J3" s="147"/>
      <c r="K3" s="148"/>
      <c r="L3" s="148"/>
      <c r="M3" s="148"/>
      <c r="N3" s="33"/>
      <c r="O3" s="33"/>
      <c r="P3" s="33"/>
      <c r="Q3" s="143"/>
      <c r="T3" s="149"/>
    </row>
    <row r="4" spans="1:22" s="158" customFormat="1" ht="24.95" customHeight="1">
      <c r="A4" s="150" t="s">
        <v>11</v>
      </c>
      <c r="B4" s="151" t="s">
        <v>12</v>
      </c>
      <c r="C4" s="151" t="s">
        <v>13</v>
      </c>
      <c r="D4" s="152" t="s">
        <v>14</v>
      </c>
      <c r="E4" s="152" t="s">
        <v>15</v>
      </c>
      <c r="F4" s="151" t="s">
        <v>16</v>
      </c>
      <c r="G4" s="151" t="s">
        <v>17</v>
      </c>
      <c r="H4" s="153" t="s">
        <v>18</v>
      </c>
      <c r="I4" s="151" t="s">
        <v>19</v>
      </c>
      <c r="J4" s="151" t="s">
        <v>20</v>
      </c>
      <c r="K4" s="151" t="s">
        <v>21</v>
      </c>
      <c r="L4" s="151" t="s">
        <v>22</v>
      </c>
      <c r="M4" s="50" t="s">
        <v>23</v>
      </c>
      <c r="N4" s="49" t="s">
        <v>24</v>
      </c>
      <c r="O4" s="50" t="s">
        <v>25</v>
      </c>
      <c r="P4" s="49" t="s">
        <v>26</v>
      </c>
      <c r="Q4" s="154" t="s">
        <v>27</v>
      </c>
      <c r="R4" s="155" t="s">
        <v>28</v>
      </c>
      <c r="S4" s="155" t="s">
        <v>29</v>
      </c>
      <c r="T4" s="156" t="s">
        <v>30</v>
      </c>
      <c r="U4" s="157" t="s">
        <v>31</v>
      </c>
      <c r="V4" s="157" t="s">
        <v>32</v>
      </c>
    </row>
    <row r="5" spans="1:22" s="172" customFormat="1" ht="16.5" hidden="1" customHeight="1">
      <c r="A5" s="159" t="str">
        <f t="shared" ref="A5:A36" si="0">TEXT(B5,"mm/aaaa")</f>
        <v>01/2026</v>
      </c>
      <c r="B5" s="160">
        <v>46028</v>
      </c>
      <c r="C5" s="161" t="s">
        <v>33</v>
      </c>
      <c r="D5" s="162">
        <v>248</v>
      </c>
      <c r="E5" s="162">
        <v>1800000015</v>
      </c>
      <c r="F5" s="163">
        <v>547.5</v>
      </c>
      <c r="G5" s="164">
        <v>0</v>
      </c>
      <c r="H5" s="164">
        <v>0</v>
      </c>
      <c r="I5" s="164">
        <f t="shared" ref="I5:I15" si="1">ROUND(F5*1%,2)</f>
        <v>5.48</v>
      </c>
      <c r="J5" s="164">
        <f t="shared" ref="J5:J15" si="2">ROUND(F5*3%,2)</f>
        <v>16.43</v>
      </c>
      <c r="K5" s="164">
        <f t="shared" ref="K5:K15" si="3">ROUND(F5*0.65%,2)</f>
        <v>3.56</v>
      </c>
      <c r="L5" s="165">
        <f t="shared" ref="L5:L36" si="4">SUM(I5:K5)</f>
        <v>25.47</v>
      </c>
      <c r="M5" s="165">
        <f>F5-H5-I5-J5-K5</f>
        <v>522.03000000000009</v>
      </c>
      <c r="N5" s="27">
        <v>1400000015</v>
      </c>
      <c r="O5" s="26">
        <v>46043</v>
      </c>
      <c r="P5" s="166" t="str">
        <f>TEXT(O5,"mm/aaaa")</f>
        <v>01/2026</v>
      </c>
      <c r="Q5" s="167" t="s">
        <v>34</v>
      </c>
      <c r="R5" s="168">
        <v>1002640697</v>
      </c>
      <c r="S5" s="168" t="s">
        <v>35</v>
      </c>
      <c r="T5" s="169">
        <v>5370882000109</v>
      </c>
      <c r="U5" s="170" t="s">
        <v>36</v>
      </c>
      <c r="V5" s="171">
        <v>11311094</v>
      </c>
    </row>
    <row r="6" spans="1:22" s="172" customFormat="1" ht="16.5" hidden="1" customHeight="1">
      <c r="A6" s="159" t="str">
        <f t="shared" si="0"/>
        <v>01/2026</v>
      </c>
      <c r="B6" s="160">
        <v>46028</v>
      </c>
      <c r="C6" s="161" t="s">
        <v>33</v>
      </c>
      <c r="D6" s="162">
        <v>249</v>
      </c>
      <c r="E6" s="162">
        <v>1800000000</v>
      </c>
      <c r="F6" s="163">
        <v>20758.5</v>
      </c>
      <c r="G6" s="164">
        <v>0</v>
      </c>
      <c r="H6" s="164">
        <f t="shared" ref="H6:H15" si="5">ROUND(F6*1.5%,2)</f>
        <v>311.38</v>
      </c>
      <c r="I6" s="164">
        <f t="shared" si="1"/>
        <v>207.59</v>
      </c>
      <c r="J6" s="164">
        <f t="shared" si="2"/>
        <v>622.76</v>
      </c>
      <c r="K6" s="164">
        <f t="shared" si="3"/>
        <v>134.93</v>
      </c>
      <c r="L6" s="165">
        <f t="shared" si="4"/>
        <v>965.28</v>
      </c>
      <c r="M6" s="165">
        <f>F6-H6-I6-J6-K6</f>
        <v>19481.84</v>
      </c>
      <c r="N6" s="27">
        <v>1400000030</v>
      </c>
      <c r="O6" s="26">
        <v>46043</v>
      </c>
      <c r="P6" s="166" t="str">
        <f>TEXT(O6,"mm/aaaa")</f>
        <v>01/2026</v>
      </c>
      <c r="Q6" s="167" t="s">
        <v>34</v>
      </c>
      <c r="R6" s="168">
        <v>1001187614</v>
      </c>
      <c r="S6" s="168" t="s">
        <v>37</v>
      </c>
      <c r="T6" s="169">
        <v>9395767000131</v>
      </c>
      <c r="U6" s="173" t="s">
        <v>36</v>
      </c>
      <c r="V6" s="171">
        <v>11311094</v>
      </c>
    </row>
    <row r="7" spans="1:22" s="172" customFormat="1" ht="16.5" hidden="1" customHeight="1">
      <c r="A7" s="159" t="str">
        <f t="shared" si="0"/>
        <v>01/2026</v>
      </c>
      <c r="B7" s="160">
        <v>46028</v>
      </c>
      <c r="C7" s="161" t="s">
        <v>33</v>
      </c>
      <c r="D7" s="162">
        <v>250</v>
      </c>
      <c r="E7" s="162">
        <v>1800000045</v>
      </c>
      <c r="F7" s="163">
        <v>1242</v>
      </c>
      <c r="G7" s="164">
        <v>0</v>
      </c>
      <c r="H7" s="164">
        <f t="shared" si="5"/>
        <v>18.63</v>
      </c>
      <c r="I7" s="164">
        <f t="shared" si="1"/>
        <v>12.42</v>
      </c>
      <c r="J7" s="164">
        <f t="shared" si="2"/>
        <v>37.26</v>
      </c>
      <c r="K7" s="164">
        <f t="shared" si="3"/>
        <v>8.07</v>
      </c>
      <c r="L7" s="165">
        <f t="shared" si="4"/>
        <v>57.75</v>
      </c>
      <c r="M7" s="165">
        <f>F7-H7-I7-J7-K7</f>
        <v>1165.6199999999999</v>
      </c>
      <c r="N7" s="27">
        <v>1400000045</v>
      </c>
      <c r="O7" s="26">
        <v>46043</v>
      </c>
      <c r="P7" s="166" t="str">
        <f>TEXT(O7,"mm/aaaa")</f>
        <v>01/2026</v>
      </c>
      <c r="Q7" s="167" t="s">
        <v>34</v>
      </c>
      <c r="R7" s="168">
        <v>1014825740</v>
      </c>
      <c r="S7" s="168" t="s">
        <v>38</v>
      </c>
      <c r="T7" s="169">
        <v>44120318000181</v>
      </c>
      <c r="U7" s="171" t="s">
        <v>36</v>
      </c>
      <c r="V7" s="171">
        <v>11311094</v>
      </c>
    </row>
    <row r="8" spans="1:22" s="172" customFormat="1" ht="16.5" hidden="1" customHeight="1">
      <c r="A8" s="159" t="str">
        <f t="shared" si="0"/>
        <v>01/2026</v>
      </c>
      <c r="B8" s="160">
        <v>46028</v>
      </c>
      <c r="C8" s="161" t="s">
        <v>33</v>
      </c>
      <c r="D8" s="162">
        <v>251</v>
      </c>
      <c r="E8" s="162">
        <v>1800000016</v>
      </c>
      <c r="F8" s="163">
        <v>11366</v>
      </c>
      <c r="G8" s="164">
        <v>0</v>
      </c>
      <c r="H8" s="164">
        <f t="shared" si="5"/>
        <v>170.49</v>
      </c>
      <c r="I8" s="164">
        <f t="shared" si="1"/>
        <v>113.66</v>
      </c>
      <c r="J8" s="164">
        <f t="shared" si="2"/>
        <v>340.98</v>
      </c>
      <c r="K8" s="164">
        <f t="shared" si="3"/>
        <v>73.88</v>
      </c>
      <c r="L8" s="165">
        <f t="shared" si="4"/>
        <v>528.52</v>
      </c>
      <c r="M8" s="165">
        <f>F8-H8-I8-J8-K8</f>
        <v>10666.990000000002</v>
      </c>
      <c r="N8" s="27">
        <v>1400000016</v>
      </c>
      <c r="O8" s="26">
        <v>46043</v>
      </c>
      <c r="P8" s="166" t="str">
        <f>TEXT(O8,"mm/aaaa")</f>
        <v>01/2026</v>
      </c>
      <c r="Q8" s="167" t="s">
        <v>34</v>
      </c>
      <c r="R8" s="168">
        <v>1008259405</v>
      </c>
      <c r="S8" s="168" t="s">
        <v>39</v>
      </c>
      <c r="T8" s="169">
        <v>28759933000186</v>
      </c>
      <c r="U8" s="171" t="s">
        <v>36</v>
      </c>
      <c r="V8" s="171">
        <v>11311094</v>
      </c>
    </row>
    <row r="9" spans="1:22" s="172" customFormat="1" ht="16.5" hidden="1" customHeight="1">
      <c r="A9" s="159" t="str">
        <f t="shared" si="0"/>
        <v>01/2026</v>
      </c>
      <c r="B9" s="160">
        <v>46028</v>
      </c>
      <c r="C9" s="161" t="s">
        <v>33</v>
      </c>
      <c r="D9" s="162">
        <v>252</v>
      </c>
      <c r="E9" s="162">
        <v>1800000030</v>
      </c>
      <c r="F9" s="163">
        <v>3233.5</v>
      </c>
      <c r="G9" s="164">
        <v>0</v>
      </c>
      <c r="H9" s="164">
        <f t="shared" si="5"/>
        <v>48.5</v>
      </c>
      <c r="I9" s="164">
        <f t="shared" si="1"/>
        <v>32.340000000000003</v>
      </c>
      <c r="J9" s="164">
        <f t="shared" si="2"/>
        <v>97.01</v>
      </c>
      <c r="K9" s="164">
        <f t="shared" si="3"/>
        <v>21.02</v>
      </c>
      <c r="L9" s="165">
        <f t="shared" si="4"/>
        <v>150.37000000000003</v>
      </c>
      <c r="M9" s="165">
        <f>F9-H9-I9-J9-K9</f>
        <v>3034.6299999999997</v>
      </c>
      <c r="N9" s="27">
        <v>1400000060</v>
      </c>
      <c r="O9" s="26">
        <v>46043</v>
      </c>
      <c r="P9" s="166" t="str">
        <f>TEXT(O9,"mm/aaaa")</f>
        <v>01/2026</v>
      </c>
      <c r="Q9" s="167" t="s">
        <v>34</v>
      </c>
      <c r="R9" s="168">
        <v>1007834227</v>
      </c>
      <c r="S9" s="168" t="s">
        <v>40</v>
      </c>
      <c r="T9" s="169">
        <v>14457026000178</v>
      </c>
      <c r="U9" s="170" t="s">
        <v>36</v>
      </c>
      <c r="V9" s="171">
        <v>11311094</v>
      </c>
    </row>
    <row r="10" spans="1:22" s="172" customFormat="1" ht="16.5" hidden="1" customHeight="1">
      <c r="A10" s="159" t="str">
        <f t="shared" si="0"/>
        <v>01/2026</v>
      </c>
      <c r="B10" s="160">
        <v>46053</v>
      </c>
      <c r="C10" s="161" t="s">
        <v>33</v>
      </c>
      <c r="D10" s="162">
        <v>253</v>
      </c>
      <c r="E10" s="162">
        <v>0</v>
      </c>
      <c r="F10" s="163">
        <v>0</v>
      </c>
      <c r="G10" s="164">
        <f>F10*5%</f>
        <v>0</v>
      </c>
      <c r="H10" s="164">
        <f t="shared" si="5"/>
        <v>0</v>
      </c>
      <c r="I10" s="164">
        <f t="shared" si="1"/>
        <v>0</v>
      </c>
      <c r="J10" s="164">
        <f t="shared" si="2"/>
        <v>0</v>
      </c>
      <c r="K10" s="164">
        <f t="shared" si="3"/>
        <v>0</v>
      </c>
      <c r="L10" s="165">
        <f t="shared" si="4"/>
        <v>0</v>
      </c>
      <c r="M10" s="165" t="s">
        <v>41</v>
      </c>
      <c r="N10" s="27">
        <v>0</v>
      </c>
      <c r="O10" s="28">
        <v>0</v>
      </c>
      <c r="P10" s="28">
        <v>0</v>
      </c>
      <c r="Q10" s="167" t="s">
        <v>34</v>
      </c>
      <c r="R10" s="168">
        <v>0</v>
      </c>
      <c r="S10" s="168">
        <v>0</v>
      </c>
      <c r="T10" s="169">
        <v>0</v>
      </c>
      <c r="U10" s="171" t="s">
        <v>42</v>
      </c>
      <c r="V10" s="171">
        <v>11311094</v>
      </c>
    </row>
    <row r="11" spans="1:22" s="172" customFormat="1" ht="16.5" hidden="1" customHeight="1">
      <c r="A11" s="159" t="str">
        <f t="shared" si="0"/>
        <v>01/2026</v>
      </c>
      <c r="B11" s="160">
        <v>46053</v>
      </c>
      <c r="C11" s="161" t="s">
        <v>33</v>
      </c>
      <c r="D11" s="162">
        <v>254</v>
      </c>
      <c r="E11" s="162">
        <v>0</v>
      </c>
      <c r="F11" s="163">
        <v>0</v>
      </c>
      <c r="G11" s="164">
        <f>F11*5%</f>
        <v>0</v>
      </c>
      <c r="H11" s="164">
        <f t="shared" si="5"/>
        <v>0</v>
      </c>
      <c r="I11" s="164">
        <f t="shared" si="1"/>
        <v>0</v>
      </c>
      <c r="J11" s="164">
        <f t="shared" si="2"/>
        <v>0</v>
      </c>
      <c r="K11" s="164">
        <f t="shared" si="3"/>
        <v>0</v>
      </c>
      <c r="L11" s="165">
        <f t="shared" si="4"/>
        <v>0</v>
      </c>
      <c r="M11" s="165" t="s">
        <v>41</v>
      </c>
      <c r="N11" s="27">
        <v>0</v>
      </c>
      <c r="O11" s="28">
        <v>0</v>
      </c>
      <c r="P11" s="28">
        <v>0</v>
      </c>
      <c r="Q11" s="167" t="s">
        <v>34</v>
      </c>
      <c r="R11" s="168">
        <v>0</v>
      </c>
      <c r="S11" s="168">
        <v>0</v>
      </c>
      <c r="T11" s="169">
        <v>0</v>
      </c>
      <c r="U11" s="171" t="s">
        <v>42</v>
      </c>
      <c r="V11" s="171">
        <v>11311094</v>
      </c>
    </row>
    <row r="12" spans="1:22" s="172" customFormat="1" ht="16.5" hidden="1" customHeight="1">
      <c r="A12" s="159" t="str">
        <f t="shared" si="0"/>
        <v>01/2026</v>
      </c>
      <c r="B12" s="160">
        <v>46053</v>
      </c>
      <c r="C12" s="161" t="s">
        <v>33</v>
      </c>
      <c r="D12" s="162">
        <v>255</v>
      </c>
      <c r="E12" s="162">
        <v>0</v>
      </c>
      <c r="F12" s="163">
        <v>0</v>
      </c>
      <c r="G12" s="164">
        <f>F12*5%</f>
        <v>0</v>
      </c>
      <c r="H12" s="164">
        <f t="shared" si="5"/>
        <v>0</v>
      </c>
      <c r="I12" s="164">
        <f t="shared" si="1"/>
        <v>0</v>
      </c>
      <c r="J12" s="164">
        <f t="shared" si="2"/>
        <v>0</v>
      </c>
      <c r="K12" s="164">
        <f t="shared" si="3"/>
        <v>0</v>
      </c>
      <c r="L12" s="165">
        <f t="shared" si="4"/>
        <v>0</v>
      </c>
      <c r="M12" s="165" t="s">
        <v>41</v>
      </c>
      <c r="N12" s="27">
        <v>0</v>
      </c>
      <c r="O12" s="28">
        <v>0</v>
      </c>
      <c r="P12" s="28">
        <v>0</v>
      </c>
      <c r="Q12" s="167" t="s">
        <v>34</v>
      </c>
      <c r="R12" s="168">
        <v>0</v>
      </c>
      <c r="S12" s="168">
        <v>0</v>
      </c>
      <c r="T12" s="169">
        <v>0</v>
      </c>
      <c r="U12" s="171" t="s">
        <v>42</v>
      </c>
      <c r="V12" s="171">
        <v>11311094</v>
      </c>
    </row>
    <row r="13" spans="1:22" s="78" customFormat="1" ht="17.100000000000001" hidden="1" customHeight="1">
      <c r="A13" s="159" t="str">
        <f t="shared" si="0"/>
        <v>01/2026</v>
      </c>
      <c r="B13" s="160">
        <v>46048</v>
      </c>
      <c r="C13" s="161" t="s">
        <v>33</v>
      </c>
      <c r="D13" s="162">
        <v>256</v>
      </c>
      <c r="E13" s="162">
        <v>1800000075</v>
      </c>
      <c r="F13" s="163">
        <v>7990.17</v>
      </c>
      <c r="G13" s="164">
        <v>0</v>
      </c>
      <c r="H13" s="164">
        <f t="shared" si="5"/>
        <v>119.85</v>
      </c>
      <c r="I13" s="164">
        <f t="shared" si="1"/>
        <v>79.900000000000006</v>
      </c>
      <c r="J13" s="164">
        <f t="shared" si="2"/>
        <v>239.71</v>
      </c>
      <c r="K13" s="164">
        <f t="shared" si="3"/>
        <v>51.94</v>
      </c>
      <c r="L13" s="165">
        <f t="shared" si="4"/>
        <v>371.55</v>
      </c>
      <c r="M13" s="165">
        <f>F13-H13-I13-J13-K13</f>
        <v>7498.77</v>
      </c>
      <c r="N13" s="27">
        <v>1400000660</v>
      </c>
      <c r="O13" s="26">
        <v>46155</v>
      </c>
      <c r="P13" s="166" t="s">
        <v>43</v>
      </c>
      <c r="Q13" s="167" t="s">
        <v>44</v>
      </c>
      <c r="R13" s="168">
        <v>1007620183</v>
      </c>
      <c r="S13" s="168" t="s">
        <v>45</v>
      </c>
      <c r="T13" s="174">
        <v>9446817000162</v>
      </c>
      <c r="U13" s="119" t="s">
        <v>36</v>
      </c>
      <c r="V13" s="119">
        <v>11132050</v>
      </c>
    </row>
    <row r="14" spans="1:22" s="78" customFormat="1" ht="17.100000000000001" hidden="1" customHeight="1">
      <c r="A14" s="159" t="str">
        <f t="shared" si="0"/>
        <v>02/2026</v>
      </c>
      <c r="B14" s="160">
        <v>46061</v>
      </c>
      <c r="C14" s="161" t="s">
        <v>33</v>
      </c>
      <c r="D14" s="162">
        <v>257</v>
      </c>
      <c r="E14" s="162">
        <v>0</v>
      </c>
      <c r="F14" s="163">
        <v>0</v>
      </c>
      <c r="G14" s="164"/>
      <c r="H14" s="164">
        <f t="shared" si="5"/>
        <v>0</v>
      </c>
      <c r="I14" s="164">
        <f t="shared" si="1"/>
        <v>0</v>
      </c>
      <c r="J14" s="164">
        <f t="shared" si="2"/>
        <v>0</v>
      </c>
      <c r="K14" s="164">
        <f t="shared" si="3"/>
        <v>0</v>
      </c>
      <c r="L14" s="165">
        <f t="shared" si="4"/>
        <v>0</v>
      </c>
      <c r="M14" s="165" t="s">
        <v>41</v>
      </c>
      <c r="N14" s="27">
        <v>0</v>
      </c>
      <c r="O14" s="28">
        <v>0</v>
      </c>
      <c r="P14" s="28">
        <v>0</v>
      </c>
      <c r="Q14" s="167" t="s">
        <v>34</v>
      </c>
      <c r="R14" s="168">
        <v>0</v>
      </c>
      <c r="S14" s="168">
        <v>0</v>
      </c>
      <c r="T14" s="169">
        <v>0</v>
      </c>
      <c r="U14" s="175" t="s">
        <v>42</v>
      </c>
      <c r="V14" s="170">
        <v>11311094</v>
      </c>
    </row>
    <row r="15" spans="1:22" s="78" customFormat="1" ht="17.100000000000001" hidden="1" customHeight="1">
      <c r="A15" s="159" t="str">
        <f t="shared" si="0"/>
        <v>02/2026</v>
      </c>
      <c r="B15" s="160">
        <v>46061</v>
      </c>
      <c r="C15" s="161" t="s">
        <v>33</v>
      </c>
      <c r="D15" s="162">
        <v>258</v>
      </c>
      <c r="E15" s="162">
        <v>1800000090</v>
      </c>
      <c r="F15" s="163">
        <v>16005.5</v>
      </c>
      <c r="G15" s="164"/>
      <c r="H15" s="164">
        <f t="shared" si="5"/>
        <v>240.08</v>
      </c>
      <c r="I15" s="164">
        <f t="shared" si="1"/>
        <v>160.06</v>
      </c>
      <c r="J15" s="164">
        <f t="shared" si="2"/>
        <v>480.17</v>
      </c>
      <c r="K15" s="164">
        <f t="shared" si="3"/>
        <v>104.04</v>
      </c>
      <c r="L15" s="165">
        <f t="shared" si="4"/>
        <v>744.27</v>
      </c>
      <c r="M15" s="165">
        <f>F15-H15-I15-J15-K15</f>
        <v>15021.15</v>
      </c>
      <c r="N15" s="27">
        <v>1400000105</v>
      </c>
      <c r="O15" s="26">
        <v>46079</v>
      </c>
      <c r="P15" s="166" t="str">
        <f>TEXT(O15,"mm/aaaa")</f>
        <v>02/2026</v>
      </c>
      <c r="Q15" s="167" t="s">
        <v>34</v>
      </c>
      <c r="R15" s="168">
        <v>1001187614</v>
      </c>
      <c r="S15" s="168" t="s">
        <v>37</v>
      </c>
      <c r="T15" s="169">
        <v>9395767000131</v>
      </c>
      <c r="U15" s="176" t="s">
        <v>36</v>
      </c>
      <c r="V15" s="171">
        <v>11311094</v>
      </c>
    </row>
    <row r="16" spans="1:22" s="78" customFormat="1" ht="17.100000000000001" hidden="1" customHeight="1">
      <c r="A16" s="159" t="str">
        <f t="shared" si="0"/>
        <v>02/2026</v>
      </c>
      <c r="B16" s="160">
        <v>46062</v>
      </c>
      <c r="C16" s="161" t="s">
        <v>33</v>
      </c>
      <c r="D16" s="162">
        <v>259</v>
      </c>
      <c r="E16" s="162">
        <v>1800000151</v>
      </c>
      <c r="F16" s="163">
        <v>69</v>
      </c>
      <c r="G16" s="164"/>
      <c r="H16" s="164">
        <v>0</v>
      </c>
      <c r="I16" s="164">
        <v>0</v>
      </c>
      <c r="J16" s="164">
        <v>0</v>
      </c>
      <c r="K16" s="164">
        <v>0</v>
      </c>
      <c r="L16" s="165">
        <f t="shared" si="4"/>
        <v>0</v>
      </c>
      <c r="M16" s="165">
        <f>F16-H16-I16-J16-K16</f>
        <v>69</v>
      </c>
      <c r="N16" s="27">
        <v>1400000150</v>
      </c>
      <c r="O16" s="26">
        <v>46079</v>
      </c>
      <c r="P16" s="166" t="str">
        <f>TEXT(O16,"mm/aaaa")</f>
        <v>02/2026</v>
      </c>
      <c r="Q16" s="167" t="s">
        <v>34</v>
      </c>
      <c r="R16" s="168">
        <v>1018345066</v>
      </c>
      <c r="S16" s="168" t="s">
        <v>46</v>
      </c>
      <c r="T16" s="169">
        <v>57904437000177</v>
      </c>
      <c r="U16" s="119" t="s">
        <v>47</v>
      </c>
      <c r="V16" s="171">
        <v>11311094</v>
      </c>
    </row>
    <row r="17" spans="1:22" s="78" customFormat="1" ht="17.100000000000001" hidden="1" customHeight="1">
      <c r="A17" s="159" t="str">
        <f t="shared" si="0"/>
        <v>02/2026</v>
      </c>
      <c r="B17" s="160">
        <v>46062</v>
      </c>
      <c r="C17" s="161" t="s">
        <v>33</v>
      </c>
      <c r="D17" s="162">
        <v>260</v>
      </c>
      <c r="E17" s="162">
        <v>1800000105</v>
      </c>
      <c r="F17" s="163">
        <v>3540.5</v>
      </c>
      <c r="G17" s="164"/>
      <c r="H17" s="164">
        <f>ROUND(F17*1.5%,2)</f>
        <v>53.11</v>
      </c>
      <c r="I17" s="164">
        <f t="shared" ref="I17:I23" si="6">ROUND(F17*1%,2)</f>
        <v>35.409999999999997</v>
      </c>
      <c r="J17" s="164">
        <f t="shared" ref="J17:J23" si="7">ROUND(F17*3%,2)</f>
        <v>106.22</v>
      </c>
      <c r="K17" s="164">
        <f t="shared" ref="K17:K23" si="8">ROUND(F17*0.65%,2)</f>
        <v>23.01</v>
      </c>
      <c r="L17" s="165">
        <f t="shared" si="4"/>
        <v>164.64</v>
      </c>
      <c r="M17" s="165">
        <f>F17-H17-I17-J17-K17</f>
        <v>3322.75</v>
      </c>
      <c r="N17" s="27">
        <v>1400000120</v>
      </c>
      <c r="O17" s="26">
        <v>46079</v>
      </c>
      <c r="P17" s="166" t="str">
        <f>TEXT(O17,"mm/aaaa")</f>
        <v>02/2026</v>
      </c>
      <c r="Q17" s="167" t="s">
        <v>34</v>
      </c>
      <c r="R17" s="168">
        <v>1008259405</v>
      </c>
      <c r="S17" s="168" t="s">
        <v>39</v>
      </c>
      <c r="T17" s="169">
        <v>28759933000186</v>
      </c>
      <c r="U17" s="119" t="s">
        <v>36</v>
      </c>
      <c r="V17" s="171">
        <v>11311094</v>
      </c>
    </row>
    <row r="18" spans="1:22" s="78" customFormat="1" ht="17.100000000000001" hidden="1" customHeight="1">
      <c r="A18" s="159" t="str">
        <f t="shared" si="0"/>
        <v>02/2026</v>
      </c>
      <c r="B18" s="160">
        <v>46062</v>
      </c>
      <c r="C18" s="161" t="s">
        <v>33</v>
      </c>
      <c r="D18" s="162">
        <v>261</v>
      </c>
      <c r="E18" s="162">
        <v>1800000120</v>
      </c>
      <c r="F18" s="163">
        <v>15850</v>
      </c>
      <c r="G18" s="164"/>
      <c r="H18" s="164">
        <f>ROUND(F18*1.5%,2)</f>
        <v>237.75</v>
      </c>
      <c r="I18" s="164">
        <f t="shared" si="6"/>
        <v>158.5</v>
      </c>
      <c r="J18" s="164">
        <f t="shared" si="7"/>
        <v>475.5</v>
      </c>
      <c r="K18" s="164">
        <f t="shared" si="8"/>
        <v>103.03</v>
      </c>
      <c r="L18" s="165">
        <f t="shared" si="4"/>
        <v>737.03</v>
      </c>
      <c r="M18" s="165">
        <f>F18-H18-I18-J18-K18+0.01</f>
        <v>14875.23</v>
      </c>
      <c r="N18" s="128"/>
      <c r="O18" s="29" t="s">
        <v>48</v>
      </c>
      <c r="P18" s="166"/>
      <c r="Q18" s="167" t="s">
        <v>34</v>
      </c>
      <c r="R18" s="168">
        <v>1018075263</v>
      </c>
      <c r="S18" s="168" t="s">
        <v>49</v>
      </c>
      <c r="T18" s="169">
        <v>58578490000198</v>
      </c>
      <c r="U18" s="119" t="s">
        <v>36</v>
      </c>
      <c r="V18" s="171">
        <v>11311094</v>
      </c>
    </row>
    <row r="19" spans="1:22" s="78" customFormat="1" ht="17.100000000000001" hidden="1" customHeight="1">
      <c r="A19" s="159" t="str">
        <f t="shared" si="0"/>
        <v>02/2026</v>
      </c>
      <c r="B19" s="160">
        <v>46062</v>
      </c>
      <c r="C19" s="161" t="s">
        <v>33</v>
      </c>
      <c r="D19" s="162">
        <v>262</v>
      </c>
      <c r="E19" s="162">
        <v>1800000121</v>
      </c>
      <c r="F19" s="163">
        <v>2424.5</v>
      </c>
      <c r="G19" s="164"/>
      <c r="H19" s="164">
        <f>ROUND(F19*1.5%,2)</f>
        <v>36.369999999999997</v>
      </c>
      <c r="I19" s="164">
        <f t="shared" si="6"/>
        <v>24.25</v>
      </c>
      <c r="J19" s="164">
        <f t="shared" si="7"/>
        <v>72.739999999999995</v>
      </c>
      <c r="K19" s="164">
        <f t="shared" si="8"/>
        <v>15.76</v>
      </c>
      <c r="L19" s="165">
        <f t="shared" si="4"/>
        <v>112.75</v>
      </c>
      <c r="M19" s="165">
        <f t="shared" ref="M19:M50" si="9">F19-H19-I19-J19-K19</f>
        <v>2275.38</v>
      </c>
      <c r="N19" s="128"/>
      <c r="O19" s="29" t="s">
        <v>48</v>
      </c>
      <c r="P19" s="166"/>
      <c r="Q19" s="167" t="s">
        <v>34</v>
      </c>
      <c r="R19" s="168">
        <v>1014825740</v>
      </c>
      <c r="S19" s="168" t="s">
        <v>38</v>
      </c>
      <c r="T19" s="169">
        <v>44120318000181</v>
      </c>
      <c r="U19" s="175" t="s">
        <v>36</v>
      </c>
      <c r="V19" s="171">
        <v>11311094</v>
      </c>
    </row>
    <row r="20" spans="1:22" s="78" customFormat="1" ht="17.100000000000001" hidden="1" customHeight="1">
      <c r="A20" s="159" t="str">
        <f t="shared" si="0"/>
        <v>02/2026</v>
      </c>
      <c r="B20" s="160">
        <v>46062</v>
      </c>
      <c r="C20" s="161" t="s">
        <v>33</v>
      </c>
      <c r="D20" s="162">
        <v>263</v>
      </c>
      <c r="E20" s="162">
        <v>1800000135</v>
      </c>
      <c r="F20" s="163">
        <v>250</v>
      </c>
      <c r="G20" s="164"/>
      <c r="H20" s="164">
        <v>0</v>
      </c>
      <c r="I20" s="164">
        <f t="shared" si="6"/>
        <v>2.5</v>
      </c>
      <c r="J20" s="164">
        <f t="shared" si="7"/>
        <v>7.5</v>
      </c>
      <c r="K20" s="164">
        <f t="shared" si="8"/>
        <v>1.63</v>
      </c>
      <c r="L20" s="165">
        <f t="shared" si="4"/>
        <v>11.629999999999999</v>
      </c>
      <c r="M20" s="165">
        <f t="shared" si="9"/>
        <v>238.37</v>
      </c>
      <c r="N20" s="27">
        <v>1400000135</v>
      </c>
      <c r="O20" s="26">
        <v>46079</v>
      </c>
      <c r="P20" s="166" t="str">
        <f>TEXT(O20,"mm/aaaa")</f>
        <v>02/2026</v>
      </c>
      <c r="Q20" s="167" t="s">
        <v>34</v>
      </c>
      <c r="R20" s="168">
        <v>1002640697</v>
      </c>
      <c r="S20" s="168" t="s">
        <v>35</v>
      </c>
      <c r="T20" s="169">
        <v>5370882000109</v>
      </c>
      <c r="U20" s="115" t="s">
        <v>36</v>
      </c>
      <c r="V20" s="171">
        <v>11311094</v>
      </c>
    </row>
    <row r="21" spans="1:22" s="78" customFormat="1" ht="17.100000000000001" hidden="1" customHeight="1">
      <c r="A21" s="159" t="str">
        <f t="shared" si="0"/>
        <v>02/2026</v>
      </c>
      <c r="B21" s="160">
        <v>46062</v>
      </c>
      <c r="C21" s="161" t="s">
        <v>33</v>
      </c>
      <c r="D21" s="162">
        <v>264</v>
      </c>
      <c r="E21" s="162">
        <v>1800000122</v>
      </c>
      <c r="F21" s="163">
        <v>571</v>
      </c>
      <c r="G21" s="164"/>
      <c r="H21" s="164">
        <v>0</v>
      </c>
      <c r="I21" s="164">
        <f t="shared" si="6"/>
        <v>5.71</v>
      </c>
      <c r="J21" s="164">
        <f t="shared" si="7"/>
        <v>17.13</v>
      </c>
      <c r="K21" s="164">
        <f t="shared" si="8"/>
        <v>3.71</v>
      </c>
      <c r="L21" s="165">
        <f t="shared" si="4"/>
        <v>26.55</v>
      </c>
      <c r="M21" s="165">
        <f t="shared" si="9"/>
        <v>544.44999999999993</v>
      </c>
      <c r="N21" s="27">
        <v>1400000165</v>
      </c>
      <c r="O21" s="26">
        <v>46080</v>
      </c>
      <c r="P21" s="166" t="str">
        <f>TEXT(O21,"mm/aaaa")</f>
        <v>02/2026</v>
      </c>
      <c r="Q21" s="167" t="s">
        <v>34</v>
      </c>
      <c r="R21" s="168">
        <v>1017716043</v>
      </c>
      <c r="S21" s="168" t="s">
        <v>50</v>
      </c>
      <c r="T21" s="169">
        <v>57951895000167</v>
      </c>
      <c r="U21" s="119" t="s">
        <v>36</v>
      </c>
      <c r="V21" s="171">
        <v>11311094</v>
      </c>
    </row>
    <row r="22" spans="1:22" s="78" customFormat="1" ht="17.100000000000001" hidden="1" customHeight="1">
      <c r="A22" s="159" t="str">
        <f t="shared" si="0"/>
        <v>02/2026</v>
      </c>
      <c r="B22" s="160">
        <v>46062</v>
      </c>
      <c r="C22" s="161" t="s">
        <v>33</v>
      </c>
      <c r="D22" s="162">
        <v>265</v>
      </c>
      <c r="E22" s="162">
        <v>1800000150</v>
      </c>
      <c r="F22" s="163">
        <v>1458.5</v>
      </c>
      <c r="G22" s="164"/>
      <c r="H22" s="164">
        <f>ROUND(F22*1.5%,2)</f>
        <v>21.88</v>
      </c>
      <c r="I22" s="164">
        <f t="shared" si="6"/>
        <v>14.59</v>
      </c>
      <c r="J22" s="164">
        <f t="shared" si="7"/>
        <v>43.76</v>
      </c>
      <c r="K22" s="164">
        <f t="shared" si="8"/>
        <v>9.48</v>
      </c>
      <c r="L22" s="165">
        <f t="shared" si="4"/>
        <v>67.83</v>
      </c>
      <c r="M22" s="165">
        <f t="shared" si="9"/>
        <v>1368.79</v>
      </c>
      <c r="N22" s="27">
        <v>1400000136</v>
      </c>
      <c r="O22" s="26">
        <v>46079</v>
      </c>
      <c r="P22" s="166" t="str">
        <f>TEXT(O22,"mm/aaaa")</f>
        <v>02/2026</v>
      </c>
      <c r="Q22" s="167" t="s">
        <v>34</v>
      </c>
      <c r="R22" s="168">
        <v>1007834227</v>
      </c>
      <c r="S22" s="168" t="s">
        <v>40</v>
      </c>
      <c r="T22" s="169">
        <v>14457026000178</v>
      </c>
      <c r="U22" s="175" t="s">
        <v>36</v>
      </c>
      <c r="V22" s="171">
        <v>11311094</v>
      </c>
    </row>
    <row r="23" spans="1:22" s="78" customFormat="1" ht="17.100000000000001" hidden="1" customHeight="1">
      <c r="A23" s="159" t="str">
        <f t="shared" si="0"/>
        <v>02/2026</v>
      </c>
      <c r="B23" s="160">
        <v>46062</v>
      </c>
      <c r="C23" s="161" t="s">
        <v>33</v>
      </c>
      <c r="D23" s="162">
        <v>266</v>
      </c>
      <c r="E23" s="162">
        <v>1800000123</v>
      </c>
      <c r="F23" s="163">
        <v>235.5</v>
      </c>
      <c r="G23" s="164"/>
      <c r="H23" s="164">
        <v>0</v>
      </c>
      <c r="I23" s="164">
        <f t="shared" si="6"/>
        <v>2.36</v>
      </c>
      <c r="J23" s="164">
        <f t="shared" si="7"/>
        <v>7.07</v>
      </c>
      <c r="K23" s="164">
        <f t="shared" si="8"/>
        <v>1.53</v>
      </c>
      <c r="L23" s="165">
        <f t="shared" si="4"/>
        <v>10.959999999999999</v>
      </c>
      <c r="M23" s="165">
        <f t="shared" si="9"/>
        <v>224.54</v>
      </c>
      <c r="N23" s="27">
        <v>1400000166</v>
      </c>
      <c r="O23" s="26">
        <v>46080</v>
      </c>
      <c r="P23" s="166" t="str">
        <f>TEXT(O23,"mm/aaaa")</f>
        <v>02/2026</v>
      </c>
      <c r="Q23" s="167" t="s">
        <v>34</v>
      </c>
      <c r="R23" s="168">
        <v>1018930052</v>
      </c>
      <c r="S23" s="168" t="s">
        <v>51</v>
      </c>
      <c r="T23" s="169">
        <v>45916594000113</v>
      </c>
      <c r="U23" s="119" t="s">
        <v>36</v>
      </c>
      <c r="V23" s="171">
        <v>11311094</v>
      </c>
    </row>
    <row r="24" spans="1:22" s="78" customFormat="1" ht="17.100000000000001" hidden="1" customHeight="1">
      <c r="A24" s="159" t="str">
        <f t="shared" si="0"/>
        <v>02/2026</v>
      </c>
      <c r="B24" s="160">
        <v>46062</v>
      </c>
      <c r="C24" s="161" t="s">
        <v>33</v>
      </c>
      <c r="D24" s="162">
        <v>267</v>
      </c>
      <c r="E24" s="162">
        <v>1800000152</v>
      </c>
      <c r="F24" s="163">
        <v>78.5</v>
      </c>
      <c r="G24" s="164"/>
      <c r="H24" s="164">
        <v>0</v>
      </c>
      <c r="I24" s="164">
        <v>0</v>
      </c>
      <c r="J24" s="164">
        <v>0</v>
      </c>
      <c r="K24" s="164">
        <v>0</v>
      </c>
      <c r="L24" s="165">
        <f t="shared" si="4"/>
        <v>0</v>
      </c>
      <c r="M24" s="165">
        <f t="shared" si="9"/>
        <v>78.5</v>
      </c>
      <c r="N24" s="27">
        <v>1400000255</v>
      </c>
      <c r="O24" s="26">
        <v>46112</v>
      </c>
      <c r="P24" s="166" t="str">
        <f>TEXT(O24,"mm/aaaa")</f>
        <v>03/2026</v>
      </c>
      <c r="Q24" s="167" t="s">
        <v>34</v>
      </c>
      <c r="R24" s="168">
        <v>1017130541</v>
      </c>
      <c r="S24" s="168" t="s">
        <v>52</v>
      </c>
      <c r="T24" s="169">
        <v>53045500000106</v>
      </c>
      <c r="U24" s="177" t="s">
        <v>53</v>
      </c>
      <c r="V24" s="171">
        <v>11311094</v>
      </c>
    </row>
    <row r="25" spans="1:22" s="78" customFormat="1" ht="17.100000000000001" hidden="1" customHeight="1">
      <c r="A25" s="159" t="str">
        <f t="shared" si="0"/>
        <v>02/2026</v>
      </c>
      <c r="B25" s="160">
        <v>46062</v>
      </c>
      <c r="C25" s="161" t="s">
        <v>33</v>
      </c>
      <c r="D25" s="162">
        <v>268</v>
      </c>
      <c r="E25" s="162">
        <v>1800000106</v>
      </c>
      <c r="F25" s="163">
        <v>69</v>
      </c>
      <c r="G25" s="164"/>
      <c r="H25" s="164">
        <v>0</v>
      </c>
      <c r="I25" s="164">
        <v>0</v>
      </c>
      <c r="J25" s="164">
        <v>0</v>
      </c>
      <c r="K25" s="164">
        <v>0</v>
      </c>
      <c r="L25" s="165">
        <f t="shared" si="4"/>
        <v>0</v>
      </c>
      <c r="M25" s="165">
        <f t="shared" si="9"/>
        <v>69</v>
      </c>
      <c r="N25" s="27">
        <f>VLOOKUP(E25,'[2]Controle Sompo Risks'!$H:$I,2,0)</f>
        <v>1400000750</v>
      </c>
      <c r="O25" s="26">
        <v>46198</v>
      </c>
      <c r="P25" s="105" t="s">
        <v>54</v>
      </c>
      <c r="Q25" s="167" t="s">
        <v>34</v>
      </c>
      <c r="R25" s="168">
        <v>1018840151</v>
      </c>
      <c r="S25" s="168" t="s">
        <v>55</v>
      </c>
      <c r="T25" s="169">
        <v>55365607000167</v>
      </c>
      <c r="U25" s="171" t="s">
        <v>56</v>
      </c>
      <c r="V25" s="171">
        <v>11311094</v>
      </c>
    </row>
    <row r="26" spans="1:22" s="172" customFormat="1" ht="16.5" hidden="1" customHeight="1">
      <c r="A26" s="159" t="str">
        <f t="shared" si="0"/>
        <v>02/2026</v>
      </c>
      <c r="B26" s="160">
        <v>46079</v>
      </c>
      <c r="C26" s="161" t="s">
        <v>33</v>
      </c>
      <c r="D26" s="178">
        <v>269</v>
      </c>
      <c r="E26" s="162">
        <v>1800000165</v>
      </c>
      <c r="F26" s="165">
        <v>3906.58</v>
      </c>
      <c r="G26" s="164"/>
      <c r="H26" s="164">
        <f>ROUND(F26*1.5%,2)</f>
        <v>58.6</v>
      </c>
      <c r="I26" s="164">
        <f>ROUND(F26*1%,2)</f>
        <v>39.07</v>
      </c>
      <c r="J26" s="164">
        <f>ROUND(F26*3%,2)</f>
        <v>117.2</v>
      </c>
      <c r="K26" s="164">
        <f>ROUND(F26*0.65%,2)</f>
        <v>25.39</v>
      </c>
      <c r="L26" s="165">
        <f t="shared" si="4"/>
        <v>181.66000000000003</v>
      </c>
      <c r="M26" s="165">
        <f t="shared" si="9"/>
        <v>3666.32</v>
      </c>
      <c r="N26" s="27">
        <v>1400000660</v>
      </c>
      <c r="O26" s="26">
        <v>46162</v>
      </c>
      <c r="P26" s="166" t="s">
        <v>43</v>
      </c>
      <c r="Q26" s="167" t="s">
        <v>44</v>
      </c>
      <c r="R26" s="168">
        <v>1007620183</v>
      </c>
      <c r="S26" s="168" t="s">
        <v>45</v>
      </c>
      <c r="T26" s="174">
        <v>9446817000162</v>
      </c>
      <c r="U26" s="171" t="s">
        <v>36</v>
      </c>
      <c r="V26" s="119">
        <v>11132050</v>
      </c>
    </row>
    <row r="27" spans="1:22" s="172" customFormat="1" ht="16.5" hidden="1" customHeight="1">
      <c r="A27" s="159" t="str">
        <f t="shared" si="0"/>
        <v>03/2026</v>
      </c>
      <c r="B27" s="160">
        <v>46086</v>
      </c>
      <c r="C27" s="161" t="s">
        <v>33</v>
      </c>
      <c r="D27" s="178">
        <v>270</v>
      </c>
      <c r="E27" s="162">
        <v>1800000241</v>
      </c>
      <c r="F27" s="165">
        <v>138</v>
      </c>
      <c r="G27" s="164"/>
      <c r="H27" s="164">
        <v>0</v>
      </c>
      <c r="I27" s="164">
        <v>0</v>
      </c>
      <c r="J27" s="164">
        <v>0</v>
      </c>
      <c r="K27" s="164">
        <v>0</v>
      </c>
      <c r="L27" s="165">
        <f t="shared" si="4"/>
        <v>0</v>
      </c>
      <c r="M27" s="165">
        <f t="shared" si="9"/>
        <v>138</v>
      </c>
      <c r="N27" s="27">
        <v>1400000211</v>
      </c>
      <c r="O27" s="26">
        <v>46107</v>
      </c>
      <c r="P27" s="166" t="str">
        <f>TEXT(O27,"mm/aaaa")</f>
        <v>03/2026</v>
      </c>
      <c r="Q27" s="167" t="s">
        <v>34</v>
      </c>
      <c r="R27" s="168">
        <v>1018645192</v>
      </c>
      <c r="S27" s="168" t="s">
        <v>57</v>
      </c>
      <c r="T27" s="169">
        <v>32764816000188</v>
      </c>
      <c r="U27" s="170" t="s">
        <v>36</v>
      </c>
      <c r="V27" s="170">
        <v>11311094</v>
      </c>
    </row>
    <row r="28" spans="1:22" s="78" customFormat="1" ht="16.5" hidden="1" customHeight="1">
      <c r="A28" s="179" t="str">
        <f t="shared" si="0"/>
        <v>03/2026</v>
      </c>
      <c r="B28" s="160">
        <v>46086</v>
      </c>
      <c r="C28" s="161" t="s">
        <v>33</v>
      </c>
      <c r="D28" s="180">
        <v>271</v>
      </c>
      <c r="E28" s="162">
        <v>1800000270</v>
      </c>
      <c r="F28" s="165">
        <v>254.5</v>
      </c>
      <c r="G28" s="164"/>
      <c r="H28" s="164">
        <v>0</v>
      </c>
      <c r="I28" s="164">
        <f>ROUND(F28*1%,2)</f>
        <v>2.5499999999999998</v>
      </c>
      <c r="J28" s="164">
        <f>ROUND(F28*3%,2)</f>
        <v>7.64</v>
      </c>
      <c r="K28" s="164">
        <f>ROUND(F28*0.65%,2)</f>
        <v>1.65</v>
      </c>
      <c r="L28" s="165">
        <f t="shared" si="4"/>
        <v>11.84</v>
      </c>
      <c r="M28" s="165">
        <f t="shared" si="9"/>
        <v>242.66</v>
      </c>
      <c r="N28" s="134">
        <v>1400000436</v>
      </c>
      <c r="O28" s="26">
        <v>46148</v>
      </c>
      <c r="P28" s="166" t="s">
        <v>43</v>
      </c>
      <c r="Q28" s="167" t="s">
        <v>34</v>
      </c>
      <c r="R28" s="168">
        <v>1016771816</v>
      </c>
      <c r="S28" s="168" t="s">
        <v>58</v>
      </c>
      <c r="T28" s="169">
        <v>41607658000143</v>
      </c>
      <c r="U28" s="177" t="s">
        <v>36</v>
      </c>
      <c r="V28" s="171">
        <v>11311094</v>
      </c>
    </row>
    <row r="29" spans="1:22" s="172" customFormat="1" ht="16.5" hidden="1" customHeight="1">
      <c r="A29" s="159" t="str">
        <f t="shared" si="0"/>
        <v>03/2026</v>
      </c>
      <c r="B29" s="160">
        <v>46086</v>
      </c>
      <c r="C29" s="161" t="s">
        <v>33</v>
      </c>
      <c r="D29" s="178">
        <v>272</v>
      </c>
      <c r="E29" s="162">
        <v>1800000257</v>
      </c>
      <c r="F29" s="165">
        <v>250</v>
      </c>
      <c r="G29" s="164"/>
      <c r="H29" s="164">
        <v>0</v>
      </c>
      <c r="I29" s="164">
        <v>0</v>
      </c>
      <c r="J29" s="164">
        <v>0</v>
      </c>
      <c r="K29" s="164">
        <v>0</v>
      </c>
      <c r="L29" s="165">
        <f t="shared" si="4"/>
        <v>0</v>
      </c>
      <c r="M29" s="165">
        <f t="shared" si="9"/>
        <v>250</v>
      </c>
      <c r="N29" s="27">
        <v>1400000181</v>
      </c>
      <c r="O29" s="26">
        <v>46107</v>
      </c>
      <c r="P29" s="166" t="str">
        <f>TEXT(O29,"mm/aaaa")</f>
        <v>03/2026</v>
      </c>
      <c r="Q29" s="167" t="s">
        <v>34</v>
      </c>
      <c r="R29" s="168">
        <v>1017130541</v>
      </c>
      <c r="S29" s="168" t="s">
        <v>52</v>
      </c>
      <c r="T29" s="169">
        <v>53045500000106</v>
      </c>
      <c r="U29" s="115" t="s">
        <v>53</v>
      </c>
      <c r="V29" s="171">
        <v>11311094</v>
      </c>
    </row>
    <row r="30" spans="1:22" s="172" customFormat="1" ht="16.5" hidden="1" customHeight="1">
      <c r="A30" s="159" t="str">
        <f t="shared" si="0"/>
        <v>03/2026</v>
      </c>
      <c r="B30" s="160">
        <v>46086</v>
      </c>
      <c r="C30" s="161" t="s">
        <v>33</v>
      </c>
      <c r="D30" s="178">
        <v>273</v>
      </c>
      <c r="E30" s="162">
        <v>1800000286</v>
      </c>
      <c r="F30" s="165">
        <v>250</v>
      </c>
      <c r="G30" s="164"/>
      <c r="H30" s="164">
        <v>0</v>
      </c>
      <c r="I30" s="164">
        <v>0</v>
      </c>
      <c r="J30" s="164">
        <v>0</v>
      </c>
      <c r="K30" s="164">
        <v>0</v>
      </c>
      <c r="L30" s="165">
        <f t="shared" si="4"/>
        <v>0</v>
      </c>
      <c r="M30" s="165">
        <f t="shared" si="9"/>
        <v>250</v>
      </c>
      <c r="N30" s="27">
        <v>1400000240</v>
      </c>
      <c r="O30" s="26">
        <v>46107</v>
      </c>
      <c r="P30" s="166" t="str">
        <f>TEXT(O30,"mm/aaaa")</f>
        <v>03/2026</v>
      </c>
      <c r="Q30" s="167" t="s">
        <v>34</v>
      </c>
      <c r="R30" s="168">
        <v>1018345066</v>
      </c>
      <c r="S30" s="168" t="s">
        <v>46</v>
      </c>
      <c r="T30" s="169">
        <v>57904437000177</v>
      </c>
      <c r="U30" s="119" t="s">
        <v>47</v>
      </c>
      <c r="V30" s="171">
        <v>11311094</v>
      </c>
    </row>
    <row r="31" spans="1:22" s="172" customFormat="1" ht="16.5" hidden="1" customHeight="1">
      <c r="A31" s="159" t="str">
        <f t="shared" si="0"/>
        <v>03/2026</v>
      </c>
      <c r="B31" s="160">
        <v>46086</v>
      </c>
      <c r="C31" s="161" t="s">
        <v>33</v>
      </c>
      <c r="D31" s="178">
        <v>274</v>
      </c>
      <c r="E31" s="162">
        <v>1800000271</v>
      </c>
      <c r="F31" s="165">
        <v>2804.5</v>
      </c>
      <c r="G31" s="164"/>
      <c r="H31" s="164">
        <f>ROUND(F31*1.5%,2)</f>
        <v>42.07</v>
      </c>
      <c r="I31" s="164">
        <f>ROUND(F31*1%,2)</f>
        <v>28.05</v>
      </c>
      <c r="J31" s="164">
        <f>ROUND(F31*3%,2)</f>
        <v>84.14</v>
      </c>
      <c r="K31" s="164">
        <f>ROUND(F31*0.65%,2)</f>
        <v>18.23</v>
      </c>
      <c r="L31" s="165">
        <f t="shared" si="4"/>
        <v>130.41999999999999</v>
      </c>
      <c r="M31" s="165">
        <f t="shared" si="9"/>
        <v>2632.0099999999998</v>
      </c>
      <c r="N31" s="27">
        <v>1400000285</v>
      </c>
      <c r="O31" s="26">
        <v>46112</v>
      </c>
      <c r="P31" s="166" t="str">
        <f>TEXT(O31,"mm/aaaa")</f>
        <v>03/2026</v>
      </c>
      <c r="Q31" s="167" t="s">
        <v>34</v>
      </c>
      <c r="R31" s="168">
        <v>1017716043</v>
      </c>
      <c r="S31" s="168" t="s">
        <v>50</v>
      </c>
      <c r="T31" s="169">
        <v>57951895000167</v>
      </c>
      <c r="U31" s="171" t="s">
        <v>36</v>
      </c>
      <c r="V31" s="171">
        <v>11311094</v>
      </c>
    </row>
    <row r="32" spans="1:22" s="172" customFormat="1" ht="16.5" hidden="1" customHeight="1">
      <c r="A32" s="159" t="str">
        <f t="shared" si="0"/>
        <v>03/2026</v>
      </c>
      <c r="B32" s="160">
        <v>46086</v>
      </c>
      <c r="C32" s="161" t="s">
        <v>33</v>
      </c>
      <c r="D32" s="178">
        <v>275</v>
      </c>
      <c r="E32" s="162">
        <v>1800000272</v>
      </c>
      <c r="F32" s="165">
        <v>3588</v>
      </c>
      <c r="G32" s="164"/>
      <c r="H32" s="164">
        <f>ROUND(F32*1.5%,2)</f>
        <v>53.82</v>
      </c>
      <c r="I32" s="164">
        <f>ROUND(F32*1%,2)</f>
        <v>35.880000000000003</v>
      </c>
      <c r="J32" s="164">
        <f>ROUND(F32*3%,2)</f>
        <v>107.64</v>
      </c>
      <c r="K32" s="164">
        <f>ROUND(F32*0.65%,2)</f>
        <v>23.32</v>
      </c>
      <c r="L32" s="165">
        <f t="shared" si="4"/>
        <v>166.84</v>
      </c>
      <c r="M32" s="165">
        <f t="shared" si="9"/>
        <v>3367.3399999999997</v>
      </c>
      <c r="N32" s="27">
        <v>1400000330</v>
      </c>
      <c r="O32" s="26">
        <v>46135</v>
      </c>
      <c r="P32" s="166" t="str">
        <f>TEXT(O32,"mm/aaaa")</f>
        <v>04/2026</v>
      </c>
      <c r="Q32" s="167" t="s">
        <v>34</v>
      </c>
      <c r="R32" s="168">
        <v>1018075263</v>
      </c>
      <c r="S32" s="168" t="s">
        <v>49</v>
      </c>
      <c r="T32" s="169">
        <v>58578490000198</v>
      </c>
      <c r="U32" s="176" t="s">
        <v>36</v>
      </c>
      <c r="V32" s="171">
        <v>11311094</v>
      </c>
    </row>
    <row r="33" spans="1:22" s="172" customFormat="1" ht="16.5" hidden="1" customHeight="1">
      <c r="A33" s="159" t="str">
        <f t="shared" si="0"/>
        <v>03/2026</v>
      </c>
      <c r="B33" s="160">
        <v>46086</v>
      </c>
      <c r="C33" s="161" t="s">
        <v>33</v>
      </c>
      <c r="D33" s="178">
        <v>276</v>
      </c>
      <c r="E33" s="162">
        <v>1800000255</v>
      </c>
      <c r="F33" s="165">
        <v>97.5</v>
      </c>
      <c r="G33" s="164"/>
      <c r="H33" s="164">
        <v>0</v>
      </c>
      <c r="I33" s="164">
        <v>0</v>
      </c>
      <c r="J33" s="164">
        <v>0</v>
      </c>
      <c r="K33" s="164">
        <v>0</v>
      </c>
      <c r="L33" s="165">
        <f t="shared" si="4"/>
        <v>0</v>
      </c>
      <c r="M33" s="165">
        <f t="shared" si="9"/>
        <v>97.5</v>
      </c>
      <c r="N33" s="27">
        <v>1400000300</v>
      </c>
      <c r="O33" s="26">
        <v>46112</v>
      </c>
      <c r="P33" s="166" t="str">
        <f>TEXT(O33,"mm/aaaa")</f>
        <v>03/2026</v>
      </c>
      <c r="Q33" s="167" t="s">
        <v>34</v>
      </c>
      <c r="R33" s="168">
        <v>1018120652</v>
      </c>
      <c r="S33" s="168" t="s">
        <v>59</v>
      </c>
      <c r="T33" s="169">
        <v>30341404000100</v>
      </c>
      <c r="U33" s="171" t="s">
        <v>36</v>
      </c>
      <c r="V33" s="171">
        <v>11311094</v>
      </c>
    </row>
    <row r="34" spans="1:22" s="172" customFormat="1" ht="16.5" hidden="1" customHeight="1">
      <c r="A34" s="159" t="str">
        <f t="shared" si="0"/>
        <v>03/2026</v>
      </c>
      <c r="B34" s="160">
        <v>46086</v>
      </c>
      <c r="C34" s="161" t="s">
        <v>33</v>
      </c>
      <c r="D34" s="178">
        <v>277</v>
      </c>
      <c r="E34" s="162">
        <v>1800000285</v>
      </c>
      <c r="F34" s="165">
        <v>2907.5</v>
      </c>
      <c r="G34" s="164"/>
      <c r="H34" s="164">
        <f>ROUND(F34*1.5%,2)</f>
        <v>43.61</v>
      </c>
      <c r="I34" s="164">
        <f>ROUND(F34*1%,2)</f>
        <v>29.08</v>
      </c>
      <c r="J34" s="164">
        <f>ROUND(F34*3%,2)</f>
        <v>87.23</v>
      </c>
      <c r="K34" s="164">
        <f>ROUND(F34*0.65%,2)</f>
        <v>18.899999999999999</v>
      </c>
      <c r="L34" s="165">
        <f t="shared" si="4"/>
        <v>135.21</v>
      </c>
      <c r="M34" s="165">
        <f t="shared" si="9"/>
        <v>2728.68</v>
      </c>
      <c r="N34" s="128"/>
      <c r="O34" s="29" t="s">
        <v>48</v>
      </c>
      <c r="P34" s="166"/>
      <c r="Q34" s="167" t="s">
        <v>34</v>
      </c>
      <c r="R34" s="168">
        <v>1014825740</v>
      </c>
      <c r="S34" s="168" t="s">
        <v>38</v>
      </c>
      <c r="T34" s="169">
        <v>44120318000181</v>
      </c>
      <c r="U34" s="171" t="s">
        <v>36</v>
      </c>
      <c r="V34" s="171">
        <v>11311094</v>
      </c>
    </row>
    <row r="35" spans="1:22" s="172" customFormat="1" ht="16.5" hidden="1" customHeight="1">
      <c r="A35" s="181" t="str">
        <f t="shared" si="0"/>
        <v>03/2026</v>
      </c>
      <c r="B35" s="182">
        <v>46086</v>
      </c>
      <c r="C35" s="183" t="s">
        <v>33</v>
      </c>
      <c r="D35" s="184">
        <v>278</v>
      </c>
      <c r="E35" s="185">
        <v>1800000300</v>
      </c>
      <c r="F35" s="186">
        <v>250</v>
      </c>
      <c r="G35" s="187"/>
      <c r="H35" s="187">
        <v>0</v>
      </c>
      <c r="I35" s="187">
        <v>0</v>
      </c>
      <c r="J35" s="187">
        <v>0</v>
      </c>
      <c r="K35" s="187">
        <v>0</v>
      </c>
      <c r="L35" s="186">
        <f t="shared" si="4"/>
        <v>0</v>
      </c>
      <c r="M35" s="186">
        <f t="shared" si="9"/>
        <v>250</v>
      </c>
      <c r="N35" s="135">
        <v>1400000213</v>
      </c>
      <c r="O35" s="30">
        <v>46107</v>
      </c>
      <c r="P35" s="188" t="str">
        <f t="shared" ref="P35:P42" si="10">TEXT(O35,"mm/aaaa")</f>
        <v>03/2026</v>
      </c>
      <c r="Q35" s="189" t="s">
        <v>34</v>
      </c>
      <c r="R35" s="190">
        <v>1005618488</v>
      </c>
      <c r="S35" s="190" t="s">
        <v>60</v>
      </c>
      <c r="T35" s="191">
        <v>8152302000197</v>
      </c>
      <c r="U35" s="171" t="s">
        <v>36</v>
      </c>
      <c r="V35" s="171">
        <v>11311094</v>
      </c>
    </row>
    <row r="36" spans="1:22" s="172" customFormat="1" ht="16.5" hidden="1" customHeight="1">
      <c r="A36" s="159" t="str">
        <f t="shared" si="0"/>
        <v>03/2026</v>
      </c>
      <c r="B36" s="160">
        <v>46086</v>
      </c>
      <c r="C36" s="161" t="s">
        <v>33</v>
      </c>
      <c r="D36" s="178">
        <v>279</v>
      </c>
      <c r="E36" s="162">
        <v>1800000195</v>
      </c>
      <c r="F36" s="165">
        <v>250</v>
      </c>
      <c r="G36" s="164"/>
      <c r="H36" s="164">
        <v>0</v>
      </c>
      <c r="I36" s="164">
        <f>ROUND(F36*1%,2)</f>
        <v>2.5</v>
      </c>
      <c r="J36" s="164">
        <f>ROUND(F36*3%,2)</f>
        <v>7.5</v>
      </c>
      <c r="K36" s="164">
        <f>ROUND(F36*0.65%,2)</f>
        <v>1.63</v>
      </c>
      <c r="L36" s="165">
        <f t="shared" si="4"/>
        <v>11.629999999999999</v>
      </c>
      <c r="M36" s="165">
        <f t="shared" si="9"/>
        <v>238.37</v>
      </c>
      <c r="N36" s="27">
        <v>1400000270</v>
      </c>
      <c r="O36" s="26">
        <v>46112</v>
      </c>
      <c r="P36" s="166" t="str">
        <f t="shared" si="10"/>
        <v>03/2026</v>
      </c>
      <c r="Q36" s="167" t="s">
        <v>34</v>
      </c>
      <c r="R36" s="168">
        <v>1002640697</v>
      </c>
      <c r="S36" s="168" t="s">
        <v>35</v>
      </c>
      <c r="T36" s="169">
        <v>5370882000109</v>
      </c>
      <c r="U36" s="171" t="s">
        <v>36</v>
      </c>
      <c r="V36" s="171">
        <v>11311094</v>
      </c>
    </row>
    <row r="37" spans="1:22" s="172" customFormat="1" ht="16.5" hidden="1" customHeight="1">
      <c r="A37" s="159" t="str">
        <f t="shared" ref="A37:A68" si="11">TEXT(B37,"mm/aaaa")</f>
        <v>03/2026</v>
      </c>
      <c r="B37" s="160">
        <v>46086</v>
      </c>
      <c r="C37" s="161" t="s">
        <v>33</v>
      </c>
      <c r="D37" s="178">
        <v>280</v>
      </c>
      <c r="E37" s="162">
        <v>1800000210</v>
      </c>
      <c r="F37" s="165">
        <v>15298</v>
      </c>
      <c r="G37" s="164"/>
      <c r="H37" s="164">
        <f>ROUND(F37*1.5%,2)</f>
        <v>229.47</v>
      </c>
      <c r="I37" s="164">
        <f>ROUND(F37*1%,2)</f>
        <v>152.97999999999999</v>
      </c>
      <c r="J37" s="164">
        <f>ROUND(F37*3%,2)</f>
        <v>458.94</v>
      </c>
      <c r="K37" s="164">
        <f>ROUND(F37*0.65%,2)</f>
        <v>99.44</v>
      </c>
      <c r="L37" s="165">
        <f t="shared" ref="L37:L68" si="12">SUM(I37:K37)</f>
        <v>711.3599999999999</v>
      </c>
      <c r="M37" s="165">
        <f t="shared" si="9"/>
        <v>14357.17</v>
      </c>
      <c r="N37" s="27">
        <v>1400000195</v>
      </c>
      <c r="O37" s="26">
        <v>46107</v>
      </c>
      <c r="P37" s="166" t="str">
        <f t="shared" si="10"/>
        <v>03/2026</v>
      </c>
      <c r="Q37" s="167" t="s">
        <v>34</v>
      </c>
      <c r="R37" s="168">
        <v>1001187614</v>
      </c>
      <c r="S37" s="168" t="s">
        <v>37</v>
      </c>
      <c r="T37" s="169">
        <v>9395767000131</v>
      </c>
      <c r="U37" s="170" t="s">
        <v>36</v>
      </c>
      <c r="V37" s="171">
        <v>11311094</v>
      </c>
    </row>
    <row r="38" spans="1:22" s="172" customFormat="1" ht="16.5" hidden="1" customHeight="1">
      <c r="A38" s="159" t="str">
        <f t="shared" si="11"/>
        <v>03/2026</v>
      </c>
      <c r="B38" s="160">
        <v>46086</v>
      </c>
      <c r="C38" s="161" t="s">
        <v>33</v>
      </c>
      <c r="D38" s="178">
        <v>281</v>
      </c>
      <c r="E38" s="162">
        <v>1800000225</v>
      </c>
      <c r="F38" s="165">
        <v>345</v>
      </c>
      <c r="G38" s="164"/>
      <c r="H38" s="164">
        <v>0</v>
      </c>
      <c r="I38" s="164">
        <f>ROUND(F38*1%,2)</f>
        <v>3.45</v>
      </c>
      <c r="J38" s="164">
        <f>ROUND(F38*3%,2)</f>
        <v>10.35</v>
      </c>
      <c r="K38" s="164">
        <f>ROUND(F38*0.65%,2)</f>
        <v>2.2400000000000002</v>
      </c>
      <c r="L38" s="165">
        <f t="shared" si="12"/>
        <v>16.04</v>
      </c>
      <c r="M38" s="165">
        <f t="shared" si="9"/>
        <v>328.96</v>
      </c>
      <c r="N38" s="27">
        <v>1400000315</v>
      </c>
      <c r="O38" s="26">
        <v>46112</v>
      </c>
      <c r="P38" s="166" t="str">
        <f t="shared" si="10"/>
        <v>03/2026</v>
      </c>
      <c r="Q38" s="167" t="s">
        <v>34</v>
      </c>
      <c r="R38" s="168">
        <v>1007834227</v>
      </c>
      <c r="S38" s="168" t="s">
        <v>40</v>
      </c>
      <c r="T38" s="169">
        <v>14457026000178</v>
      </c>
      <c r="U38" s="176" t="s">
        <v>36</v>
      </c>
      <c r="V38" s="171">
        <v>11311094</v>
      </c>
    </row>
    <row r="39" spans="1:22" s="172" customFormat="1" ht="16.5" hidden="1" customHeight="1">
      <c r="A39" s="159" t="str">
        <f t="shared" si="11"/>
        <v>03/2026</v>
      </c>
      <c r="B39" s="160">
        <v>46086</v>
      </c>
      <c r="C39" s="161" t="s">
        <v>33</v>
      </c>
      <c r="D39" s="178">
        <v>282</v>
      </c>
      <c r="E39" s="162">
        <v>1800000226</v>
      </c>
      <c r="F39" s="165">
        <v>5651</v>
      </c>
      <c r="G39" s="164"/>
      <c r="H39" s="164">
        <f>ROUND(F39*1.5%,2)</f>
        <v>84.77</v>
      </c>
      <c r="I39" s="164">
        <f>ROUND(F39*1%,2)</f>
        <v>56.51</v>
      </c>
      <c r="J39" s="164">
        <f>ROUND(F39*3%,2)</f>
        <v>169.53</v>
      </c>
      <c r="K39" s="164">
        <f>ROUND(F39*0.65%,2)</f>
        <v>36.729999999999997</v>
      </c>
      <c r="L39" s="165">
        <f t="shared" si="12"/>
        <v>262.77</v>
      </c>
      <c r="M39" s="165">
        <f t="shared" si="9"/>
        <v>5303.46</v>
      </c>
      <c r="N39" s="27">
        <v>1400000210</v>
      </c>
      <c r="O39" s="26">
        <v>46107</v>
      </c>
      <c r="P39" s="166" t="str">
        <f t="shared" si="10"/>
        <v>03/2026</v>
      </c>
      <c r="Q39" s="167" t="s">
        <v>34</v>
      </c>
      <c r="R39" s="168">
        <v>1008259405</v>
      </c>
      <c r="S39" s="168" t="s">
        <v>39</v>
      </c>
      <c r="T39" s="169">
        <v>28759933000186</v>
      </c>
      <c r="U39" s="171" t="s">
        <v>36</v>
      </c>
      <c r="V39" s="171">
        <v>11311094</v>
      </c>
    </row>
    <row r="40" spans="1:22" s="172" customFormat="1" ht="16.5" hidden="1" customHeight="1">
      <c r="A40" s="159" t="str">
        <f t="shared" si="11"/>
        <v>03/2026</v>
      </c>
      <c r="B40" s="160">
        <v>46086</v>
      </c>
      <c r="C40" s="161" t="s">
        <v>33</v>
      </c>
      <c r="D40" s="178">
        <v>283</v>
      </c>
      <c r="E40" s="162">
        <v>1800000240</v>
      </c>
      <c r="F40" s="165">
        <v>966</v>
      </c>
      <c r="G40" s="164"/>
      <c r="H40" s="164">
        <f>ROUND(F40*1.5%,2)</f>
        <v>14.49</v>
      </c>
      <c r="I40" s="164">
        <f>ROUND(F40*1%,2)</f>
        <v>9.66</v>
      </c>
      <c r="J40" s="164">
        <f>ROUND(F40*3%,2)</f>
        <v>28.98</v>
      </c>
      <c r="K40" s="164">
        <f>ROUND(F40*0.65%,2)</f>
        <v>6.28</v>
      </c>
      <c r="L40" s="165">
        <f t="shared" si="12"/>
        <v>44.92</v>
      </c>
      <c r="M40" s="165">
        <f t="shared" si="9"/>
        <v>906.59</v>
      </c>
      <c r="N40" s="27">
        <v>1400000225</v>
      </c>
      <c r="O40" s="26">
        <v>46107</v>
      </c>
      <c r="P40" s="166" t="str">
        <f t="shared" si="10"/>
        <v>03/2026</v>
      </c>
      <c r="Q40" s="167" t="s">
        <v>34</v>
      </c>
      <c r="R40" s="168">
        <v>1018585294</v>
      </c>
      <c r="S40" s="168" t="s">
        <v>61</v>
      </c>
      <c r="T40" s="169">
        <v>29260142000170</v>
      </c>
      <c r="U40" s="171" t="s">
        <v>36</v>
      </c>
      <c r="V40" s="171">
        <v>11311094</v>
      </c>
    </row>
    <row r="41" spans="1:22" s="172" customFormat="1" ht="16.5" hidden="1" customHeight="1">
      <c r="A41" s="159" t="str">
        <f t="shared" si="11"/>
        <v>03/2026</v>
      </c>
      <c r="B41" s="160">
        <v>46086</v>
      </c>
      <c r="C41" s="161" t="s">
        <v>33</v>
      </c>
      <c r="D41" s="178">
        <v>284</v>
      </c>
      <c r="E41" s="162">
        <v>1800000256</v>
      </c>
      <c r="F41" s="165">
        <v>250</v>
      </c>
      <c r="G41" s="164"/>
      <c r="H41" s="164">
        <v>0</v>
      </c>
      <c r="I41" s="164">
        <v>0</v>
      </c>
      <c r="J41" s="164">
        <v>0</v>
      </c>
      <c r="K41" s="164">
        <v>0</v>
      </c>
      <c r="L41" s="165">
        <f t="shared" si="12"/>
        <v>0</v>
      </c>
      <c r="M41" s="165">
        <f t="shared" si="9"/>
        <v>250</v>
      </c>
      <c r="N41" s="27">
        <v>1400000180</v>
      </c>
      <c r="O41" s="26">
        <v>46107</v>
      </c>
      <c r="P41" s="166" t="str">
        <f t="shared" si="10"/>
        <v>03/2026</v>
      </c>
      <c r="Q41" s="167" t="s">
        <v>34</v>
      </c>
      <c r="R41" s="168">
        <v>1018840151</v>
      </c>
      <c r="S41" s="168" t="s">
        <v>55</v>
      </c>
      <c r="T41" s="169">
        <v>55365607000167</v>
      </c>
      <c r="U41" s="119" t="s">
        <v>62</v>
      </c>
      <c r="V41" s="171">
        <v>11311094</v>
      </c>
    </row>
    <row r="42" spans="1:22" s="172" customFormat="1" ht="16.5" hidden="1" customHeight="1">
      <c r="A42" s="159" t="str">
        <f t="shared" si="11"/>
        <v>03/2026</v>
      </c>
      <c r="B42" s="160">
        <v>46086</v>
      </c>
      <c r="C42" s="161" t="s">
        <v>33</v>
      </c>
      <c r="D42" s="178">
        <v>285</v>
      </c>
      <c r="E42" s="162">
        <v>1800000258</v>
      </c>
      <c r="F42" s="165">
        <v>250</v>
      </c>
      <c r="G42" s="164"/>
      <c r="H42" s="164">
        <v>0</v>
      </c>
      <c r="I42" s="164">
        <f>ROUND(F42*1%,2)</f>
        <v>2.5</v>
      </c>
      <c r="J42" s="164">
        <f>ROUND(F42*3%,2)</f>
        <v>7.5</v>
      </c>
      <c r="K42" s="164">
        <f>ROUND(F42*0.65%,2)</f>
        <v>1.63</v>
      </c>
      <c r="L42" s="165">
        <f t="shared" si="12"/>
        <v>11.629999999999999</v>
      </c>
      <c r="M42" s="165">
        <f t="shared" si="9"/>
        <v>238.37</v>
      </c>
      <c r="N42" s="27">
        <v>1400000212</v>
      </c>
      <c r="O42" s="26">
        <v>46107</v>
      </c>
      <c r="P42" s="166" t="str">
        <f t="shared" si="10"/>
        <v>03/2026</v>
      </c>
      <c r="Q42" s="167" t="s">
        <v>34</v>
      </c>
      <c r="R42" s="168">
        <v>1018930052</v>
      </c>
      <c r="S42" s="168" t="s">
        <v>51</v>
      </c>
      <c r="T42" s="169">
        <v>45916594000113</v>
      </c>
      <c r="U42" s="171" t="s">
        <v>36</v>
      </c>
      <c r="V42" s="171">
        <v>11311094</v>
      </c>
    </row>
    <row r="43" spans="1:22" s="172" customFormat="1" ht="16.5" hidden="1" customHeight="1">
      <c r="A43" s="159" t="str">
        <f t="shared" si="11"/>
        <v>03/2026</v>
      </c>
      <c r="B43" s="160">
        <v>46108</v>
      </c>
      <c r="C43" s="161" t="s">
        <v>33</v>
      </c>
      <c r="D43" s="162">
        <v>286</v>
      </c>
      <c r="E43" s="162">
        <v>1800000330</v>
      </c>
      <c r="F43" s="163">
        <v>4605.8</v>
      </c>
      <c r="G43" s="164">
        <v>0</v>
      </c>
      <c r="H43" s="164">
        <f>ROUND(F43*1.5%,2)</f>
        <v>69.09</v>
      </c>
      <c r="I43" s="164">
        <f>ROUND(F43*1%,2)</f>
        <v>46.06</v>
      </c>
      <c r="J43" s="164">
        <f>ROUND(F43*3%,2)</f>
        <v>138.16999999999999</v>
      </c>
      <c r="K43" s="164">
        <f>ROUND(F43*0.65%,2)</f>
        <v>29.94</v>
      </c>
      <c r="L43" s="165">
        <f t="shared" si="12"/>
        <v>214.17</v>
      </c>
      <c r="M43" s="165">
        <f t="shared" si="9"/>
        <v>4322.54</v>
      </c>
      <c r="N43" s="27">
        <v>1400000660</v>
      </c>
      <c r="O43" s="26">
        <v>46162</v>
      </c>
      <c r="P43" s="166" t="s">
        <v>43</v>
      </c>
      <c r="Q43" s="167" t="s">
        <v>44</v>
      </c>
      <c r="R43" s="168">
        <v>1007620183</v>
      </c>
      <c r="S43" s="168" t="s">
        <v>45</v>
      </c>
      <c r="T43" s="174">
        <v>9446817000162</v>
      </c>
      <c r="U43" s="171" t="s">
        <v>36</v>
      </c>
      <c r="V43" s="119">
        <v>11132050</v>
      </c>
    </row>
    <row r="44" spans="1:22" s="172" customFormat="1" ht="16.5" hidden="1" customHeight="1">
      <c r="A44" s="181" t="str">
        <f t="shared" si="11"/>
        <v>04/2026</v>
      </c>
      <c r="B44" s="182">
        <v>46118</v>
      </c>
      <c r="C44" s="183" t="s">
        <v>33</v>
      </c>
      <c r="D44" s="185">
        <v>287</v>
      </c>
      <c r="E44" s="185">
        <v>1800000360</v>
      </c>
      <c r="F44" s="192">
        <v>250</v>
      </c>
      <c r="G44" s="187">
        <v>0</v>
      </c>
      <c r="H44" s="187">
        <v>0</v>
      </c>
      <c r="I44" s="187">
        <v>0</v>
      </c>
      <c r="J44" s="187">
        <v>0</v>
      </c>
      <c r="K44" s="187">
        <v>0</v>
      </c>
      <c r="L44" s="186">
        <f t="shared" si="12"/>
        <v>0</v>
      </c>
      <c r="M44" s="186">
        <f t="shared" si="9"/>
        <v>250</v>
      </c>
      <c r="N44" s="135">
        <v>1400000345</v>
      </c>
      <c r="O44" s="30">
        <v>46135</v>
      </c>
      <c r="P44" s="188" t="str">
        <f>TEXT(O44,"mm/aaaa")</f>
        <v>04/2026</v>
      </c>
      <c r="Q44" s="189" t="s">
        <v>34</v>
      </c>
      <c r="R44" s="190">
        <v>1005618488</v>
      </c>
      <c r="S44" s="190" t="s">
        <v>60</v>
      </c>
      <c r="T44" s="191">
        <v>8152302000197</v>
      </c>
      <c r="U44" s="170" t="s">
        <v>36</v>
      </c>
      <c r="V44" s="170">
        <v>11311094</v>
      </c>
    </row>
    <row r="45" spans="1:22" s="172" customFormat="1" ht="16.5" hidden="1" customHeight="1">
      <c r="A45" s="159" t="str">
        <f t="shared" si="11"/>
        <v>04/2026</v>
      </c>
      <c r="B45" s="160">
        <v>46118</v>
      </c>
      <c r="C45" s="161" t="s">
        <v>33</v>
      </c>
      <c r="D45" s="162">
        <v>288</v>
      </c>
      <c r="E45" s="162">
        <v>1800000361</v>
      </c>
      <c r="F45" s="163">
        <v>15102.5</v>
      </c>
      <c r="G45" s="164">
        <v>0</v>
      </c>
      <c r="H45" s="164">
        <f>ROUND(F45*1.5%,2)</f>
        <v>226.54</v>
      </c>
      <c r="I45" s="164">
        <f t="shared" ref="I45:I50" si="13">ROUND(F45*1%,2)</f>
        <v>151.03</v>
      </c>
      <c r="J45" s="164">
        <f t="shared" ref="J45:J50" si="14">ROUND(F45*3%,2)</f>
        <v>453.08</v>
      </c>
      <c r="K45" s="164">
        <f t="shared" ref="K45:K50" si="15">ROUND(F45*0.65%,2)</f>
        <v>98.17</v>
      </c>
      <c r="L45" s="165">
        <f t="shared" si="12"/>
        <v>702.28</v>
      </c>
      <c r="M45" s="165">
        <f t="shared" si="9"/>
        <v>14173.679999999998</v>
      </c>
      <c r="N45" s="27">
        <v>1400000360</v>
      </c>
      <c r="O45" s="26">
        <v>46135</v>
      </c>
      <c r="P45" s="166" t="str">
        <f>TEXT(O45,"mm/aaaa")</f>
        <v>04/2026</v>
      </c>
      <c r="Q45" s="167" t="s">
        <v>34</v>
      </c>
      <c r="R45" s="168">
        <v>1001187614</v>
      </c>
      <c r="S45" s="168" t="s">
        <v>37</v>
      </c>
      <c r="T45" s="169">
        <v>9395767000131</v>
      </c>
      <c r="U45" s="171" t="s">
        <v>36</v>
      </c>
      <c r="V45" s="171">
        <v>11311094</v>
      </c>
    </row>
    <row r="46" spans="1:22" s="172" customFormat="1" ht="16.5" hidden="1" customHeight="1">
      <c r="A46" s="159" t="str">
        <f t="shared" si="11"/>
        <v>04/2026</v>
      </c>
      <c r="B46" s="160">
        <v>46118</v>
      </c>
      <c r="C46" s="161" t="s">
        <v>33</v>
      </c>
      <c r="D46" s="162">
        <v>289</v>
      </c>
      <c r="E46" s="162">
        <v>1800000422</v>
      </c>
      <c r="F46" s="163">
        <v>333</v>
      </c>
      <c r="G46" s="164">
        <v>0</v>
      </c>
      <c r="H46" s="164">
        <v>0</v>
      </c>
      <c r="I46" s="164">
        <f t="shared" si="13"/>
        <v>3.33</v>
      </c>
      <c r="J46" s="164">
        <f t="shared" si="14"/>
        <v>9.99</v>
      </c>
      <c r="K46" s="164">
        <f t="shared" si="15"/>
        <v>2.16</v>
      </c>
      <c r="L46" s="165">
        <f t="shared" si="12"/>
        <v>15.48</v>
      </c>
      <c r="M46" s="165">
        <f t="shared" si="9"/>
        <v>317.52</v>
      </c>
      <c r="N46" s="27">
        <f>VLOOKUP(E46,'[2]Controle Sompo Risks'!$H:$I,2,0)</f>
        <v>1400000766</v>
      </c>
      <c r="O46" s="26">
        <v>46198</v>
      </c>
      <c r="P46" s="105" t="s">
        <v>54</v>
      </c>
      <c r="Q46" s="167" t="s">
        <v>34</v>
      </c>
      <c r="R46" s="168">
        <v>1013068932</v>
      </c>
      <c r="S46" s="168" t="s">
        <v>63</v>
      </c>
      <c r="T46" s="169">
        <v>27562235000123</v>
      </c>
      <c r="U46" s="171" t="s">
        <v>36</v>
      </c>
      <c r="V46" s="171">
        <v>11311094</v>
      </c>
    </row>
    <row r="47" spans="1:22" s="172" customFormat="1" ht="16.5" hidden="1" customHeight="1">
      <c r="A47" s="159" t="str">
        <f t="shared" si="11"/>
        <v>04/2026</v>
      </c>
      <c r="B47" s="160">
        <v>46118</v>
      </c>
      <c r="C47" s="161" t="s">
        <v>33</v>
      </c>
      <c r="D47" s="162">
        <v>290</v>
      </c>
      <c r="E47" s="162">
        <v>1800000423</v>
      </c>
      <c r="F47" s="163">
        <v>250</v>
      </c>
      <c r="G47" s="164">
        <v>0</v>
      </c>
      <c r="H47" s="164">
        <v>0</v>
      </c>
      <c r="I47" s="164">
        <f t="shared" si="13"/>
        <v>2.5</v>
      </c>
      <c r="J47" s="164">
        <f t="shared" si="14"/>
        <v>7.5</v>
      </c>
      <c r="K47" s="164">
        <f t="shared" si="15"/>
        <v>1.63</v>
      </c>
      <c r="L47" s="165">
        <f t="shared" si="12"/>
        <v>11.629999999999999</v>
      </c>
      <c r="M47" s="165">
        <f t="shared" si="9"/>
        <v>238.37</v>
      </c>
      <c r="N47" s="27">
        <v>1400000405</v>
      </c>
      <c r="O47" s="26">
        <v>46135</v>
      </c>
      <c r="P47" s="166" t="str">
        <f>TEXT(O47,"mm/aaaa")</f>
        <v>04/2026</v>
      </c>
      <c r="Q47" s="167" t="s">
        <v>34</v>
      </c>
      <c r="R47" s="168">
        <v>1015739477</v>
      </c>
      <c r="S47" s="168" t="s">
        <v>64</v>
      </c>
      <c r="T47" s="169">
        <v>39857410000199</v>
      </c>
      <c r="U47" s="171" t="s">
        <v>36</v>
      </c>
      <c r="V47" s="171">
        <v>11311094</v>
      </c>
    </row>
    <row r="48" spans="1:22" s="172" customFormat="1" ht="16.5" hidden="1" customHeight="1">
      <c r="A48" s="159" t="str">
        <f t="shared" si="11"/>
        <v>04/2026</v>
      </c>
      <c r="B48" s="160">
        <v>46118</v>
      </c>
      <c r="C48" s="161" t="s">
        <v>33</v>
      </c>
      <c r="D48" s="162">
        <v>291</v>
      </c>
      <c r="E48" s="162">
        <v>1800000362</v>
      </c>
      <c r="F48" s="163">
        <v>8232.5</v>
      </c>
      <c r="G48" s="164">
        <v>0</v>
      </c>
      <c r="H48" s="164">
        <f>ROUND(F48*1.5%,2)</f>
        <v>123.49</v>
      </c>
      <c r="I48" s="164">
        <f t="shared" si="13"/>
        <v>82.33</v>
      </c>
      <c r="J48" s="164">
        <f t="shared" si="14"/>
        <v>246.98</v>
      </c>
      <c r="K48" s="164">
        <f t="shared" si="15"/>
        <v>53.51</v>
      </c>
      <c r="L48" s="165">
        <f t="shared" si="12"/>
        <v>382.82</v>
      </c>
      <c r="M48" s="165">
        <f t="shared" si="9"/>
        <v>7726.1900000000005</v>
      </c>
      <c r="N48" s="27">
        <v>1400000346</v>
      </c>
      <c r="O48" s="26">
        <v>46135</v>
      </c>
      <c r="P48" s="166" t="str">
        <f>TEXT(O48,"mm/aaaa")</f>
        <v>04/2026</v>
      </c>
      <c r="Q48" s="167" t="s">
        <v>34</v>
      </c>
      <c r="R48" s="168">
        <v>1008259405</v>
      </c>
      <c r="S48" s="168" t="s">
        <v>39</v>
      </c>
      <c r="T48" s="169">
        <v>28759933000186</v>
      </c>
      <c r="U48" s="171" t="s">
        <v>36</v>
      </c>
      <c r="V48" s="171">
        <v>11311094</v>
      </c>
    </row>
    <row r="49" spans="1:22" s="172" customFormat="1" ht="16.5" hidden="1" customHeight="1">
      <c r="A49" s="159" t="str">
        <f t="shared" si="11"/>
        <v>04/2026</v>
      </c>
      <c r="B49" s="160">
        <v>46118</v>
      </c>
      <c r="C49" s="161" t="s">
        <v>33</v>
      </c>
      <c r="D49" s="162">
        <v>292</v>
      </c>
      <c r="E49" s="162">
        <v>1800000375</v>
      </c>
      <c r="F49" s="163">
        <v>2022</v>
      </c>
      <c r="G49" s="164">
        <v>0</v>
      </c>
      <c r="H49" s="164">
        <f>ROUND(F49*1.5%,2)</f>
        <v>30.33</v>
      </c>
      <c r="I49" s="164">
        <f t="shared" si="13"/>
        <v>20.22</v>
      </c>
      <c r="J49" s="164">
        <f t="shared" si="14"/>
        <v>60.66</v>
      </c>
      <c r="K49" s="164">
        <f t="shared" si="15"/>
        <v>13.14</v>
      </c>
      <c r="L49" s="165">
        <f t="shared" si="12"/>
        <v>94.02</v>
      </c>
      <c r="M49" s="165">
        <f t="shared" si="9"/>
        <v>1897.6499999999999</v>
      </c>
      <c r="N49" s="27">
        <v>1400000375</v>
      </c>
      <c r="O49" s="26">
        <v>46135</v>
      </c>
      <c r="P49" s="166" t="str">
        <f>TEXT(O49,"mm/aaaa")</f>
        <v>04/2026</v>
      </c>
      <c r="Q49" s="167" t="s">
        <v>34</v>
      </c>
      <c r="R49" s="168">
        <v>1018585294</v>
      </c>
      <c r="S49" s="168" t="s">
        <v>61</v>
      </c>
      <c r="T49" s="169">
        <v>29260142000170</v>
      </c>
      <c r="U49" s="171" t="s">
        <v>36</v>
      </c>
      <c r="V49" s="171">
        <v>11311094</v>
      </c>
    </row>
    <row r="50" spans="1:22" s="172" customFormat="1" ht="16.5" hidden="1" customHeight="1">
      <c r="A50" s="159" t="str">
        <f t="shared" si="11"/>
        <v>04/2026</v>
      </c>
      <c r="B50" s="160">
        <v>46118</v>
      </c>
      <c r="C50" s="161" t="s">
        <v>33</v>
      </c>
      <c r="D50" s="162">
        <v>293</v>
      </c>
      <c r="E50" s="162">
        <v>1800000136</v>
      </c>
      <c r="F50" s="163">
        <v>6621.5</v>
      </c>
      <c r="G50" s="164">
        <v>0</v>
      </c>
      <c r="H50" s="164">
        <f>ROUND(F50*1.5%,2)</f>
        <v>99.32</v>
      </c>
      <c r="I50" s="164">
        <f t="shared" si="13"/>
        <v>66.22</v>
      </c>
      <c r="J50" s="164">
        <f t="shared" si="14"/>
        <v>198.65</v>
      </c>
      <c r="K50" s="164">
        <f t="shared" si="15"/>
        <v>43.04</v>
      </c>
      <c r="L50" s="165">
        <f t="shared" si="12"/>
        <v>307.91000000000003</v>
      </c>
      <c r="M50" s="165">
        <f t="shared" si="9"/>
        <v>6214.27</v>
      </c>
      <c r="N50" s="27">
        <v>1400000376</v>
      </c>
      <c r="O50" s="26">
        <v>46135</v>
      </c>
      <c r="P50" s="166" t="str">
        <f>TEXT(O50,"mm/aaaa")</f>
        <v>04/2026</v>
      </c>
      <c r="Q50" s="167" t="s">
        <v>34</v>
      </c>
      <c r="R50" s="168">
        <v>1018120652</v>
      </c>
      <c r="S50" s="168" t="s">
        <v>59</v>
      </c>
      <c r="T50" s="169">
        <v>30341404000100</v>
      </c>
      <c r="U50" s="171" t="s">
        <v>36</v>
      </c>
      <c r="V50" s="171">
        <v>11311094</v>
      </c>
    </row>
    <row r="51" spans="1:22" s="172" customFormat="1" ht="16.5" hidden="1" customHeight="1">
      <c r="A51" s="159" t="str">
        <f t="shared" si="11"/>
        <v>04/2026</v>
      </c>
      <c r="B51" s="160">
        <v>46118</v>
      </c>
      <c r="C51" s="161" t="s">
        <v>33</v>
      </c>
      <c r="D51" s="162">
        <v>294</v>
      </c>
      <c r="E51" s="162">
        <v>1800000138</v>
      </c>
      <c r="F51" s="163">
        <v>78.5</v>
      </c>
      <c r="G51" s="164">
        <v>0</v>
      </c>
      <c r="H51" s="164">
        <v>0</v>
      </c>
      <c r="I51" s="164">
        <v>0</v>
      </c>
      <c r="J51" s="164">
        <v>0</v>
      </c>
      <c r="K51" s="164">
        <v>0</v>
      </c>
      <c r="L51" s="165">
        <f t="shared" si="12"/>
        <v>0</v>
      </c>
      <c r="M51" s="165">
        <f t="shared" ref="M51:M82" si="16">F51-H51-I51-J51-K51</f>
        <v>78.5</v>
      </c>
      <c r="N51" s="27">
        <v>1400000450</v>
      </c>
      <c r="O51" s="26">
        <v>46142</v>
      </c>
      <c r="P51" s="166" t="s">
        <v>65</v>
      </c>
      <c r="Q51" s="167" t="s">
        <v>34</v>
      </c>
      <c r="R51" s="168">
        <v>1005047386</v>
      </c>
      <c r="S51" s="168" t="s">
        <v>66</v>
      </c>
      <c r="T51" s="169">
        <v>47425731000142</v>
      </c>
      <c r="U51" s="171" t="s">
        <v>36</v>
      </c>
      <c r="V51" s="171">
        <v>11311094</v>
      </c>
    </row>
    <row r="52" spans="1:22" s="172" customFormat="1" ht="16.5" hidden="1" customHeight="1">
      <c r="A52" s="159" t="str">
        <f t="shared" si="11"/>
        <v>04/2026</v>
      </c>
      <c r="B52" s="160">
        <v>46118</v>
      </c>
      <c r="C52" s="161" t="s">
        <v>33</v>
      </c>
      <c r="D52" s="162">
        <v>295</v>
      </c>
      <c r="E52" s="162">
        <v>1800000153</v>
      </c>
      <c r="F52" s="163">
        <v>250</v>
      </c>
      <c r="G52" s="164">
        <v>0</v>
      </c>
      <c r="H52" s="164">
        <v>0</v>
      </c>
      <c r="I52" s="164">
        <f t="shared" ref="I52:I57" si="17">ROUND(F52*1%,2)</f>
        <v>2.5</v>
      </c>
      <c r="J52" s="164">
        <f t="shared" ref="J52:J57" si="18">ROUND(F52*3%,2)</f>
        <v>7.5</v>
      </c>
      <c r="K52" s="164">
        <f t="shared" ref="K52:K57" si="19">ROUND(F52*0.65%,2)</f>
        <v>1.63</v>
      </c>
      <c r="L52" s="165">
        <f t="shared" si="12"/>
        <v>11.629999999999999</v>
      </c>
      <c r="M52" s="165">
        <f t="shared" si="16"/>
        <v>238.37</v>
      </c>
      <c r="N52" s="27">
        <v>1400000331</v>
      </c>
      <c r="O52" s="26">
        <v>46135</v>
      </c>
      <c r="P52" s="166" t="str">
        <f>TEXT(O52,"mm/aaaa")</f>
        <v>04/2026</v>
      </c>
      <c r="Q52" s="167" t="s">
        <v>34</v>
      </c>
      <c r="R52" s="168">
        <v>1002640697</v>
      </c>
      <c r="S52" s="168" t="s">
        <v>35</v>
      </c>
      <c r="T52" s="169">
        <v>5370882000109</v>
      </c>
      <c r="U52" s="176" t="s">
        <v>36</v>
      </c>
      <c r="V52" s="171">
        <v>11311094</v>
      </c>
    </row>
    <row r="53" spans="1:22" s="172" customFormat="1" ht="16.5" hidden="1" customHeight="1">
      <c r="A53" s="159" t="str">
        <f t="shared" si="11"/>
        <v>04/2026</v>
      </c>
      <c r="B53" s="160">
        <v>46118</v>
      </c>
      <c r="C53" s="161" t="s">
        <v>33</v>
      </c>
      <c r="D53" s="162">
        <v>296</v>
      </c>
      <c r="E53" s="162">
        <v>1800000390</v>
      </c>
      <c r="F53" s="163">
        <v>4346</v>
      </c>
      <c r="G53" s="164">
        <v>0</v>
      </c>
      <c r="H53" s="164">
        <f>ROUND(F53*1.5%,2)</f>
        <v>65.19</v>
      </c>
      <c r="I53" s="164">
        <f t="shared" si="17"/>
        <v>43.46</v>
      </c>
      <c r="J53" s="164">
        <f t="shared" si="18"/>
        <v>130.38</v>
      </c>
      <c r="K53" s="164">
        <f t="shared" si="19"/>
        <v>28.25</v>
      </c>
      <c r="L53" s="165">
        <f t="shared" si="12"/>
        <v>202.09</v>
      </c>
      <c r="M53" s="165">
        <f t="shared" si="16"/>
        <v>4078.7200000000003</v>
      </c>
      <c r="N53" s="27">
        <v>1400000332</v>
      </c>
      <c r="O53" s="26">
        <v>46135</v>
      </c>
      <c r="P53" s="166" t="str">
        <f>TEXT(O53,"mm/aaaa")</f>
        <v>04/2026</v>
      </c>
      <c r="Q53" s="167" t="s">
        <v>34</v>
      </c>
      <c r="R53" s="168">
        <v>1017716043</v>
      </c>
      <c r="S53" s="168" t="s">
        <v>50</v>
      </c>
      <c r="T53" s="169">
        <v>57951895000167</v>
      </c>
      <c r="U53" s="171" t="s">
        <v>36</v>
      </c>
      <c r="V53" s="171">
        <v>11311094</v>
      </c>
    </row>
    <row r="54" spans="1:22" s="172" customFormat="1" ht="16.5" hidden="1" customHeight="1">
      <c r="A54" s="159" t="str">
        <f t="shared" si="11"/>
        <v>04/2026</v>
      </c>
      <c r="B54" s="160">
        <v>46118</v>
      </c>
      <c r="C54" s="161" t="s">
        <v>33</v>
      </c>
      <c r="D54" s="162">
        <v>297</v>
      </c>
      <c r="E54" s="162">
        <v>1800000466</v>
      </c>
      <c r="F54" s="163">
        <v>2127</v>
      </c>
      <c r="G54" s="164">
        <v>0</v>
      </c>
      <c r="H54" s="164">
        <f>ROUND(F54*1.5%,2)</f>
        <v>31.91</v>
      </c>
      <c r="I54" s="164">
        <f t="shared" si="17"/>
        <v>21.27</v>
      </c>
      <c r="J54" s="164">
        <f t="shared" si="18"/>
        <v>63.81</v>
      </c>
      <c r="K54" s="164">
        <f t="shared" si="19"/>
        <v>13.83</v>
      </c>
      <c r="L54" s="165">
        <f t="shared" si="12"/>
        <v>98.91</v>
      </c>
      <c r="M54" s="165">
        <f t="shared" si="16"/>
        <v>1996.1800000000003</v>
      </c>
      <c r="N54" s="27">
        <v>1400000615</v>
      </c>
      <c r="O54" s="26">
        <v>46170</v>
      </c>
      <c r="P54" s="166" t="s">
        <v>43</v>
      </c>
      <c r="Q54" s="167" t="s">
        <v>34</v>
      </c>
      <c r="R54" s="168">
        <v>1013447909</v>
      </c>
      <c r="S54" s="168" t="s">
        <v>67</v>
      </c>
      <c r="T54" s="169">
        <v>5514753000139</v>
      </c>
      <c r="U54" s="170" t="s">
        <v>36</v>
      </c>
      <c r="V54" s="171">
        <v>11311094</v>
      </c>
    </row>
    <row r="55" spans="1:22" s="78" customFormat="1" ht="16.5" hidden="1" customHeight="1">
      <c r="A55" s="179" t="str">
        <f t="shared" si="11"/>
        <v>04/2026</v>
      </c>
      <c r="B55" s="160">
        <v>46118</v>
      </c>
      <c r="C55" s="161" t="s">
        <v>33</v>
      </c>
      <c r="D55" s="162">
        <v>298</v>
      </c>
      <c r="E55" s="162">
        <v>1800000376</v>
      </c>
      <c r="F55" s="163">
        <v>3312</v>
      </c>
      <c r="G55" s="164">
        <v>0</v>
      </c>
      <c r="H55" s="164">
        <f>ROUND(F55*1.5%,2)</f>
        <v>49.68</v>
      </c>
      <c r="I55" s="164">
        <f t="shared" si="17"/>
        <v>33.119999999999997</v>
      </c>
      <c r="J55" s="164">
        <f t="shared" si="18"/>
        <v>99.36</v>
      </c>
      <c r="K55" s="164">
        <f t="shared" si="19"/>
        <v>21.53</v>
      </c>
      <c r="L55" s="165">
        <f t="shared" si="12"/>
        <v>154.01</v>
      </c>
      <c r="M55" s="165">
        <f t="shared" si="16"/>
        <v>3108.31</v>
      </c>
      <c r="N55" s="27">
        <v>1400000435</v>
      </c>
      <c r="O55" s="26">
        <v>46142</v>
      </c>
      <c r="P55" s="166" t="s">
        <v>65</v>
      </c>
      <c r="Q55" s="167" t="s">
        <v>34</v>
      </c>
      <c r="R55" s="168">
        <v>1018075263</v>
      </c>
      <c r="S55" s="168" t="s">
        <v>49</v>
      </c>
      <c r="T55" s="169">
        <v>58578490000198</v>
      </c>
      <c r="U55" s="119" t="s">
        <v>36</v>
      </c>
      <c r="V55" s="119">
        <v>11311094</v>
      </c>
    </row>
    <row r="56" spans="1:22" s="172" customFormat="1" ht="16.5" hidden="1" customHeight="1">
      <c r="A56" s="159" t="str">
        <f t="shared" si="11"/>
        <v>04/2026</v>
      </c>
      <c r="B56" s="160">
        <v>46118</v>
      </c>
      <c r="C56" s="161" t="s">
        <v>33</v>
      </c>
      <c r="D56" s="162">
        <v>299</v>
      </c>
      <c r="E56" s="162">
        <v>1800000405</v>
      </c>
      <c r="F56" s="163">
        <v>2020</v>
      </c>
      <c r="G56" s="164">
        <v>0</v>
      </c>
      <c r="H56" s="164">
        <f>ROUND(F56*1.5%,2)</f>
        <v>30.3</v>
      </c>
      <c r="I56" s="164">
        <f t="shared" si="17"/>
        <v>20.2</v>
      </c>
      <c r="J56" s="164">
        <f t="shared" si="18"/>
        <v>60.6</v>
      </c>
      <c r="K56" s="164">
        <f t="shared" si="19"/>
        <v>13.13</v>
      </c>
      <c r="L56" s="165">
        <f t="shared" si="12"/>
        <v>93.929999999999993</v>
      </c>
      <c r="M56" s="165">
        <f t="shared" si="16"/>
        <v>1895.77</v>
      </c>
      <c r="N56" s="128"/>
      <c r="O56" s="29" t="s">
        <v>48</v>
      </c>
      <c r="P56" s="166"/>
      <c r="Q56" s="167" t="s">
        <v>34</v>
      </c>
      <c r="R56" s="168">
        <v>1014825740</v>
      </c>
      <c r="S56" s="168" t="s">
        <v>38</v>
      </c>
      <c r="T56" s="169">
        <v>44120318000181</v>
      </c>
      <c r="U56" s="170" t="s">
        <v>36</v>
      </c>
      <c r="V56" s="171">
        <v>11311094</v>
      </c>
    </row>
    <row r="57" spans="1:22" s="172" customFormat="1" ht="16.5" hidden="1" customHeight="1">
      <c r="A57" s="159" t="str">
        <f t="shared" si="11"/>
        <v>04/2026</v>
      </c>
      <c r="B57" s="160">
        <v>46118</v>
      </c>
      <c r="C57" s="161" t="s">
        <v>33</v>
      </c>
      <c r="D57" s="162">
        <v>300</v>
      </c>
      <c r="E57" s="162">
        <v>1800000420</v>
      </c>
      <c r="F57" s="163">
        <v>250</v>
      </c>
      <c r="G57" s="164">
        <v>0</v>
      </c>
      <c r="H57" s="164">
        <v>0</v>
      </c>
      <c r="I57" s="164">
        <f t="shared" si="17"/>
        <v>2.5</v>
      </c>
      <c r="J57" s="164">
        <f t="shared" si="18"/>
        <v>7.5</v>
      </c>
      <c r="K57" s="164">
        <f t="shared" si="19"/>
        <v>1.63</v>
      </c>
      <c r="L57" s="165">
        <f t="shared" si="12"/>
        <v>11.629999999999999</v>
      </c>
      <c r="M57" s="165">
        <f t="shared" si="16"/>
        <v>238.37</v>
      </c>
      <c r="N57" s="27">
        <v>1400000333</v>
      </c>
      <c r="O57" s="26">
        <v>46135</v>
      </c>
      <c r="P57" s="166" t="str">
        <f>TEXT(O57,"mm/aaaa")</f>
        <v>04/2026</v>
      </c>
      <c r="Q57" s="167" t="s">
        <v>34</v>
      </c>
      <c r="R57" s="168">
        <v>1007834227</v>
      </c>
      <c r="S57" s="168" t="s">
        <v>40</v>
      </c>
      <c r="T57" s="169">
        <v>14457026000178</v>
      </c>
      <c r="U57" s="171" t="s">
        <v>36</v>
      </c>
      <c r="V57" s="171">
        <v>11311094</v>
      </c>
    </row>
    <row r="58" spans="1:22" s="172" customFormat="1" ht="16.5" hidden="1" customHeight="1">
      <c r="A58" s="159" t="str">
        <f t="shared" si="11"/>
        <v>04/2026</v>
      </c>
      <c r="B58" s="160">
        <v>46118</v>
      </c>
      <c r="C58" s="161" t="s">
        <v>33</v>
      </c>
      <c r="D58" s="162">
        <v>301</v>
      </c>
      <c r="E58" s="162">
        <v>1800000435</v>
      </c>
      <c r="F58" s="163">
        <v>250</v>
      </c>
      <c r="G58" s="164">
        <v>0</v>
      </c>
      <c r="H58" s="164">
        <v>0</v>
      </c>
      <c r="I58" s="164">
        <v>0</v>
      </c>
      <c r="J58" s="164">
        <v>0</v>
      </c>
      <c r="K58" s="164">
        <v>0</v>
      </c>
      <c r="L58" s="165">
        <f t="shared" si="12"/>
        <v>0</v>
      </c>
      <c r="M58" s="165">
        <f t="shared" si="16"/>
        <v>250</v>
      </c>
      <c r="N58" s="27">
        <v>1400000465</v>
      </c>
      <c r="O58" s="26">
        <v>46156</v>
      </c>
      <c r="P58" s="166" t="s">
        <v>43</v>
      </c>
      <c r="Q58" s="167" t="s">
        <v>34</v>
      </c>
      <c r="R58" s="168">
        <v>1018840151</v>
      </c>
      <c r="S58" s="168" t="s">
        <v>55</v>
      </c>
      <c r="T58" s="169">
        <v>55365607000167</v>
      </c>
      <c r="U58" s="119" t="s">
        <v>62</v>
      </c>
      <c r="V58" s="171">
        <v>11311094</v>
      </c>
    </row>
    <row r="59" spans="1:22" s="172" customFormat="1" ht="16.5" hidden="1" customHeight="1">
      <c r="A59" s="159" t="str">
        <f t="shared" si="11"/>
        <v>04/2026</v>
      </c>
      <c r="B59" s="160">
        <v>46118</v>
      </c>
      <c r="C59" s="161" t="s">
        <v>33</v>
      </c>
      <c r="D59" s="162">
        <v>302</v>
      </c>
      <c r="E59" s="162">
        <v>1800000421</v>
      </c>
      <c r="F59" s="163">
        <v>250</v>
      </c>
      <c r="G59" s="164">
        <v>0</v>
      </c>
      <c r="H59" s="164">
        <v>0</v>
      </c>
      <c r="I59" s="164">
        <v>0</v>
      </c>
      <c r="J59" s="164">
        <v>0</v>
      </c>
      <c r="K59" s="164">
        <v>0</v>
      </c>
      <c r="L59" s="165">
        <f t="shared" si="12"/>
        <v>0</v>
      </c>
      <c r="M59" s="165">
        <f t="shared" si="16"/>
        <v>250</v>
      </c>
      <c r="N59" s="128"/>
      <c r="O59" s="29" t="s">
        <v>48</v>
      </c>
      <c r="P59" s="166"/>
      <c r="Q59" s="167" t="s">
        <v>34</v>
      </c>
      <c r="R59" s="168">
        <v>1018345066</v>
      </c>
      <c r="S59" s="168" t="s">
        <v>46</v>
      </c>
      <c r="T59" s="169">
        <v>57904437000177</v>
      </c>
      <c r="U59" s="119" t="s">
        <v>47</v>
      </c>
      <c r="V59" s="171">
        <v>11311094</v>
      </c>
    </row>
    <row r="60" spans="1:22" s="172" customFormat="1" ht="16.5" hidden="1" customHeight="1">
      <c r="A60" s="159" t="str">
        <f t="shared" si="11"/>
        <v>04/2026</v>
      </c>
      <c r="B60" s="160">
        <v>46118</v>
      </c>
      <c r="C60" s="161" t="s">
        <v>33</v>
      </c>
      <c r="D60" s="162">
        <v>303</v>
      </c>
      <c r="E60" s="162">
        <v>1800000450</v>
      </c>
      <c r="F60" s="163">
        <v>250</v>
      </c>
      <c r="G60" s="164">
        <v>0</v>
      </c>
      <c r="H60" s="164">
        <v>0</v>
      </c>
      <c r="I60" s="164">
        <v>0</v>
      </c>
      <c r="J60" s="164">
        <v>0</v>
      </c>
      <c r="K60" s="164">
        <v>0</v>
      </c>
      <c r="L60" s="165">
        <f t="shared" si="12"/>
        <v>0</v>
      </c>
      <c r="M60" s="165">
        <f t="shared" si="16"/>
        <v>250</v>
      </c>
      <c r="N60" s="27">
        <v>1400000390</v>
      </c>
      <c r="O60" s="26">
        <v>46135</v>
      </c>
      <c r="P60" s="166" t="str">
        <f>TEXT(O60,"mm/aaaa")</f>
        <v>04/2026</v>
      </c>
      <c r="Q60" s="167" t="s">
        <v>34</v>
      </c>
      <c r="R60" s="168">
        <v>1017130541</v>
      </c>
      <c r="S60" s="168" t="s">
        <v>52</v>
      </c>
      <c r="T60" s="169">
        <v>53045500000106</v>
      </c>
      <c r="U60" s="119" t="s">
        <v>53</v>
      </c>
      <c r="V60" s="171">
        <v>11311094</v>
      </c>
    </row>
    <row r="61" spans="1:22" s="172" customFormat="1" ht="16.5" hidden="1" customHeight="1">
      <c r="A61" s="181" t="str">
        <f t="shared" si="11"/>
        <v>04/2026</v>
      </c>
      <c r="B61" s="182">
        <v>46118</v>
      </c>
      <c r="C61" s="183" t="s">
        <v>33</v>
      </c>
      <c r="D61" s="185">
        <v>304</v>
      </c>
      <c r="E61" s="185">
        <v>1800000451</v>
      </c>
      <c r="F61" s="192">
        <v>250</v>
      </c>
      <c r="G61" s="187">
        <v>0</v>
      </c>
      <c r="H61" s="187">
        <v>0</v>
      </c>
      <c r="I61" s="187">
        <v>0</v>
      </c>
      <c r="J61" s="187">
        <v>0</v>
      </c>
      <c r="K61" s="187">
        <v>0</v>
      </c>
      <c r="L61" s="186">
        <f t="shared" si="12"/>
        <v>0</v>
      </c>
      <c r="M61" s="186">
        <f t="shared" si="16"/>
        <v>250</v>
      </c>
      <c r="N61" s="27">
        <v>1400000391</v>
      </c>
      <c r="O61" s="26">
        <v>46135</v>
      </c>
      <c r="P61" s="166" t="str">
        <f>TEXT(O61,"mm/aaaa")</f>
        <v>04/2026</v>
      </c>
      <c r="Q61" s="189" t="s">
        <v>34</v>
      </c>
      <c r="R61" s="190">
        <v>1016771816</v>
      </c>
      <c r="S61" s="190" t="s">
        <v>58</v>
      </c>
      <c r="T61" s="191">
        <v>41607658000143</v>
      </c>
      <c r="U61" s="170" t="s">
        <v>36</v>
      </c>
      <c r="V61" s="171">
        <v>11311094</v>
      </c>
    </row>
    <row r="62" spans="1:22" s="78" customFormat="1" ht="16.5" hidden="1" customHeight="1">
      <c r="A62" s="179" t="str">
        <f t="shared" si="11"/>
        <v>04/2026</v>
      </c>
      <c r="B62" s="160">
        <v>46118</v>
      </c>
      <c r="C62" s="161" t="s">
        <v>33</v>
      </c>
      <c r="D62" s="162">
        <v>305</v>
      </c>
      <c r="E62" s="162">
        <v>1800000436</v>
      </c>
      <c r="F62" s="163">
        <v>250</v>
      </c>
      <c r="G62" s="164">
        <v>0</v>
      </c>
      <c r="H62" s="164">
        <v>0</v>
      </c>
      <c r="I62" s="164">
        <f t="shared" ref="I62:I79" si="20">ROUND(F62*1%,2)</f>
        <v>2.5</v>
      </c>
      <c r="J62" s="164">
        <f t="shared" ref="J62:J79" si="21">ROUND(F62*3%,2)</f>
        <v>7.5</v>
      </c>
      <c r="K62" s="164">
        <f t="shared" ref="K62:K79" si="22">ROUND(F62*0.65%,2)</f>
        <v>1.63</v>
      </c>
      <c r="L62" s="165">
        <f t="shared" si="12"/>
        <v>11.629999999999999</v>
      </c>
      <c r="M62" s="165">
        <f t="shared" si="16"/>
        <v>238.37</v>
      </c>
      <c r="N62" s="27">
        <v>1400000361</v>
      </c>
      <c r="O62" s="26">
        <v>46142</v>
      </c>
      <c r="P62" s="166" t="s">
        <v>65</v>
      </c>
      <c r="Q62" s="167" t="s">
        <v>34</v>
      </c>
      <c r="R62" s="168">
        <v>1016506511</v>
      </c>
      <c r="S62" s="168" t="s">
        <v>68</v>
      </c>
      <c r="T62" s="169">
        <v>38345653000185</v>
      </c>
      <c r="U62" s="177" t="s">
        <v>36</v>
      </c>
      <c r="V62" s="171">
        <v>11311094</v>
      </c>
    </row>
    <row r="63" spans="1:22" s="172" customFormat="1" ht="16.5" hidden="1" customHeight="1">
      <c r="A63" s="159" t="str">
        <f t="shared" si="11"/>
        <v>04/2026</v>
      </c>
      <c r="B63" s="160">
        <v>46118</v>
      </c>
      <c r="C63" s="161" t="s">
        <v>33</v>
      </c>
      <c r="D63" s="162">
        <v>306</v>
      </c>
      <c r="E63" s="162">
        <v>1800000437</v>
      </c>
      <c r="F63" s="163">
        <v>250</v>
      </c>
      <c r="G63" s="164">
        <v>0</v>
      </c>
      <c r="H63" s="164">
        <v>0</v>
      </c>
      <c r="I63" s="164">
        <f t="shared" si="20"/>
        <v>2.5</v>
      </c>
      <c r="J63" s="164">
        <f t="shared" si="21"/>
        <v>7.5</v>
      </c>
      <c r="K63" s="164">
        <f t="shared" si="22"/>
        <v>1.63</v>
      </c>
      <c r="L63" s="165">
        <f t="shared" si="12"/>
        <v>11.629999999999999</v>
      </c>
      <c r="M63" s="165">
        <f t="shared" si="16"/>
        <v>238.37</v>
      </c>
      <c r="N63" s="27">
        <v>1400000392</v>
      </c>
      <c r="O63" s="26">
        <v>46135</v>
      </c>
      <c r="P63" s="166" t="str">
        <f>TEXT(O63,"mm/aaaa")</f>
        <v>04/2026</v>
      </c>
      <c r="Q63" s="167" t="s">
        <v>34</v>
      </c>
      <c r="R63" s="168">
        <v>1018645192</v>
      </c>
      <c r="S63" s="168" t="s">
        <v>57</v>
      </c>
      <c r="T63" s="169">
        <v>32764816000188</v>
      </c>
      <c r="U63" s="171" t="s">
        <v>36</v>
      </c>
      <c r="V63" s="171">
        <v>11311094</v>
      </c>
    </row>
    <row r="64" spans="1:22" s="172" customFormat="1" ht="16.5" hidden="1" customHeight="1">
      <c r="A64" s="159" t="str">
        <f t="shared" si="11"/>
        <v>04/2026</v>
      </c>
      <c r="B64" s="160">
        <v>46118</v>
      </c>
      <c r="C64" s="161" t="s">
        <v>33</v>
      </c>
      <c r="D64" s="162">
        <v>307</v>
      </c>
      <c r="E64" s="162">
        <v>1800000465</v>
      </c>
      <c r="F64" s="163">
        <v>1881.5</v>
      </c>
      <c r="G64" s="164">
        <v>0</v>
      </c>
      <c r="H64" s="164">
        <f>ROUND(F64*1.5%,2)</f>
        <v>28.22</v>
      </c>
      <c r="I64" s="164">
        <f t="shared" si="20"/>
        <v>18.82</v>
      </c>
      <c r="J64" s="164">
        <f t="shared" si="21"/>
        <v>56.45</v>
      </c>
      <c r="K64" s="164">
        <f t="shared" si="22"/>
        <v>12.23</v>
      </c>
      <c r="L64" s="165">
        <f t="shared" si="12"/>
        <v>87.500000000000014</v>
      </c>
      <c r="M64" s="165">
        <f t="shared" si="16"/>
        <v>1765.78</v>
      </c>
      <c r="N64" s="27">
        <v>1400000393</v>
      </c>
      <c r="O64" s="26">
        <v>46135</v>
      </c>
      <c r="P64" s="166" t="str">
        <f>TEXT(O64,"mm/aaaa")</f>
        <v>04/2026</v>
      </c>
      <c r="Q64" s="167" t="s">
        <v>34</v>
      </c>
      <c r="R64" s="168">
        <v>1019125108</v>
      </c>
      <c r="S64" s="168" t="s">
        <v>69</v>
      </c>
      <c r="T64" s="169">
        <v>8799020000186</v>
      </c>
      <c r="U64" s="171" t="s">
        <v>36</v>
      </c>
      <c r="V64" s="171">
        <v>11311094</v>
      </c>
    </row>
    <row r="65" spans="1:22" s="172" customFormat="1" ht="16.5" hidden="1" customHeight="1">
      <c r="A65" s="159" t="str">
        <f t="shared" si="11"/>
        <v>04/2026</v>
      </c>
      <c r="B65" s="160">
        <v>46118</v>
      </c>
      <c r="C65" s="161" t="s">
        <v>33</v>
      </c>
      <c r="D65" s="162">
        <v>308</v>
      </c>
      <c r="E65" s="162">
        <v>1800000154</v>
      </c>
      <c r="F65" s="163">
        <v>5658</v>
      </c>
      <c r="G65" s="164">
        <v>0</v>
      </c>
      <c r="H65" s="164">
        <f>ROUND(F65*1.5%,2)</f>
        <v>84.87</v>
      </c>
      <c r="I65" s="164">
        <f t="shared" si="20"/>
        <v>56.58</v>
      </c>
      <c r="J65" s="164">
        <f t="shared" si="21"/>
        <v>169.74</v>
      </c>
      <c r="K65" s="164">
        <f t="shared" si="22"/>
        <v>36.78</v>
      </c>
      <c r="L65" s="165">
        <f t="shared" si="12"/>
        <v>263.10000000000002</v>
      </c>
      <c r="M65" s="165">
        <f t="shared" si="16"/>
        <v>5310.0300000000007</v>
      </c>
      <c r="N65" s="27">
        <v>1400000765</v>
      </c>
      <c r="O65" s="26">
        <v>46198</v>
      </c>
      <c r="P65" s="105" t="s">
        <v>54</v>
      </c>
      <c r="Q65" s="167" t="s">
        <v>34</v>
      </c>
      <c r="R65" s="168">
        <v>1016704774</v>
      </c>
      <c r="S65" s="168" t="s">
        <v>70</v>
      </c>
      <c r="T65" s="169">
        <v>29543880000124</v>
      </c>
      <c r="U65" s="171" t="s">
        <v>36</v>
      </c>
      <c r="V65" s="171">
        <v>11311094</v>
      </c>
    </row>
    <row r="66" spans="1:22" s="172" customFormat="1" ht="16.5" hidden="1" customHeight="1">
      <c r="A66" s="159" t="str">
        <f t="shared" si="11"/>
        <v>04/2026</v>
      </c>
      <c r="B66" s="160">
        <v>46118</v>
      </c>
      <c r="C66" s="161" t="s">
        <v>33</v>
      </c>
      <c r="D66" s="162">
        <v>309</v>
      </c>
      <c r="E66" s="162">
        <v>1800000137</v>
      </c>
      <c r="F66" s="163">
        <v>975</v>
      </c>
      <c r="G66" s="164">
        <v>0</v>
      </c>
      <c r="H66" s="164">
        <f>ROUND(F66*1.5%,2)</f>
        <v>14.63</v>
      </c>
      <c r="I66" s="164">
        <f t="shared" si="20"/>
        <v>9.75</v>
      </c>
      <c r="J66" s="164">
        <f t="shared" si="21"/>
        <v>29.25</v>
      </c>
      <c r="K66" s="164">
        <f t="shared" si="22"/>
        <v>6.34</v>
      </c>
      <c r="L66" s="165">
        <f t="shared" si="12"/>
        <v>45.34</v>
      </c>
      <c r="M66" s="165">
        <f t="shared" si="16"/>
        <v>915.03</v>
      </c>
      <c r="N66" s="27">
        <v>1400000196</v>
      </c>
      <c r="O66" s="26">
        <v>46198</v>
      </c>
      <c r="P66" s="105" t="s">
        <v>54</v>
      </c>
      <c r="Q66" s="167" t="s">
        <v>34</v>
      </c>
      <c r="R66" s="168">
        <v>1019200174</v>
      </c>
      <c r="S66" s="168" t="s">
        <v>71</v>
      </c>
      <c r="T66" s="169">
        <v>32817557000106</v>
      </c>
      <c r="U66" s="171" t="s">
        <v>36</v>
      </c>
      <c r="V66" s="171">
        <v>11311094</v>
      </c>
    </row>
    <row r="67" spans="1:22" s="172" customFormat="1" ht="16.5" hidden="1" customHeight="1">
      <c r="A67" s="159" t="str">
        <f t="shared" si="11"/>
        <v>04/2026</v>
      </c>
      <c r="B67" s="160">
        <v>46134</v>
      </c>
      <c r="C67" s="161" t="s">
        <v>33</v>
      </c>
      <c r="D67" s="162">
        <v>310</v>
      </c>
      <c r="E67" s="162">
        <v>1800000480</v>
      </c>
      <c r="F67" s="163">
        <v>2559.73</v>
      </c>
      <c r="G67" s="164">
        <v>0</v>
      </c>
      <c r="H67" s="164">
        <f>ROUND(F67*1.5%,2)</f>
        <v>38.4</v>
      </c>
      <c r="I67" s="164">
        <f t="shared" si="20"/>
        <v>25.6</v>
      </c>
      <c r="J67" s="164">
        <f t="shared" si="21"/>
        <v>76.790000000000006</v>
      </c>
      <c r="K67" s="164">
        <f t="shared" si="22"/>
        <v>16.64</v>
      </c>
      <c r="L67" s="165">
        <f t="shared" si="12"/>
        <v>119.03000000000002</v>
      </c>
      <c r="M67" s="165">
        <f t="shared" si="16"/>
        <v>2402.3000000000002</v>
      </c>
      <c r="N67" s="27">
        <v>1400000675</v>
      </c>
      <c r="O67" s="26">
        <v>46197</v>
      </c>
      <c r="P67" s="166" t="s">
        <v>54</v>
      </c>
      <c r="Q67" s="167" t="s">
        <v>44</v>
      </c>
      <c r="R67" s="168">
        <v>1007620183</v>
      </c>
      <c r="S67" s="168" t="s">
        <v>45</v>
      </c>
      <c r="T67" s="174">
        <v>9446817000162</v>
      </c>
      <c r="U67" s="171" t="s">
        <v>36</v>
      </c>
      <c r="V67" s="119">
        <v>11132050</v>
      </c>
    </row>
    <row r="68" spans="1:22" s="172" customFormat="1" ht="16.5" hidden="1" customHeight="1">
      <c r="A68" s="159" t="s">
        <v>43</v>
      </c>
      <c r="B68" s="160">
        <v>46148</v>
      </c>
      <c r="C68" s="161" t="s">
        <v>33</v>
      </c>
      <c r="D68" s="162">
        <v>311</v>
      </c>
      <c r="E68" s="162">
        <v>1800000540</v>
      </c>
      <c r="F68" s="163">
        <v>250</v>
      </c>
      <c r="G68" s="164">
        <v>0</v>
      </c>
      <c r="H68" s="164">
        <v>0</v>
      </c>
      <c r="I68" s="164">
        <f t="shared" si="20"/>
        <v>2.5</v>
      </c>
      <c r="J68" s="164">
        <f t="shared" si="21"/>
        <v>7.5</v>
      </c>
      <c r="K68" s="164">
        <f t="shared" si="22"/>
        <v>1.63</v>
      </c>
      <c r="L68" s="165">
        <f t="shared" si="12"/>
        <v>11.629999999999999</v>
      </c>
      <c r="M68" s="165">
        <f t="shared" si="16"/>
        <v>238.37</v>
      </c>
      <c r="N68" s="27">
        <v>1400000630</v>
      </c>
      <c r="O68" s="26">
        <v>46170</v>
      </c>
      <c r="P68" s="166" t="s">
        <v>43</v>
      </c>
      <c r="Q68" s="167" t="s">
        <v>34</v>
      </c>
      <c r="R68" s="168">
        <v>1013447909</v>
      </c>
      <c r="S68" s="168" t="s">
        <v>72</v>
      </c>
      <c r="T68" s="174">
        <v>5514753000139</v>
      </c>
      <c r="U68" s="170" t="s">
        <v>73</v>
      </c>
      <c r="V68" s="170">
        <v>11311094</v>
      </c>
    </row>
    <row r="69" spans="1:22" s="172" customFormat="1" ht="16.5" hidden="1" customHeight="1">
      <c r="A69" s="159" t="s">
        <v>43</v>
      </c>
      <c r="B69" s="160">
        <v>46148</v>
      </c>
      <c r="C69" s="161" t="s">
        <v>33</v>
      </c>
      <c r="D69" s="162">
        <v>312</v>
      </c>
      <c r="E69" s="162">
        <v>1800000555</v>
      </c>
      <c r="F69" s="163">
        <v>2152.5</v>
      </c>
      <c r="G69" s="164">
        <v>0</v>
      </c>
      <c r="H69" s="164">
        <f t="shared" ref="H69:H77" si="23">ROUND(F69*1.5%,2)</f>
        <v>32.29</v>
      </c>
      <c r="I69" s="164">
        <f t="shared" si="20"/>
        <v>21.53</v>
      </c>
      <c r="J69" s="164">
        <f t="shared" si="21"/>
        <v>64.58</v>
      </c>
      <c r="K69" s="164">
        <f t="shared" si="22"/>
        <v>13.99</v>
      </c>
      <c r="L69" s="165">
        <f t="shared" ref="L69:L100" si="24">SUM(I69:K69)</f>
        <v>100.1</v>
      </c>
      <c r="M69" s="165">
        <f t="shared" si="16"/>
        <v>2020.11</v>
      </c>
      <c r="N69" s="27">
        <v>1400000480</v>
      </c>
      <c r="O69" s="26">
        <v>46163</v>
      </c>
      <c r="P69" s="166" t="s">
        <v>43</v>
      </c>
      <c r="Q69" s="167" t="s">
        <v>34</v>
      </c>
      <c r="R69" s="168">
        <v>1019125108</v>
      </c>
      <c r="S69" s="168" t="s">
        <v>74</v>
      </c>
      <c r="T69" s="174">
        <v>8799020000186</v>
      </c>
      <c r="U69" s="171" t="s">
        <v>73</v>
      </c>
      <c r="V69" s="171">
        <v>11311094</v>
      </c>
    </row>
    <row r="70" spans="1:22" s="172" customFormat="1" ht="16.5" hidden="1" customHeight="1">
      <c r="A70" s="159" t="s">
        <v>43</v>
      </c>
      <c r="B70" s="160">
        <v>46148</v>
      </c>
      <c r="C70" s="161" t="s">
        <v>33</v>
      </c>
      <c r="D70" s="162">
        <v>313</v>
      </c>
      <c r="E70" s="162">
        <v>1800000570</v>
      </c>
      <c r="F70" s="163">
        <v>12803.5</v>
      </c>
      <c r="G70" s="164">
        <v>0</v>
      </c>
      <c r="H70" s="164">
        <f t="shared" si="23"/>
        <v>192.05</v>
      </c>
      <c r="I70" s="164">
        <f t="shared" si="20"/>
        <v>128.04</v>
      </c>
      <c r="J70" s="164">
        <f t="shared" si="21"/>
        <v>384.11</v>
      </c>
      <c r="K70" s="164">
        <f t="shared" si="22"/>
        <v>83.22</v>
      </c>
      <c r="L70" s="165">
        <f t="shared" si="24"/>
        <v>595.37</v>
      </c>
      <c r="M70" s="165">
        <f t="shared" si="16"/>
        <v>12016.08</v>
      </c>
      <c r="N70" s="27">
        <v>1400000481</v>
      </c>
      <c r="O70" s="26">
        <v>46163</v>
      </c>
      <c r="P70" s="166" t="s">
        <v>43</v>
      </c>
      <c r="Q70" s="167" t="s">
        <v>34</v>
      </c>
      <c r="R70" s="168">
        <v>1001187614</v>
      </c>
      <c r="S70" s="168" t="s">
        <v>75</v>
      </c>
      <c r="T70" s="174">
        <v>9395767000131</v>
      </c>
      <c r="U70" s="171" t="s">
        <v>76</v>
      </c>
      <c r="V70" s="171">
        <v>11311094</v>
      </c>
    </row>
    <row r="71" spans="1:22" s="172" customFormat="1" ht="16.5" hidden="1" customHeight="1">
      <c r="A71" s="159" t="s">
        <v>43</v>
      </c>
      <c r="B71" s="160">
        <v>46148</v>
      </c>
      <c r="C71" s="161" t="s">
        <v>33</v>
      </c>
      <c r="D71" s="162">
        <v>314</v>
      </c>
      <c r="E71" s="162">
        <v>1800000585</v>
      </c>
      <c r="F71" s="163">
        <v>2474.5</v>
      </c>
      <c r="G71" s="164">
        <v>0</v>
      </c>
      <c r="H71" s="164">
        <f t="shared" si="23"/>
        <v>37.119999999999997</v>
      </c>
      <c r="I71" s="164">
        <f t="shared" si="20"/>
        <v>24.75</v>
      </c>
      <c r="J71" s="164">
        <f t="shared" si="21"/>
        <v>74.239999999999995</v>
      </c>
      <c r="K71" s="164">
        <f t="shared" si="22"/>
        <v>16.079999999999998</v>
      </c>
      <c r="L71" s="165">
        <f t="shared" si="24"/>
        <v>115.07</v>
      </c>
      <c r="M71" s="165">
        <f t="shared" si="16"/>
        <v>2322.3100000000004</v>
      </c>
      <c r="N71" s="27">
        <v>1400000690</v>
      </c>
      <c r="O71" s="26">
        <v>46198</v>
      </c>
      <c r="P71" s="105" t="s">
        <v>54</v>
      </c>
      <c r="Q71" s="167" t="s">
        <v>34</v>
      </c>
      <c r="R71" s="168">
        <v>1013068932</v>
      </c>
      <c r="S71" s="168" t="s">
        <v>77</v>
      </c>
      <c r="T71" s="174">
        <v>27562235000123</v>
      </c>
      <c r="U71" s="171" t="s">
        <v>36</v>
      </c>
      <c r="V71" s="171">
        <v>11311094</v>
      </c>
    </row>
    <row r="72" spans="1:22" s="172" customFormat="1" ht="16.5" hidden="1" customHeight="1">
      <c r="A72" s="159" t="s">
        <v>43</v>
      </c>
      <c r="B72" s="160">
        <v>46148</v>
      </c>
      <c r="C72" s="161" t="s">
        <v>33</v>
      </c>
      <c r="D72" s="162">
        <v>315</v>
      </c>
      <c r="E72" s="162">
        <v>1800000586</v>
      </c>
      <c r="F72" s="163">
        <v>7147.5</v>
      </c>
      <c r="G72" s="164">
        <v>0</v>
      </c>
      <c r="H72" s="164">
        <f t="shared" si="23"/>
        <v>107.21</v>
      </c>
      <c r="I72" s="164">
        <f t="shared" si="20"/>
        <v>71.48</v>
      </c>
      <c r="J72" s="164">
        <f t="shared" si="21"/>
        <v>214.43</v>
      </c>
      <c r="K72" s="164">
        <f t="shared" si="22"/>
        <v>46.46</v>
      </c>
      <c r="L72" s="165">
        <f t="shared" si="24"/>
        <v>332.37</v>
      </c>
      <c r="M72" s="165">
        <f t="shared" si="16"/>
        <v>6707.92</v>
      </c>
      <c r="N72" s="27">
        <v>1400000495</v>
      </c>
      <c r="O72" s="26">
        <v>46163</v>
      </c>
      <c r="P72" s="166" t="s">
        <v>43</v>
      </c>
      <c r="Q72" s="167" t="s">
        <v>34</v>
      </c>
      <c r="R72" s="168">
        <v>1008259405</v>
      </c>
      <c r="S72" s="168" t="s">
        <v>78</v>
      </c>
      <c r="T72" s="174">
        <v>28759933000186</v>
      </c>
      <c r="U72" s="171" t="s">
        <v>73</v>
      </c>
      <c r="V72" s="171">
        <v>11311094</v>
      </c>
    </row>
    <row r="73" spans="1:22" s="172" customFormat="1" ht="16.5" hidden="1" customHeight="1">
      <c r="A73" s="159" t="s">
        <v>43</v>
      </c>
      <c r="B73" s="160">
        <v>46148</v>
      </c>
      <c r="C73" s="161" t="s">
        <v>33</v>
      </c>
      <c r="D73" s="162">
        <v>316</v>
      </c>
      <c r="E73" s="162">
        <v>1800000541</v>
      </c>
      <c r="F73" s="163">
        <v>1087</v>
      </c>
      <c r="G73" s="164">
        <v>0</v>
      </c>
      <c r="H73" s="164">
        <f t="shared" si="23"/>
        <v>16.309999999999999</v>
      </c>
      <c r="I73" s="164">
        <f t="shared" si="20"/>
        <v>10.87</v>
      </c>
      <c r="J73" s="164">
        <f t="shared" si="21"/>
        <v>32.61</v>
      </c>
      <c r="K73" s="164">
        <f t="shared" si="22"/>
        <v>7.07</v>
      </c>
      <c r="L73" s="165">
        <f t="shared" si="24"/>
        <v>50.55</v>
      </c>
      <c r="M73" s="165">
        <f t="shared" si="16"/>
        <v>1020.1400000000002</v>
      </c>
      <c r="N73" s="27">
        <v>1400000482</v>
      </c>
      <c r="O73" s="26">
        <v>46163</v>
      </c>
      <c r="P73" s="166" t="s">
        <v>43</v>
      </c>
      <c r="Q73" s="167" t="s">
        <v>34</v>
      </c>
      <c r="R73" s="168">
        <v>1018585294</v>
      </c>
      <c r="S73" s="168" t="s">
        <v>79</v>
      </c>
      <c r="T73" s="174">
        <v>29260142000170</v>
      </c>
      <c r="U73" s="171" t="s">
        <v>73</v>
      </c>
      <c r="V73" s="171">
        <v>11311094</v>
      </c>
    </row>
    <row r="74" spans="1:22" s="172" customFormat="1" ht="16.5" hidden="1" customHeight="1">
      <c r="A74" s="159" t="s">
        <v>43</v>
      </c>
      <c r="B74" s="160">
        <v>46148</v>
      </c>
      <c r="C74" s="161" t="s">
        <v>33</v>
      </c>
      <c r="D74" s="162">
        <v>317</v>
      </c>
      <c r="E74" s="162">
        <v>1800000196</v>
      </c>
      <c r="F74" s="163">
        <v>8339.5</v>
      </c>
      <c r="G74" s="164">
        <v>0</v>
      </c>
      <c r="H74" s="164">
        <f t="shared" si="23"/>
        <v>125.09</v>
      </c>
      <c r="I74" s="164">
        <f t="shared" si="20"/>
        <v>83.4</v>
      </c>
      <c r="J74" s="164">
        <f t="shared" si="21"/>
        <v>250.19</v>
      </c>
      <c r="K74" s="164">
        <f t="shared" si="22"/>
        <v>54.21</v>
      </c>
      <c r="L74" s="165">
        <f t="shared" si="24"/>
        <v>387.8</v>
      </c>
      <c r="M74" s="165">
        <f t="shared" si="16"/>
        <v>7826.6100000000006</v>
      </c>
      <c r="N74" s="27">
        <v>1400000483</v>
      </c>
      <c r="O74" s="26">
        <v>46163</v>
      </c>
      <c r="P74" s="166" t="s">
        <v>43</v>
      </c>
      <c r="Q74" s="167" t="s">
        <v>34</v>
      </c>
      <c r="R74" s="168">
        <v>1016704774</v>
      </c>
      <c r="S74" s="168" t="s">
        <v>80</v>
      </c>
      <c r="T74" s="174">
        <v>29543880000124</v>
      </c>
      <c r="U74" s="171" t="s">
        <v>73</v>
      </c>
      <c r="V74" s="171">
        <v>11311094</v>
      </c>
    </row>
    <row r="75" spans="1:22" s="172" customFormat="1" ht="16.5" hidden="1" customHeight="1">
      <c r="A75" s="159" t="s">
        <v>43</v>
      </c>
      <c r="B75" s="160">
        <v>46148</v>
      </c>
      <c r="C75" s="161" t="s">
        <v>33</v>
      </c>
      <c r="D75" s="162">
        <v>318</v>
      </c>
      <c r="E75" s="162">
        <v>1800000587</v>
      </c>
      <c r="F75" s="163">
        <v>3814</v>
      </c>
      <c r="G75" s="164">
        <v>0</v>
      </c>
      <c r="H75" s="164">
        <f t="shared" si="23"/>
        <v>57.21</v>
      </c>
      <c r="I75" s="164">
        <f t="shared" si="20"/>
        <v>38.14</v>
      </c>
      <c r="J75" s="164">
        <f t="shared" si="21"/>
        <v>114.42</v>
      </c>
      <c r="K75" s="164">
        <f t="shared" si="22"/>
        <v>24.79</v>
      </c>
      <c r="L75" s="165">
        <f t="shared" si="24"/>
        <v>177.35</v>
      </c>
      <c r="M75" s="165">
        <f t="shared" si="16"/>
        <v>3579.44</v>
      </c>
      <c r="N75" s="27">
        <v>1400000510</v>
      </c>
      <c r="O75" s="26">
        <v>46163</v>
      </c>
      <c r="P75" s="166" t="s">
        <v>43</v>
      </c>
      <c r="Q75" s="167" t="s">
        <v>34</v>
      </c>
      <c r="R75" s="168">
        <v>1018930138</v>
      </c>
      <c r="S75" s="168" t="s">
        <v>81</v>
      </c>
      <c r="T75" s="174">
        <v>30034695000193</v>
      </c>
      <c r="U75" s="171" t="s">
        <v>73</v>
      </c>
      <c r="V75" s="171">
        <v>11311094</v>
      </c>
    </row>
    <row r="76" spans="1:22" s="172" customFormat="1" ht="16.5" hidden="1" customHeight="1">
      <c r="A76" s="159" t="s">
        <v>43</v>
      </c>
      <c r="B76" s="160">
        <v>46148</v>
      </c>
      <c r="C76" s="161" t="s">
        <v>33</v>
      </c>
      <c r="D76" s="162">
        <v>319</v>
      </c>
      <c r="E76" s="162">
        <v>1800000197</v>
      </c>
      <c r="F76" s="163">
        <v>3385.5</v>
      </c>
      <c r="G76" s="164">
        <v>0</v>
      </c>
      <c r="H76" s="164">
        <f t="shared" si="23"/>
        <v>50.78</v>
      </c>
      <c r="I76" s="164">
        <f t="shared" si="20"/>
        <v>33.86</v>
      </c>
      <c r="J76" s="164">
        <f t="shared" si="21"/>
        <v>101.57</v>
      </c>
      <c r="K76" s="164">
        <f t="shared" si="22"/>
        <v>22.01</v>
      </c>
      <c r="L76" s="165">
        <f t="shared" si="24"/>
        <v>157.44</v>
      </c>
      <c r="M76" s="165">
        <f t="shared" si="16"/>
        <v>3177.2799999999993</v>
      </c>
      <c r="N76" s="27">
        <v>1400000555</v>
      </c>
      <c r="O76" s="26">
        <v>46169</v>
      </c>
      <c r="P76" s="166" t="s">
        <v>43</v>
      </c>
      <c r="Q76" s="167" t="s">
        <v>34</v>
      </c>
      <c r="R76" s="168">
        <v>1018120652</v>
      </c>
      <c r="S76" s="168" t="s">
        <v>82</v>
      </c>
      <c r="T76" s="174">
        <v>30341404000100</v>
      </c>
      <c r="U76" s="171" t="s">
        <v>73</v>
      </c>
      <c r="V76" s="171">
        <v>11311094</v>
      </c>
    </row>
    <row r="77" spans="1:22" s="172" customFormat="1" ht="16.5" hidden="1" customHeight="1">
      <c r="A77" s="159" t="s">
        <v>43</v>
      </c>
      <c r="B77" s="160">
        <v>46148</v>
      </c>
      <c r="C77" s="161" t="s">
        <v>33</v>
      </c>
      <c r="D77" s="162">
        <v>320</v>
      </c>
      <c r="E77" s="162">
        <v>1800000556</v>
      </c>
      <c r="F77" s="163">
        <v>3595</v>
      </c>
      <c r="G77" s="164">
        <v>0</v>
      </c>
      <c r="H77" s="164">
        <f t="shared" si="23"/>
        <v>53.93</v>
      </c>
      <c r="I77" s="164">
        <f t="shared" si="20"/>
        <v>35.950000000000003</v>
      </c>
      <c r="J77" s="164">
        <f t="shared" si="21"/>
        <v>107.85</v>
      </c>
      <c r="K77" s="164">
        <f t="shared" si="22"/>
        <v>23.37</v>
      </c>
      <c r="L77" s="165">
        <f t="shared" si="24"/>
        <v>167.17000000000002</v>
      </c>
      <c r="M77" s="165">
        <f t="shared" si="16"/>
        <v>3373.9000000000005</v>
      </c>
      <c r="N77" s="27">
        <v>1400000511</v>
      </c>
      <c r="O77" s="26">
        <v>46163</v>
      </c>
      <c r="P77" s="166" t="s">
        <v>43</v>
      </c>
      <c r="Q77" s="167" t="s">
        <v>34</v>
      </c>
      <c r="R77" s="168">
        <v>1019215124</v>
      </c>
      <c r="S77" s="168" t="s">
        <v>83</v>
      </c>
      <c r="T77" s="174">
        <v>31554105000116</v>
      </c>
      <c r="U77" s="171" t="s">
        <v>73</v>
      </c>
      <c r="V77" s="171">
        <v>11311094</v>
      </c>
    </row>
    <row r="78" spans="1:22" s="172" customFormat="1" ht="16.5" hidden="1" customHeight="1">
      <c r="A78" s="159" t="s">
        <v>43</v>
      </c>
      <c r="B78" s="160">
        <v>46148</v>
      </c>
      <c r="C78" s="161" t="s">
        <v>33</v>
      </c>
      <c r="D78" s="162">
        <v>321</v>
      </c>
      <c r="E78" s="162">
        <v>1800000600</v>
      </c>
      <c r="F78" s="163">
        <v>250</v>
      </c>
      <c r="G78" s="164">
        <v>0</v>
      </c>
      <c r="H78" s="164">
        <v>0</v>
      </c>
      <c r="I78" s="164">
        <f t="shared" si="20"/>
        <v>2.5</v>
      </c>
      <c r="J78" s="164">
        <f t="shared" si="21"/>
        <v>7.5</v>
      </c>
      <c r="K78" s="164">
        <f t="shared" si="22"/>
        <v>1.63</v>
      </c>
      <c r="L78" s="165">
        <f t="shared" si="24"/>
        <v>11.629999999999999</v>
      </c>
      <c r="M78" s="165">
        <f t="shared" si="16"/>
        <v>238.37</v>
      </c>
      <c r="N78" s="27">
        <v>1400000525</v>
      </c>
      <c r="O78" s="26">
        <v>46163</v>
      </c>
      <c r="P78" s="166" t="s">
        <v>43</v>
      </c>
      <c r="Q78" s="167" t="s">
        <v>34</v>
      </c>
      <c r="R78" s="168">
        <v>1018645192</v>
      </c>
      <c r="S78" s="168" t="s">
        <v>84</v>
      </c>
      <c r="T78" s="174">
        <v>32764816000188</v>
      </c>
      <c r="U78" s="171" t="s">
        <v>73</v>
      </c>
      <c r="V78" s="171">
        <v>11311094</v>
      </c>
    </row>
    <row r="79" spans="1:22" s="172" customFormat="1" ht="16.5" hidden="1" customHeight="1">
      <c r="A79" s="159" t="s">
        <v>43</v>
      </c>
      <c r="B79" s="160">
        <v>46148</v>
      </c>
      <c r="C79" s="161" t="s">
        <v>33</v>
      </c>
      <c r="D79" s="162">
        <v>322</v>
      </c>
      <c r="E79" s="162">
        <v>1800000615</v>
      </c>
      <c r="F79" s="163">
        <v>250</v>
      </c>
      <c r="G79" s="164">
        <v>0</v>
      </c>
      <c r="H79" s="164">
        <v>0</v>
      </c>
      <c r="I79" s="164">
        <f t="shared" si="20"/>
        <v>2.5</v>
      </c>
      <c r="J79" s="164">
        <f t="shared" si="21"/>
        <v>7.5</v>
      </c>
      <c r="K79" s="164">
        <f t="shared" si="22"/>
        <v>1.63</v>
      </c>
      <c r="L79" s="165">
        <f t="shared" si="24"/>
        <v>11.629999999999999</v>
      </c>
      <c r="M79" s="165">
        <f t="shared" si="16"/>
        <v>238.37</v>
      </c>
      <c r="N79" s="27">
        <v>1400000645</v>
      </c>
      <c r="O79" s="26">
        <v>46174</v>
      </c>
      <c r="P79" s="193" t="s">
        <v>54</v>
      </c>
      <c r="Q79" s="167" t="s">
        <v>34</v>
      </c>
      <c r="R79" s="168">
        <v>1016771816</v>
      </c>
      <c r="S79" s="168" t="s">
        <v>85</v>
      </c>
      <c r="T79" s="174">
        <v>41607658000143</v>
      </c>
      <c r="U79" s="171" t="s">
        <v>36</v>
      </c>
      <c r="V79" s="171">
        <v>11311094</v>
      </c>
    </row>
    <row r="80" spans="1:22" s="172" customFormat="1" ht="16.5" hidden="1" customHeight="1">
      <c r="A80" s="159" t="s">
        <v>43</v>
      </c>
      <c r="B80" s="160">
        <v>46148</v>
      </c>
      <c r="C80" s="161" t="s">
        <v>33</v>
      </c>
      <c r="D80" s="162">
        <v>323</v>
      </c>
      <c r="E80" s="162">
        <v>1800000601</v>
      </c>
      <c r="F80" s="163">
        <v>69</v>
      </c>
      <c r="G80" s="164">
        <v>0</v>
      </c>
      <c r="H80" s="164">
        <v>0</v>
      </c>
      <c r="I80" s="164">
        <v>0</v>
      </c>
      <c r="J80" s="164">
        <v>0</v>
      </c>
      <c r="K80" s="164">
        <v>0</v>
      </c>
      <c r="L80" s="165">
        <f t="shared" si="24"/>
        <v>0</v>
      </c>
      <c r="M80" s="165">
        <f t="shared" si="16"/>
        <v>69</v>
      </c>
      <c r="N80" s="27">
        <v>1400000691</v>
      </c>
      <c r="O80" s="26">
        <v>46198</v>
      </c>
      <c r="P80" s="105" t="s">
        <v>54</v>
      </c>
      <c r="Q80" s="167" t="s">
        <v>34</v>
      </c>
      <c r="R80" s="168">
        <v>1019230094</v>
      </c>
      <c r="S80" s="168" t="s">
        <v>86</v>
      </c>
      <c r="T80" s="174">
        <v>46923661000190</v>
      </c>
      <c r="U80" s="171" t="s">
        <v>56</v>
      </c>
      <c r="V80" s="171">
        <v>11311094</v>
      </c>
    </row>
    <row r="81" spans="1:22" s="172" customFormat="1" ht="16.5" hidden="1" customHeight="1">
      <c r="A81" s="159" t="s">
        <v>43</v>
      </c>
      <c r="B81" s="160">
        <v>46148</v>
      </c>
      <c r="C81" s="161" t="s">
        <v>33</v>
      </c>
      <c r="D81" s="162">
        <v>324</v>
      </c>
      <c r="E81" s="162">
        <v>1800000616</v>
      </c>
      <c r="F81" s="163">
        <v>250</v>
      </c>
      <c r="G81" s="164">
        <v>0</v>
      </c>
      <c r="H81" s="164">
        <v>0</v>
      </c>
      <c r="I81" s="164">
        <f>ROUND(F81*1%,2)</f>
        <v>2.5</v>
      </c>
      <c r="J81" s="164">
        <f>ROUND(F81*3%,2)</f>
        <v>7.5</v>
      </c>
      <c r="K81" s="164">
        <f>ROUND(F81*0.65%,2)</f>
        <v>1.63</v>
      </c>
      <c r="L81" s="165">
        <f t="shared" si="24"/>
        <v>11.629999999999999</v>
      </c>
      <c r="M81" s="165">
        <f t="shared" si="16"/>
        <v>238.37</v>
      </c>
      <c r="N81" s="27">
        <v>1400000540</v>
      </c>
      <c r="O81" s="26">
        <v>46163</v>
      </c>
      <c r="P81" s="166" t="s">
        <v>43</v>
      </c>
      <c r="Q81" s="167" t="s">
        <v>34</v>
      </c>
      <c r="R81" s="168">
        <v>1002640697</v>
      </c>
      <c r="S81" s="168" t="s">
        <v>87</v>
      </c>
      <c r="T81" s="174">
        <v>5370882000109</v>
      </c>
      <c r="U81" s="171" t="s">
        <v>76</v>
      </c>
      <c r="V81" s="171">
        <v>11311094</v>
      </c>
    </row>
    <row r="82" spans="1:22" s="172" customFormat="1" ht="16.5" hidden="1" customHeight="1">
      <c r="A82" s="159" t="s">
        <v>43</v>
      </c>
      <c r="B82" s="160">
        <v>46148</v>
      </c>
      <c r="C82" s="161" t="s">
        <v>33</v>
      </c>
      <c r="D82" s="162">
        <v>325</v>
      </c>
      <c r="E82" s="162">
        <v>1800000617</v>
      </c>
      <c r="F82" s="163">
        <v>2117.5</v>
      </c>
      <c r="G82" s="164">
        <v>0</v>
      </c>
      <c r="H82" s="164">
        <f>ROUND(F82*1.5%,2)</f>
        <v>31.76</v>
      </c>
      <c r="I82" s="164">
        <f>ROUND(F82*1%,2)</f>
        <v>21.18</v>
      </c>
      <c r="J82" s="164">
        <f>ROUND(F82*3%,2)</f>
        <v>63.53</v>
      </c>
      <c r="K82" s="164">
        <f>ROUND(F82*0.65%,2)</f>
        <v>13.76</v>
      </c>
      <c r="L82" s="165">
        <f t="shared" si="24"/>
        <v>98.470000000000013</v>
      </c>
      <c r="M82" s="165">
        <f t="shared" si="16"/>
        <v>1987.27</v>
      </c>
      <c r="N82" s="27">
        <v>1400000182</v>
      </c>
      <c r="O82" s="26" t="s">
        <v>88</v>
      </c>
      <c r="P82" s="166" t="s">
        <v>43</v>
      </c>
      <c r="Q82" s="167" t="s">
        <v>34</v>
      </c>
      <c r="R82" s="168">
        <v>1005047386</v>
      </c>
      <c r="S82" s="168" t="s">
        <v>89</v>
      </c>
      <c r="T82" s="174">
        <v>47425731000142</v>
      </c>
      <c r="U82" s="171" t="s">
        <v>73</v>
      </c>
      <c r="V82" s="171">
        <v>11311094</v>
      </c>
    </row>
    <row r="83" spans="1:22" s="172" customFormat="1" ht="16.5" hidden="1" customHeight="1">
      <c r="A83" s="159" t="s">
        <v>43</v>
      </c>
      <c r="B83" s="160">
        <v>46148</v>
      </c>
      <c r="C83" s="161" t="s">
        <v>33</v>
      </c>
      <c r="D83" s="162">
        <v>326</v>
      </c>
      <c r="E83" s="162">
        <v>1800000198</v>
      </c>
      <c r="F83" s="163">
        <v>3266.5</v>
      </c>
      <c r="G83" s="164">
        <v>0</v>
      </c>
      <c r="H83" s="164">
        <f>ROUND(F83*1.5%,2)</f>
        <v>49</v>
      </c>
      <c r="I83" s="164">
        <f>ROUND(F83*1%,2)</f>
        <v>32.67</v>
      </c>
      <c r="J83" s="164">
        <f>ROUND(F83*3%,2)</f>
        <v>98</v>
      </c>
      <c r="K83" s="164">
        <f>ROUND(F83*0.65%,2)</f>
        <v>21.23</v>
      </c>
      <c r="L83" s="165">
        <f t="shared" si="24"/>
        <v>151.9</v>
      </c>
      <c r="M83" s="165">
        <f t="shared" ref="M83:M97" si="25">F83-H83-I83-J83-K83</f>
        <v>3065.6</v>
      </c>
      <c r="N83" s="27">
        <v>1400000570</v>
      </c>
      <c r="O83" s="26">
        <v>46169</v>
      </c>
      <c r="P83" s="166" t="s">
        <v>43</v>
      </c>
      <c r="Q83" s="167" t="s">
        <v>34</v>
      </c>
      <c r="R83" s="168">
        <v>1018075263</v>
      </c>
      <c r="S83" s="168" t="s">
        <v>90</v>
      </c>
      <c r="T83" s="174">
        <v>58578490000198</v>
      </c>
      <c r="U83" s="171" t="s">
        <v>76</v>
      </c>
      <c r="V83" s="171">
        <v>11311094</v>
      </c>
    </row>
    <row r="84" spans="1:22" s="172" customFormat="1" ht="16.5" hidden="1" customHeight="1">
      <c r="A84" s="159" t="s">
        <v>43</v>
      </c>
      <c r="B84" s="160">
        <v>46148</v>
      </c>
      <c r="C84" s="161" t="s">
        <v>33</v>
      </c>
      <c r="D84" s="162">
        <v>327</v>
      </c>
      <c r="E84" s="162">
        <v>1800000199</v>
      </c>
      <c r="F84" s="163">
        <v>250</v>
      </c>
      <c r="G84" s="164">
        <v>0</v>
      </c>
      <c r="H84" s="164">
        <v>0</v>
      </c>
      <c r="I84" s="164">
        <v>0</v>
      </c>
      <c r="J84" s="164">
        <v>0</v>
      </c>
      <c r="K84" s="164">
        <v>0</v>
      </c>
      <c r="L84" s="165">
        <f t="shared" si="24"/>
        <v>0</v>
      </c>
      <c r="M84" s="165">
        <f t="shared" si="25"/>
        <v>250</v>
      </c>
      <c r="N84" s="27">
        <v>1400000585</v>
      </c>
      <c r="O84" s="26">
        <v>46169</v>
      </c>
      <c r="P84" s="166" t="s">
        <v>43</v>
      </c>
      <c r="Q84" s="167" t="s">
        <v>34</v>
      </c>
      <c r="R84" s="168">
        <v>1018345066</v>
      </c>
      <c r="S84" s="168" t="s">
        <v>91</v>
      </c>
      <c r="T84" s="174">
        <v>57904437000177</v>
      </c>
      <c r="U84" s="171" t="s">
        <v>92</v>
      </c>
      <c r="V84" s="171">
        <v>11311094</v>
      </c>
    </row>
    <row r="85" spans="1:22" s="172" customFormat="1" ht="16.5" hidden="1" customHeight="1">
      <c r="A85" s="159" t="s">
        <v>43</v>
      </c>
      <c r="B85" s="160">
        <v>46148</v>
      </c>
      <c r="C85" s="161" t="s">
        <v>33</v>
      </c>
      <c r="D85" s="162">
        <v>328</v>
      </c>
      <c r="E85" s="162">
        <v>1800000571</v>
      </c>
      <c r="F85" s="163">
        <v>2689.5</v>
      </c>
      <c r="G85" s="164">
        <v>0</v>
      </c>
      <c r="H85" s="164">
        <f>ROUND(F85*1.5%,2)</f>
        <v>40.340000000000003</v>
      </c>
      <c r="I85" s="164">
        <f>ROUND(F85*1%,2)</f>
        <v>26.9</v>
      </c>
      <c r="J85" s="164">
        <f>ROUND(F85*3%,2)</f>
        <v>80.69</v>
      </c>
      <c r="K85" s="164">
        <f>ROUND(F85*0.65%,2)</f>
        <v>17.48</v>
      </c>
      <c r="L85" s="165">
        <f t="shared" si="24"/>
        <v>125.07000000000001</v>
      </c>
      <c r="M85" s="165">
        <f t="shared" si="25"/>
        <v>2524.0899999999997</v>
      </c>
      <c r="N85" s="27">
        <v>1400000183</v>
      </c>
      <c r="O85" s="26">
        <v>46163</v>
      </c>
      <c r="P85" s="166" t="s">
        <v>43</v>
      </c>
      <c r="Q85" s="167" t="s">
        <v>34</v>
      </c>
      <c r="R85" s="168">
        <v>1017716043</v>
      </c>
      <c r="S85" s="168" t="s">
        <v>93</v>
      </c>
      <c r="T85" s="174">
        <v>57951895000167</v>
      </c>
      <c r="U85" s="171" t="s">
        <v>73</v>
      </c>
      <c r="V85" s="171">
        <v>11311094</v>
      </c>
    </row>
    <row r="86" spans="1:22" s="172" customFormat="1" ht="16.5" hidden="1" customHeight="1">
      <c r="A86" s="159" t="s">
        <v>43</v>
      </c>
      <c r="B86" s="160">
        <v>46148</v>
      </c>
      <c r="C86" s="161" t="s">
        <v>33</v>
      </c>
      <c r="D86" s="162">
        <v>329</v>
      </c>
      <c r="E86" s="162">
        <v>1800000542</v>
      </c>
      <c r="F86" s="163">
        <v>2469.5</v>
      </c>
      <c r="G86" s="164">
        <v>0</v>
      </c>
      <c r="H86" s="164">
        <f>ROUND(F86*1.5%,2)</f>
        <v>37.04</v>
      </c>
      <c r="I86" s="164">
        <f>ROUND(F86*1%,2)</f>
        <v>24.7</v>
      </c>
      <c r="J86" s="164">
        <f>ROUND(F86*3%,2)</f>
        <v>74.09</v>
      </c>
      <c r="K86" s="164">
        <f>ROUND(F86*0.65%,2)</f>
        <v>16.05</v>
      </c>
      <c r="L86" s="165">
        <f t="shared" si="24"/>
        <v>114.84</v>
      </c>
      <c r="M86" s="165">
        <f t="shared" si="25"/>
        <v>2317.62</v>
      </c>
      <c r="N86" s="128"/>
      <c r="O86" s="29" t="s">
        <v>48</v>
      </c>
      <c r="P86" s="166"/>
      <c r="Q86" s="167" t="s">
        <v>34</v>
      </c>
      <c r="R86" s="168">
        <v>1014825740</v>
      </c>
      <c r="S86" s="168" t="s">
        <v>94</v>
      </c>
      <c r="T86" s="174">
        <v>44120318000181</v>
      </c>
      <c r="U86" s="171" t="s">
        <v>76</v>
      </c>
      <c r="V86" s="171">
        <v>11311094</v>
      </c>
    </row>
    <row r="87" spans="1:22" s="172" customFormat="1" ht="16.5" hidden="1" customHeight="1">
      <c r="A87" s="159" t="s">
        <v>43</v>
      </c>
      <c r="B87" s="160">
        <v>46148</v>
      </c>
      <c r="C87" s="161" t="s">
        <v>33</v>
      </c>
      <c r="D87" s="162">
        <v>330</v>
      </c>
      <c r="E87" s="162">
        <v>1800000618</v>
      </c>
      <c r="F87" s="163">
        <v>1032.5</v>
      </c>
      <c r="G87" s="164">
        <v>0</v>
      </c>
      <c r="H87" s="164">
        <f>ROUND(F87*1.5%,2)</f>
        <v>15.49</v>
      </c>
      <c r="I87" s="164">
        <f>ROUND(F87*1%,2)</f>
        <v>10.33</v>
      </c>
      <c r="J87" s="164">
        <f>ROUND(F87*3%,2)</f>
        <v>30.98</v>
      </c>
      <c r="K87" s="164">
        <f>ROUND(F87*0.65%,2)</f>
        <v>6.71</v>
      </c>
      <c r="L87" s="165">
        <f t="shared" si="24"/>
        <v>48.02</v>
      </c>
      <c r="M87" s="165">
        <f t="shared" si="25"/>
        <v>968.9899999999999</v>
      </c>
      <c r="N87" s="27">
        <v>1400000184</v>
      </c>
      <c r="O87" s="26">
        <v>46163</v>
      </c>
      <c r="P87" s="166" t="s">
        <v>43</v>
      </c>
      <c r="Q87" s="167" t="s">
        <v>34</v>
      </c>
      <c r="R87" s="168">
        <v>1015739477</v>
      </c>
      <c r="S87" s="168" t="s">
        <v>95</v>
      </c>
      <c r="T87" s="174">
        <v>39857410000199</v>
      </c>
      <c r="U87" s="171" t="s">
        <v>73</v>
      </c>
      <c r="V87" s="171">
        <v>11311094</v>
      </c>
    </row>
    <row r="88" spans="1:22" s="172" customFormat="1" ht="16.5" hidden="1" customHeight="1">
      <c r="A88" s="159" t="s">
        <v>43</v>
      </c>
      <c r="B88" s="160">
        <v>46148</v>
      </c>
      <c r="C88" s="161" t="s">
        <v>33</v>
      </c>
      <c r="D88" s="162">
        <v>331</v>
      </c>
      <c r="E88" s="162">
        <v>1800000543</v>
      </c>
      <c r="F88" s="163">
        <v>250</v>
      </c>
      <c r="G88" s="164">
        <v>0</v>
      </c>
      <c r="H88" s="164">
        <v>0</v>
      </c>
      <c r="I88" s="164">
        <f>ROUND(F88*1%,2)</f>
        <v>2.5</v>
      </c>
      <c r="J88" s="164">
        <f>ROUND(F88*3%,2)</f>
        <v>7.5</v>
      </c>
      <c r="K88" s="164">
        <f>ROUND(F88*0.65%,2)</f>
        <v>1.63</v>
      </c>
      <c r="L88" s="165">
        <f t="shared" si="24"/>
        <v>11.629999999999999</v>
      </c>
      <c r="M88" s="165">
        <f t="shared" si="25"/>
        <v>238.37</v>
      </c>
      <c r="N88" s="128"/>
      <c r="O88" s="29" t="s">
        <v>48</v>
      </c>
      <c r="P88" s="166"/>
      <c r="Q88" s="167" t="s">
        <v>34</v>
      </c>
      <c r="R88" s="168">
        <v>1008761672</v>
      </c>
      <c r="S88" s="168" t="s">
        <v>96</v>
      </c>
      <c r="T88" s="174">
        <v>18408486000167</v>
      </c>
      <c r="U88" s="171" t="s">
        <v>73</v>
      </c>
      <c r="V88" s="171">
        <v>11311094</v>
      </c>
    </row>
    <row r="89" spans="1:22" s="172" customFormat="1" ht="16.5" hidden="1" customHeight="1">
      <c r="A89" s="159" t="s">
        <v>43</v>
      </c>
      <c r="B89" s="160">
        <v>46148</v>
      </c>
      <c r="C89" s="161" t="s">
        <v>33</v>
      </c>
      <c r="D89" s="162">
        <v>332</v>
      </c>
      <c r="E89" s="162">
        <v>1800000620</v>
      </c>
      <c r="F89" s="163">
        <v>1025.5</v>
      </c>
      <c r="G89" s="164">
        <v>0</v>
      </c>
      <c r="H89" s="164">
        <f>ROUND(F89*1.5%,2)</f>
        <v>15.38</v>
      </c>
      <c r="I89" s="164">
        <f>ROUND(F89*1%,2)</f>
        <v>10.26</v>
      </c>
      <c r="J89" s="164">
        <f>ROUND(F89*3%,2)</f>
        <v>30.77</v>
      </c>
      <c r="K89" s="164">
        <f>ROUND(F89*0.65%,2)</f>
        <v>6.67</v>
      </c>
      <c r="L89" s="165">
        <f t="shared" si="24"/>
        <v>47.7</v>
      </c>
      <c r="M89" s="165">
        <f t="shared" si="25"/>
        <v>962.42000000000007</v>
      </c>
      <c r="N89" s="27">
        <v>1400000185</v>
      </c>
      <c r="O89" s="26">
        <v>46163</v>
      </c>
      <c r="P89" s="166" t="s">
        <v>43</v>
      </c>
      <c r="Q89" s="167" t="s">
        <v>34</v>
      </c>
      <c r="R89" s="168">
        <v>1007834227</v>
      </c>
      <c r="S89" s="168" t="s">
        <v>97</v>
      </c>
      <c r="T89" s="174">
        <v>14457026000178</v>
      </c>
      <c r="U89" s="171" t="s">
        <v>73</v>
      </c>
      <c r="V89" s="171">
        <v>11311094</v>
      </c>
    </row>
    <row r="90" spans="1:22" s="172" customFormat="1" ht="16.5" hidden="1" customHeight="1">
      <c r="A90" s="159" t="s">
        <v>43</v>
      </c>
      <c r="B90" s="160">
        <v>46148</v>
      </c>
      <c r="C90" s="161" t="s">
        <v>33</v>
      </c>
      <c r="D90" s="162">
        <v>333</v>
      </c>
      <c r="E90" s="162">
        <v>1800000621</v>
      </c>
      <c r="F90" s="163">
        <v>421</v>
      </c>
      <c r="G90" s="164">
        <v>0</v>
      </c>
      <c r="H90" s="164">
        <v>0</v>
      </c>
      <c r="I90" s="164">
        <v>0</v>
      </c>
      <c r="J90" s="164">
        <v>0</v>
      </c>
      <c r="K90" s="164">
        <v>0</v>
      </c>
      <c r="L90" s="165">
        <f t="shared" si="24"/>
        <v>0</v>
      </c>
      <c r="M90" s="165">
        <f t="shared" si="25"/>
        <v>421</v>
      </c>
      <c r="N90" s="27">
        <v>1400000496</v>
      </c>
      <c r="O90" s="26">
        <v>46163</v>
      </c>
      <c r="P90" s="166" t="s">
        <v>43</v>
      </c>
      <c r="Q90" s="167" t="s">
        <v>34</v>
      </c>
      <c r="R90" s="168">
        <v>1017130541</v>
      </c>
      <c r="S90" s="168" t="s">
        <v>98</v>
      </c>
      <c r="T90" s="174">
        <v>53045500000106</v>
      </c>
      <c r="U90" s="171" t="s">
        <v>92</v>
      </c>
      <c r="V90" s="171">
        <v>11311094</v>
      </c>
    </row>
    <row r="91" spans="1:22" s="172" customFormat="1" ht="16.5" hidden="1" customHeight="1">
      <c r="A91" s="159" t="s">
        <v>43</v>
      </c>
      <c r="B91" s="160">
        <v>46148</v>
      </c>
      <c r="C91" s="161" t="s">
        <v>33</v>
      </c>
      <c r="D91" s="162">
        <v>334</v>
      </c>
      <c r="E91" s="162">
        <v>1800000544</v>
      </c>
      <c r="F91" s="163">
        <v>699.5</v>
      </c>
      <c r="G91" s="164">
        <v>0</v>
      </c>
      <c r="H91" s="164">
        <f>ROUND(F91*1.5%,2)</f>
        <v>10.49</v>
      </c>
      <c r="I91" s="164">
        <f>ROUND(F91*1%,2)</f>
        <v>7</v>
      </c>
      <c r="J91" s="164">
        <f>ROUND(F91*3%,2)</f>
        <v>20.99</v>
      </c>
      <c r="K91" s="164">
        <f>ROUND(F91*0.65%,2)</f>
        <v>4.55</v>
      </c>
      <c r="L91" s="165">
        <f t="shared" si="24"/>
        <v>32.54</v>
      </c>
      <c r="M91" s="165">
        <f t="shared" si="25"/>
        <v>656.47</v>
      </c>
      <c r="N91" s="27">
        <v>1400000301</v>
      </c>
      <c r="O91" s="26">
        <v>46163</v>
      </c>
      <c r="P91" s="166" t="s">
        <v>43</v>
      </c>
      <c r="Q91" s="167" t="s">
        <v>34</v>
      </c>
      <c r="R91" s="168">
        <v>1016411263</v>
      </c>
      <c r="S91" s="168" t="s">
        <v>99</v>
      </c>
      <c r="T91" s="174">
        <v>13214075000117</v>
      </c>
      <c r="U91" s="171" t="s">
        <v>73</v>
      </c>
      <c r="V91" s="171">
        <v>11311094</v>
      </c>
    </row>
    <row r="92" spans="1:22" s="172" customFormat="1" ht="16.5" hidden="1" customHeight="1">
      <c r="A92" s="159" t="s">
        <v>43</v>
      </c>
      <c r="B92" s="160">
        <v>46148</v>
      </c>
      <c r="C92" s="161" t="s">
        <v>33</v>
      </c>
      <c r="D92" s="162">
        <v>335</v>
      </c>
      <c r="E92" s="162">
        <v>1800000545</v>
      </c>
      <c r="F92" s="163">
        <v>897</v>
      </c>
      <c r="G92" s="164">
        <v>0</v>
      </c>
      <c r="H92" s="164">
        <f>ROUND(F92*1.5%,2)</f>
        <v>13.46</v>
      </c>
      <c r="I92" s="164">
        <f>ROUND(F92*1%,2)</f>
        <v>8.9700000000000006</v>
      </c>
      <c r="J92" s="164">
        <f>ROUND(F92*3%,2)</f>
        <v>26.91</v>
      </c>
      <c r="K92" s="164">
        <f>ROUND(F92*0.65%,2)</f>
        <v>5.83</v>
      </c>
      <c r="L92" s="165">
        <f t="shared" si="24"/>
        <v>41.71</v>
      </c>
      <c r="M92" s="165">
        <f t="shared" si="25"/>
        <v>841.82999999999993</v>
      </c>
      <c r="N92" s="27">
        <v>1400000226</v>
      </c>
      <c r="O92" s="26">
        <v>46163</v>
      </c>
      <c r="P92" s="166" t="s">
        <v>43</v>
      </c>
      <c r="Q92" s="167" t="s">
        <v>34</v>
      </c>
      <c r="R92" s="168">
        <v>1019275110</v>
      </c>
      <c r="S92" s="168" t="s">
        <v>100</v>
      </c>
      <c r="T92" s="174">
        <v>53170725000194</v>
      </c>
      <c r="U92" s="171" t="s">
        <v>73</v>
      </c>
      <c r="V92" s="171">
        <v>11311094</v>
      </c>
    </row>
    <row r="93" spans="1:22" s="172" customFormat="1" ht="16.5" hidden="1" customHeight="1">
      <c r="A93" s="159" t="s">
        <v>43</v>
      </c>
      <c r="B93" s="160">
        <v>46148</v>
      </c>
      <c r="C93" s="161" t="s">
        <v>33</v>
      </c>
      <c r="D93" s="162">
        <v>336</v>
      </c>
      <c r="E93" s="162">
        <v>1800000546</v>
      </c>
      <c r="F93" s="163">
        <v>250</v>
      </c>
      <c r="G93" s="164">
        <v>0</v>
      </c>
      <c r="H93" s="164">
        <v>0</v>
      </c>
      <c r="I93" s="164">
        <v>0</v>
      </c>
      <c r="J93" s="164">
        <v>0</v>
      </c>
      <c r="K93" s="164">
        <v>0</v>
      </c>
      <c r="L93" s="165">
        <f t="shared" si="24"/>
        <v>0</v>
      </c>
      <c r="M93" s="165">
        <f t="shared" si="25"/>
        <v>250</v>
      </c>
      <c r="N93" s="128"/>
      <c r="O93" s="29" t="s">
        <v>48</v>
      </c>
      <c r="P93" s="166"/>
      <c r="Q93" s="167" t="s">
        <v>34</v>
      </c>
      <c r="R93" s="168">
        <v>1019080116</v>
      </c>
      <c r="S93" s="168" t="s">
        <v>101</v>
      </c>
      <c r="T93" s="174">
        <v>40969554000116</v>
      </c>
      <c r="U93" s="171" t="s">
        <v>92</v>
      </c>
      <c r="V93" s="171">
        <v>11311094</v>
      </c>
    </row>
    <row r="94" spans="1:22" s="172" customFormat="1" ht="16.5" hidden="1" customHeight="1">
      <c r="A94" s="159" t="s">
        <v>43</v>
      </c>
      <c r="B94" s="160">
        <v>46148</v>
      </c>
      <c r="C94" s="161" t="s">
        <v>33</v>
      </c>
      <c r="D94" s="162">
        <v>337</v>
      </c>
      <c r="E94" s="162">
        <v>1800000547</v>
      </c>
      <c r="F94" s="163">
        <v>511.5</v>
      </c>
      <c r="G94" s="164">
        <v>0</v>
      </c>
      <c r="H94" s="164">
        <v>0</v>
      </c>
      <c r="I94" s="164">
        <v>0</v>
      </c>
      <c r="J94" s="164">
        <v>0</v>
      </c>
      <c r="K94" s="164">
        <v>0</v>
      </c>
      <c r="L94" s="165">
        <f t="shared" si="24"/>
        <v>0</v>
      </c>
      <c r="M94" s="165">
        <f t="shared" si="25"/>
        <v>511.5</v>
      </c>
      <c r="N94" s="27">
        <v>1400000227</v>
      </c>
      <c r="O94" s="26">
        <v>46163</v>
      </c>
      <c r="P94" s="166" t="s">
        <v>43</v>
      </c>
      <c r="Q94" s="167" t="s">
        <v>34</v>
      </c>
      <c r="R94" s="168">
        <v>1018840151</v>
      </c>
      <c r="S94" s="168" t="s">
        <v>102</v>
      </c>
      <c r="T94" s="174">
        <v>55365607000167</v>
      </c>
      <c r="U94" s="171" t="s">
        <v>92</v>
      </c>
      <c r="V94" s="171">
        <v>11311094</v>
      </c>
    </row>
    <row r="95" spans="1:22" s="172" customFormat="1" ht="16.5" hidden="1" customHeight="1">
      <c r="A95" s="159" t="s">
        <v>43</v>
      </c>
      <c r="B95" s="160">
        <v>46148</v>
      </c>
      <c r="C95" s="161" t="s">
        <v>33</v>
      </c>
      <c r="D95" s="162">
        <v>338</v>
      </c>
      <c r="E95" s="162">
        <v>1800000630</v>
      </c>
      <c r="F95" s="163">
        <v>250</v>
      </c>
      <c r="G95" s="164">
        <v>0</v>
      </c>
      <c r="H95" s="164">
        <v>0</v>
      </c>
      <c r="I95" s="164">
        <f>ROUND(F95*1%,2)</f>
        <v>2.5</v>
      </c>
      <c r="J95" s="164">
        <f>ROUND(F95*3%,2)</f>
        <v>7.5</v>
      </c>
      <c r="K95" s="164">
        <f>ROUND(F95*0.65%,2)</f>
        <v>1.63</v>
      </c>
      <c r="L95" s="165">
        <f t="shared" si="24"/>
        <v>11.629999999999999</v>
      </c>
      <c r="M95" s="165">
        <f t="shared" si="25"/>
        <v>238.37</v>
      </c>
      <c r="N95" s="27">
        <v>1400000512</v>
      </c>
      <c r="O95" s="26">
        <v>46163</v>
      </c>
      <c r="P95" s="166" t="s">
        <v>43</v>
      </c>
      <c r="Q95" s="167" t="s">
        <v>34</v>
      </c>
      <c r="R95" s="168">
        <v>1016506511</v>
      </c>
      <c r="S95" s="168" t="s">
        <v>103</v>
      </c>
      <c r="T95" s="174">
        <v>38345653000185</v>
      </c>
      <c r="U95" s="171" t="s">
        <v>73</v>
      </c>
      <c r="V95" s="171">
        <v>11311094</v>
      </c>
    </row>
    <row r="96" spans="1:22" s="172" customFormat="1" ht="16.5" hidden="1" customHeight="1">
      <c r="A96" s="159" t="s">
        <v>43</v>
      </c>
      <c r="B96" s="160">
        <v>46148</v>
      </c>
      <c r="C96" s="161" t="s">
        <v>33</v>
      </c>
      <c r="D96" s="162">
        <v>339</v>
      </c>
      <c r="E96" s="162">
        <v>1800000572</v>
      </c>
      <c r="F96" s="163">
        <v>250</v>
      </c>
      <c r="G96" s="164">
        <v>0</v>
      </c>
      <c r="H96" s="164">
        <v>0</v>
      </c>
      <c r="I96" s="164">
        <f>ROUND(F96*1%,2)</f>
        <v>2.5</v>
      </c>
      <c r="J96" s="164">
        <f>ROUND(F96*3%,2)</f>
        <v>7.5</v>
      </c>
      <c r="K96" s="164">
        <f>ROUND(F96*0.65%,2)</f>
        <v>1.63</v>
      </c>
      <c r="L96" s="165">
        <f t="shared" si="24"/>
        <v>11.629999999999999</v>
      </c>
      <c r="M96" s="165">
        <f t="shared" si="25"/>
        <v>238.37</v>
      </c>
      <c r="N96" s="27">
        <v>1400000513</v>
      </c>
      <c r="O96" s="26">
        <v>46163</v>
      </c>
      <c r="P96" s="166" t="s">
        <v>43</v>
      </c>
      <c r="Q96" s="167" t="s">
        <v>34</v>
      </c>
      <c r="R96" s="168">
        <v>1005618488</v>
      </c>
      <c r="S96" s="168" t="s">
        <v>104</v>
      </c>
      <c r="T96" s="174">
        <v>8152302000197</v>
      </c>
      <c r="U96" s="171" t="s">
        <v>73</v>
      </c>
      <c r="V96" s="171">
        <v>11311094</v>
      </c>
    </row>
    <row r="97" spans="1:22" s="172" customFormat="1" ht="16.5" hidden="1" customHeight="1">
      <c r="A97" s="159" t="s">
        <v>43</v>
      </c>
      <c r="B97" s="160">
        <v>46148</v>
      </c>
      <c r="C97" s="161" t="s">
        <v>33</v>
      </c>
      <c r="D97" s="162">
        <v>340</v>
      </c>
      <c r="E97" s="162">
        <v>1800000619</v>
      </c>
      <c r="F97" s="163">
        <v>1665.5</v>
      </c>
      <c r="G97" s="164">
        <v>0</v>
      </c>
      <c r="H97" s="164">
        <f>ROUND(F97*1.5%,2)</f>
        <v>24.98</v>
      </c>
      <c r="I97" s="164">
        <f>ROUND(F97*1%,2)</f>
        <v>16.66</v>
      </c>
      <c r="J97" s="164">
        <f>ROUND(F97*3%,2)</f>
        <v>49.97</v>
      </c>
      <c r="K97" s="164">
        <f>ROUND(F97*0.65%,2)</f>
        <v>10.83</v>
      </c>
      <c r="L97" s="165">
        <f t="shared" si="24"/>
        <v>77.459999999999994</v>
      </c>
      <c r="M97" s="165">
        <f t="shared" si="25"/>
        <v>1563.06</v>
      </c>
      <c r="N97" s="128"/>
      <c r="O97" s="29" t="s">
        <v>48</v>
      </c>
      <c r="P97" s="26"/>
      <c r="Q97" s="167" t="s">
        <v>34</v>
      </c>
      <c r="R97" s="168">
        <v>1019200174</v>
      </c>
      <c r="S97" s="168" t="s">
        <v>105</v>
      </c>
      <c r="T97" s="174">
        <v>32817557000106</v>
      </c>
      <c r="U97" s="171" t="s">
        <v>73</v>
      </c>
      <c r="V97" s="171">
        <v>11311094</v>
      </c>
    </row>
    <row r="98" spans="1:22" s="172" customFormat="1" ht="16.5" customHeight="1">
      <c r="A98" s="159" t="s">
        <v>43</v>
      </c>
      <c r="B98" s="160">
        <v>46150</v>
      </c>
      <c r="C98" s="161" t="s">
        <v>33</v>
      </c>
      <c r="D98" s="162">
        <v>341</v>
      </c>
      <c r="E98" s="162">
        <v>0</v>
      </c>
      <c r="F98" s="163">
        <v>0</v>
      </c>
      <c r="G98" s="164">
        <v>0</v>
      </c>
      <c r="H98" s="164">
        <v>0</v>
      </c>
      <c r="I98" s="164">
        <v>0</v>
      </c>
      <c r="J98" s="164">
        <v>0</v>
      </c>
      <c r="K98" s="164">
        <v>0</v>
      </c>
      <c r="L98" s="164">
        <v>0</v>
      </c>
      <c r="M98" s="165" t="s">
        <v>41</v>
      </c>
      <c r="N98" s="27">
        <v>0</v>
      </c>
      <c r="O98" s="28">
        <v>0</v>
      </c>
      <c r="P98" s="28">
        <v>0</v>
      </c>
      <c r="Q98" s="167" t="s">
        <v>106</v>
      </c>
      <c r="R98" s="168">
        <v>0</v>
      </c>
      <c r="S98" s="168">
        <v>0</v>
      </c>
      <c r="T98" s="194">
        <v>0</v>
      </c>
      <c r="U98" s="171" t="s">
        <v>42</v>
      </c>
      <c r="V98" s="171">
        <v>11132091</v>
      </c>
    </row>
    <row r="99" spans="1:22" s="172" customFormat="1" ht="16.5" customHeight="1">
      <c r="A99" s="159" t="s">
        <v>43</v>
      </c>
      <c r="B99" s="160">
        <v>46150</v>
      </c>
      <c r="C99" s="161" t="s">
        <v>33</v>
      </c>
      <c r="D99" s="162">
        <v>342</v>
      </c>
      <c r="E99" s="162">
        <v>0</v>
      </c>
      <c r="F99" s="163">
        <v>0</v>
      </c>
      <c r="G99" s="164">
        <v>0</v>
      </c>
      <c r="H99" s="164">
        <v>0</v>
      </c>
      <c r="I99" s="164">
        <v>0</v>
      </c>
      <c r="J99" s="164">
        <v>0</v>
      </c>
      <c r="K99" s="164">
        <v>0</v>
      </c>
      <c r="L99" s="164">
        <v>0</v>
      </c>
      <c r="M99" s="165" t="s">
        <v>41</v>
      </c>
      <c r="N99" s="27">
        <v>0</v>
      </c>
      <c r="O99" s="28">
        <v>0</v>
      </c>
      <c r="P99" s="28">
        <v>0</v>
      </c>
      <c r="Q99" s="167" t="s">
        <v>106</v>
      </c>
      <c r="R99" s="168">
        <v>0</v>
      </c>
      <c r="S99" s="168">
        <v>0</v>
      </c>
      <c r="T99" s="194">
        <v>0</v>
      </c>
      <c r="U99" s="171" t="s">
        <v>42</v>
      </c>
      <c r="V99" s="171">
        <v>11132091</v>
      </c>
    </row>
    <row r="100" spans="1:22" s="172" customFormat="1" ht="16.5" customHeight="1">
      <c r="A100" s="159" t="s">
        <v>43</v>
      </c>
      <c r="B100" s="160">
        <v>46150</v>
      </c>
      <c r="C100" s="161" t="s">
        <v>33</v>
      </c>
      <c r="D100" s="162">
        <v>343</v>
      </c>
      <c r="E100" s="162">
        <v>0</v>
      </c>
      <c r="F100" s="163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4">
        <v>0</v>
      </c>
      <c r="M100" s="165" t="s">
        <v>41</v>
      </c>
      <c r="N100" s="27">
        <v>0</v>
      </c>
      <c r="O100" s="28">
        <v>0</v>
      </c>
      <c r="P100" s="28">
        <v>0</v>
      </c>
      <c r="Q100" s="167" t="s">
        <v>106</v>
      </c>
      <c r="R100" s="168">
        <v>0</v>
      </c>
      <c r="S100" s="168">
        <v>0</v>
      </c>
      <c r="T100" s="194">
        <v>0</v>
      </c>
      <c r="U100" s="171" t="s">
        <v>42</v>
      </c>
      <c r="V100" s="171">
        <v>11132091</v>
      </c>
    </row>
    <row r="101" spans="1:22" s="172" customFormat="1" ht="16.5" customHeight="1">
      <c r="A101" s="159" t="s">
        <v>43</v>
      </c>
      <c r="B101" s="160">
        <v>46150</v>
      </c>
      <c r="C101" s="161" t="s">
        <v>33</v>
      </c>
      <c r="D101" s="162">
        <v>344</v>
      </c>
      <c r="E101" s="162">
        <v>0</v>
      </c>
      <c r="F101" s="163">
        <v>0</v>
      </c>
      <c r="G101" s="164">
        <v>0</v>
      </c>
      <c r="H101" s="164">
        <v>0</v>
      </c>
      <c r="I101" s="164">
        <v>0</v>
      </c>
      <c r="J101" s="164">
        <v>0</v>
      </c>
      <c r="K101" s="164">
        <v>0</v>
      </c>
      <c r="L101" s="164">
        <v>0</v>
      </c>
      <c r="M101" s="165" t="s">
        <v>41</v>
      </c>
      <c r="N101" s="27">
        <v>0</v>
      </c>
      <c r="O101" s="28">
        <v>0</v>
      </c>
      <c r="P101" s="28">
        <v>0</v>
      </c>
      <c r="Q101" s="167" t="s">
        <v>106</v>
      </c>
      <c r="R101" s="168">
        <v>0</v>
      </c>
      <c r="S101" s="168">
        <v>0</v>
      </c>
      <c r="T101" s="194">
        <v>0</v>
      </c>
      <c r="U101" s="171" t="s">
        <v>42</v>
      </c>
      <c r="V101" s="171">
        <v>11132091</v>
      </c>
    </row>
    <row r="102" spans="1:22" s="78" customFormat="1" ht="16.5" customHeight="1">
      <c r="A102" s="195" t="s">
        <v>43</v>
      </c>
      <c r="B102" s="196">
        <v>46150</v>
      </c>
      <c r="C102" s="161" t="s">
        <v>33</v>
      </c>
      <c r="D102" s="162">
        <v>345</v>
      </c>
      <c r="E102" s="197"/>
      <c r="F102" s="198">
        <v>3339</v>
      </c>
      <c r="G102" s="199">
        <v>0</v>
      </c>
      <c r="H102" s="199">
        <f>ROUND(F102*1.5%,2)</f>
        <v>50.09</v>
      </c>
      <c r="I102" s="199">
        <f>ROUND(F102*1%,2)</f>
        <v>33.39</v>
      </c>
      <c r="J102" s="199">
        <f>ROUND(F102*3%,2)</f>
        <v>100.17</v>
      </c>
      <c r="K102" s="199">
        <f>ROUND(F102*0.65%,2)</f>
        <v>21.7</v>
      </c>
      <c r="L102" s="200">
        <f t="shared" ref="L102:L107" si="26">SUM(I102:K102)</f>
        <v>155.26</v>
      </c>
      <c r="M102" s="200">
        <f>F102-H102-I102-J102-K102</f>
        <v>3133.65</v>
      </c>
      <c r="N102" s="27">
        <v>1400000600</v>
      </c>
      <c r="O102" s="26">
        <v>46169</v>
      </c>
      <c r="P102" s="105" t="s">
        <v>43</v>
      </c>
      <c r="Q102" s="115" t="s">
        <v>106</v>
      </c>
      <c r="R102" s="177">
        <f>VLOOKUP(T102,'[1]SOMPO RISK'!$A$1:$C$40,3,0)</f>
        <v>1013232744</v>
      </c>
      <c r="S102" s="177" t="s">
        <v>107</v>
      </c>
      <c r="T102" s="201">
        <v>14444785000104</v>
      </c>
      <c r="U102" s="217" t="s">
        <v>36</v>
      </c>
      <c r="V102" s="171">
        <v>11132091</v>
      </c>
    </row>
    <row r="103" spans="1:22" s="172" customFormat="1" ht="16.5" customHeight="1">
      <c r="A103" s="159" t="s">
        <v>43</v>
      </c>
      <c r="B103" s="160">
        <v>46150</v>
      </c>
      <c r="C103" s="161" t="s">
        <v>33</v>
      </c>
      <c r="D103" s="162">
        <v>346</v>
      </c>
      <c r="E103" s="162">
        <v>0</v>
      </c>
      <c r="F103" s="163">
        <v>0</v>
      </c>
      <c r="G103" s="164">
        <v>0</v>
      </c>
      <c r="H103" s="164">
        <f>ROUND(F103*1.5%,2)</f>
        <v>0</v>
      </c>
      <c r="I103" s="164">
        <f>ROUND(F103*1%,2)</f>
        <v>0</v>
      </c>
      <c r="J103" s="164">
        <f>ROUND(F103*3%,2)</f>
        <v>0</v>
      </c>
      <c r="K103" s="164">
        <f>ROUND(F103*0.65%,2)</f>
        <v>0</v>
      </c>
      <c r="L103" s="164">
        <f t="shared" si="26"/>
        <v>0</v>
      </c>
      <c r="M103" s="165" t="s">
        <v>41</v>
      </c>
      <c r="N103" s="27">
        <v>0</v>
      </c>
      <c r="O103" s="28">
        <v>0</v>
      </c>
      <c r="P103" s="28">
        <v>0</v>
      </c>
      <c r="Q103" s="167" t="s">
        <v>106</v>
      </c>
      <c r="R103" s="168">
        <v>0</v>
      </c>
      <c r="S103" s="168">
        <v>0</v>
      </c>
      <c r="T103" s="194">
        <v>0</v>
      </c>
      <c r="U103" s="171" t="s">
        <v>42</v>
      </c>
      <c r="V103" s="171">
        <v>11132091</v>
      </c>
    </row>
    <row r="104" spans="1:22" s="78" customFormat="1" ht="14.1" customHeight="1">
      <c r="A104" s="179" t="s">
        <v>43</v>
      </c>
      <c r="B104" s="160">
        <v>46150</v>
      </c>
      <c r="C104" s="161" t="s">
        <v>33</v>
      </c>
      <c r="D104" s="162">
        <v>347</v>
      </c>
      <c r="E104" s="202"/>
      <c r="F104" s="203">
        <v>250</v>
      </c>
      <c r="G104" s="164">
        <v>0</v>
      </c>
      <c r="H104" s="164">
        <v>0</v>
      </c>
      <c r="I104" s="164">
        <f>ROUND(F104*1%,2)</f>
        <v>2.5</v>
      </c>
      <c r="J104" s="164">
        <f>ROUND(F104*3%,2)</f>
        <v>7.5</v>
      </c>
      <c r="K104" s="164">
        <f>ROUND(F104*0.65%,2)</f>
        <v>1.63</v>
      </c>
      <c r="L104" s="165">
        <f t="shared" si="26"/>
        <v>11.629999999999999</v>
      </c>
      <c r="M104" s="165">
        <f>F104-H104-I104-J104-K104</f>
        <v>238.37</v>
      </c>
      <c r="N104" s="27">
        <v>1400000810</v>
      </c>
      <c r="O104" s="26">
        <v>46202</v>
      </c>
      <c r="P104" s="105" t="s">
        <v>54</v>
      </c>
      <c r="Q104" s="119" t="s">
        <v>106</v>
      </c>
      <c r="R104" s="119">
        <f>VLOOKUP(T104,'[1]SOMPO RISK'!$A$1:$C$40,3,0)</f>
        <v>1018930052</v>
      </c>
      <c r="S104" s="119" t="s">
        <v>108</v>
      </c>
      <c r="T104" s="201">
        <v>56963806000130</v>
      </c>
      <c r="U104" s="217" t="s">
        <v>36</v>
      </c>
      <c r="V104" s="171">
        <v>11132091</v>
      </c>
    </row>
    <row r="105" spans="1:22" s="78" customFormat="1" ht="14.1" customHeight="1">
      <c r="A105" s="179" t="s">
        <v>43</v>
      </c>
      <c r="B105" s="160">
        <v>46150</v>
      </c>
      <c r="C105" s="161" t="s">
        <v>33</v>
      </c>
      <c r="D105" s="162">
        <v>348</v>
      </c>
      <c r="E105" s="202"/>
      <c r="F105" s="203">
        <v>9993</v>
      </c>
      <c r="G105" s="164">
        <v>0</v>
      </c>
      <c r="H105" s="164">
        <f>ROUND(F105*1.5%,2)</f>
        <v>149.9</v>
      </c>
      <c r="I105" s="164">
        <f>ROUND(F105*1%,2)</f>
        <v>99.93</v>
      </c>
      <c r="J105" s="164">
        <f>ROUND(F105*3%,2)</f>
        <v>299.79000000000002</v>
      </c>
      <c r="K105" s="164">
        <f>ROUND(F105*0.65%,2)</f>
        <v>64.95</v>
      </c>
      <c r="L105" s="165">
        <f t="shared" si="26"/>
        <v>464.67</v>
      </c>
      <c r="M105" s="165">
        <f>F105-H105-I105-J105-K105</f>
        <v>9378.4299999999985</v>
      </c>
      <c r="N105" s="27">
        <v>1400000334</v>
      </c>
      <c r="O105" s="26">
        <v>46171</v>
      </c>
      <c r="P105" s="105" t="s">
        <v>43</v>
      </c>
      <c r="Q105" s="119" t="s">
        <v>106</v>
      </c>
      <c r="R105" s="119">
        <f>VLOOKUP(T105,'[1]SOMPO RISK'!$A$1:$C$40,3,0)</f>
        <v>1019275110</v>
      </c>
      <c r="S105" s="119" t="s">
        <v>109</v>
      </c>
      <c r="T105" s="201">
        <v>26822980000100</v>
      </c>
      <c r="U105" s="217" t="s">
        <v>36</v>
      </c>
      <c r="V105" s="171">
        <v>11132091</v>
      </c>
    </row>
    <row r="106" spans="1:22" s="78" customFormat="1" ht="14.1" customHeight="1">
      <c r="A106" s="179" t="s">
        <v>43</v>
      </c>
      <c r="B106" s="160">
        <v>46150</v>
      </c>
      <c r="C106" s="161" t="s">
        <v>33</v>
      </c>
      <c r="D106" s="162">
        <v>349</v>
      </c>
      <c r="E106" s="202"/>
      <c r="F106" s="203">
        <v>3476.5</v>
      </c>
      <c r="G106" s="164">
        <v>0</v>
      </c>
      <c r="H106" s="164">
        <v>0</v>
      </c>
      <c r="I106" s="164">
        <v>0</v>
      </c>
      <c r="J106" s="164">
        <v>0</v>
      </c>
      <c r="K106" s="164">
        <v>0</v>
      </c>
      <c r="L106" s="165">
        <f t="shared" si="26"/>
        <v>0</v>
      </c>
      <c r="M106" s="165">
        <f>F106-H106-I106-J106-K106</f>
        <v>3476.5</v>
      </c>
      <c r="N106" s="128"/>
      <c r="O106" s="29" t="s">
        <v>48</v>
      </c>
      <c r="P106" s="29"/>
      <c r="Q106" s="119" t="s">
        <v>106</v>
      </c>
      <c r="R106" s="119">
        <f>VLOOKUP(T106,'[1]SOMPO RISK'!$A$1:$C$40,3,0)</f>
        <v>1019470169</v>
      </c>
      <c r="S106" s="119" t="s">
        <v>110</v>
      </c>
      <c r="T106" s="201">
        <v>63361086000106</v>
      </c>
      <c r="U106" s="217" t="s">
        <v>56</v>
      </c>
      <c r="V106" s="171">
        <v>11132091</v>
      </c>
    </row>
    <row r="107" spans="1:22" s="207" customFormat="1" ht="14.1" customHeight="1">
      <c r="A107" s="204" t="s">
        <v>43</v>
      </c>
      <c r="B107" s="160">
        <v>46150</v>
      </c>
      <c r="C107" s="161" t="s">
        <v>33</v>
      </c>
      <c r="D107" s="162">
        <v>350</v>
      </c>
      <c r="E107" s="205"/>
      <c r="F107" s="206">
        <v>4650.5</v>
      </c>
      <c r="G107" s="164">
        <v>0</v>
      </c>
      <c r="H107" s="164">
        <f>ROUND(F107*1.5%,2)</f>
        <v>69.760000000000005</v>
      </c>
      <c r="I107" s="164">
        <f>ROUND(F107*1%,2)</f>
        <v>46.51</v>
      </c>
      <c r="J107" s="164">
        <f>ROUND(F107*3%,2)</f>
        <v>139.52000000000001</v>
      </c>
      <c r="K107" s="164">
        <f>ROUND(F107*0.65%,2)</f>
        <v>30.23</v>
      </c>
      <c r="L107" s="165">
        <f t="shared" si="26"/>
        <v>216.26</v>
      </c>
      <c r="M107" s="165">
        <f>F107-H107-I107-J107-K107</f>
        <v>4364.4799999999996</v>
      </c>
      <c r="N107" s="27">
        <v>1400000286</v>
      </c>
      <c r="O107" s="26">
        <v>46171</v>
      </c>
      <c r="P107" s="105" t="s">
        <v>43</v>
      </c>
      <c r="Q107" s="107" t="s">
        <v>106</v>
      </c>
      <c r="R107" s="107">
        <f>VLOOKUP(T107,'[1]SOMPO RISK'!$A$1:$C$40,3,0)</f>
        <v>1001187614</v>
      </c>
      <c r="S107" s="107" t="s">
        <v>111</v>
      </c>
      <c r="T107" s="201">
        <v>7881225000143</v>
      </c>
      <c r="U107" s="218" t="s">
        <v>36</v>
      </c>
      <c r="V107" s="171">
        <v>11132091</v>
      </c>
    </row>
    <row r="108" spans="1:22" ht="14.1" customHeight="1">
      <c r="A108" s="204" t="s">
        <v>43</v>
      </c>
      <c r="B108" s="160">
        <v>46170</v>
      </c>
      <c r="C108" s="208" t="s">
        <v>33</v>
      </c>
      <c r="D108" s="209">
        <v>351</v>
      </c>
      <c r="E108" s="205">
        <v>0</v>
      </c>
      <c r="F108" s="206">
        <v>0</v>
      </c>
      <c r="G108" s="210">
        <v>0</v>
      </c>
      <c r="H108" s="210">
        <v>0</v>
      </c>
      <c r="I108" s="210">
        <v>0</v>
      </c>
      <c r="J108" s="210">
        <v>0</v>
      </c>
      <c r="K108" s="210">
        <v>0</v>
      </c>
      <c r="L108" s="210">
        <v>0</v>
      </c>
      <c r="M108" s="211" t="s">
        <v>41</v>
      </c>
      <c r="N108" s="27">
        <v>0</v>
      </c>
      <c r="O108" s="28">
        <v>0</v>
      </c>
      <c r="P108" s="28">
        <v>0</v>
      </c>
      <c r="Q108" s="107" t="s">
        <v>106</v>
      </c>
      <c r="R108" s="107">
        <v>0</v>
      </c>
      <c r="S108" s="107">
        <v>0</v>
      </c>
      <c r="T108" s="212">
        <v>0</v>
      </c>
      <c r="U108" s="218" t="s">
        <v>42</v>
      </c>
      <c r="V108" s="171">
        <v>11132091</v>
      </c>
    </row>
    <row r="109" spans="1:22" ht="14.1" hidden="1" customHeight="1">
      <c r="A109" s="159" t="str">
        <f>TEXT(B109,"mm/aaaa")</f>
        <v>05/2026</v>
      </c>
      <c r="B109" s="160">
        <v>46170</v>
      </c>
      <c r="C109" s="161" t="s">
        <v>33</v>
      </c>
      <c r="D109" s="162">
        <v>352</v>
      </c>
      <c r="E109" s="162">
        <v>1800000720</v>
      </c>
      <c r="F109" s="206">
        <v>6624.52</v>
      </c>
      <c r="G109" s="164">
        <v>0</v>
      </c>
      <c r="H109" s="164">
        <f>ROUND(F109*1.5%,2)</f>
        <v>99.37</v>
      </c>
      <c r="I109" s="164">
        <f>F109*1%</f>
        <v>66.245200000000011</v>
      </c>
      <c r="J109" s="164">
        <f>ROUND(F109*3%,2)</f>
        <v>198.74</v>
      </c>
      <c r="K109" s="164">
        <f>ROUND(F109*0.65%,2)</f>
        <v>43.06</v>
      </c>
      <c r="L109" s="165">
        <f>SUM(I109:K109)</f>
        <v>308.04520000000002</v>
      </c>
      <c r="M109" s="165">
        <f>F109-H109-I109-J109-K109</f>
        <v>6217.1048000000001</v>
      </c>
      <c r="N109" s="27">
        <v>1400000780</v>
      </c>
      <c r="O109" s="26">
        <v>46202</v>
      </c>
      <c r="P109" s="166" t="s">
        <v>54</v>
      </c>
      <c r="Q109" s="167" t="s">
        <v>44</v>
      </c>
      <c r="R109" s="168">
        <v>1007620183</v>
      </c>
      <c r="S109" s="168" t="s">
        <v>45</v>
      </c>
      <c r="T109" s="174">
        <v>9446817000162</v>
      </c>
      <c r="U109" s="171" t="s">
        <v>36</v>
      </c>
      <c r="V109" s="119">
        <v>11132050</v>
      </c>
    </row>
    <row r="110" spans="1:22" ht="14.1" customHeight="1">
      <c r="A110" s="219" t="s">
        <v>54</v>
      </c>
      <c r="B110" s="160">
        <v>46182</v>
      </c>
      <c r="C110" s="161" t="s">
        <v>33</v>
      </c>
      <c r="D110" s="162">
        <v>353</v>
      </c>
      <c r="E110" s="162">
        <v>0</v>
      </c>
      <c r="F110" s="206">
        <v>0</v>
      </c>
      <c r="G110" s="206">
        <v>0</v>
      </c>
      <c r="H110" s="206">
        <v>0</v>
      </c>
      <c r="I110" s="206">
        <v>0</v>
      </c>
      <c r="J110" s="206">
        <v>0</v>
      </c>
      <c r="K110" s="206">
        <v>0</v>
      </c>
      <c r="L110" s="206">
        <v>0</v>
      </c>
      <c r="M110" s="165" t="s">
        <v>41</v>
      </c>
      <c r="N110" s="27">
        <v>0</v>
      </c>
      <c r="O110" s="28">
        <v>0</v>
      </c>
      <c r="P110" s="28">
        <v>0</v>
      </c>
      <c r="Q110" s="167" t="s">
        <v>106</v>
      </c>
      <c r="R110" s="168">
        <v>0</v>
      </c>
      <c r="S110" s="168">
        <v>0</v>
      </c>
      <c r="T110" s="174">
        <v>0</v>
      </c>
      <c r="U110" s="171" t="s">
        <v>42</v>
      </c>
      <c r="V110" s="171">
        <v>11132091</v>
      </c>
    </row>
    <row r="111" spans="1:22" ht="14.1" customHeight="1">
      <c r="A111" s="219" t="s">
        <v>54</v>
      </c>
      <c r="B111" s="160">
        <v>46182</v>
      </c>
      <c r="C111" s="161" t="s">
        <v>33</v>
      </c>
      <c r="D111" s="162">
        <v>354</v>
      </c>
      <c r="E111" s="162">
        <v>0</v>
      </c>
      <c r="F111" s="206">
        <v>0</v>
      </c>
      <c r="G111" s="206">
        <v>0</v>
      </c>
      <c r="H111" s="206">
        <v>0</v>
      </c>
      <c r="I111" s="206">
        <v>0</v>
      </c>
      <c r="J111" s="206">
        <v>0</v>
      </c>
      <c r="K111" s="206">
        <v>0</v>
      </c>
      <c r="L111" s="206">
        <v>0</v>
      </c>
      <c r="M111" s="165" t="s">
        <v>41</v>
      </c>
      <c r="N111" s="27">
        <v>0</v>
      </c>
      <c r="O111" s="28">
        <v>0</v>
      </c>
      <c r="P111" s="28">
        <v>0</v>
      </c>
      <c r="Q111" s="167" t="s">
        <v>106</v>
      </c>
      <c r="R111" s="168">
        <v>0</v>
      </c>
      <c r="S111" s="168">
        <v>0</v>
      </c>
      <c r="T111" s="174">
        <v>0</v>
      </c>
      <c r="U111" s="171" t="s">
        <v>42</v>
      </c>
      <c r="V111" s="171">
        <v>11132091</v>
      </c>
    </row>
    <row r="112" spans="1:22" ht="14.1" customHeight="1">
      <c r="A112" s="219" t="s">
        <v>54</v>
      </c>
      <c r="B112" s="160">
        <v>46182</v>
      </c>
      <c r="C112" s="161" t="s">
        <v>33</v>
      </c>
      <c r="D112" s="162">
        <v>355</v>
      </c>
      <c r="E112" s="162">
        <v>0</v>
      </c>
      <c r="F112" s="206">
        <v>0</v>
      </c>
      <c r="G112" s="206">
        <v>0</v>
      </c>
      <c r="H112" s="206">
        <v>0</v>
      </c>
      <c r="I112" s="206">
        <v>0</v>
      </c>
      <c r="J112" s="206">
        <v>0</v>
      </c>
      <c r="K112" s="206">
        <v>0</v>
      </c>
      <c r="L112" s="206">
        <v>0</v>
      </c>
      <c r="M112" s="165" t="s">
        <v>41</v>
      </c>
      <c r="N112" s="27">
        <v>0</v>
      </c>
      <c r="O112" s="28">
        <v>0</v>
      </c>
      <c r="P112" s="28">
        <v>0</v>
      </c>
      <c r="Q112" s="167" t="s">
        <v>106</v>
      </c>
      <c r="R112" s="168">
        <v>0</v>
      </c>
      <c r="S112" s="168">
        <v>0</v>
      </c>
      <c r="T112" s="174">
        <v>0</v>
      </c>
      <c r="U112" s="171" t="s">
        <v>42</v>
      </c>
      <c r="V112" s="171">
        <v>11132091</v>
      </c>
    </row>
    <row r="113" spans="1:22" ht="14.1" customHeight="1">
      <c r="A113" s="219" t="s">
        <v>54</v>
      </c>
      <c r="B113" s="160">
        <v>46182</v>
      </c>
      <c r="C113" s="161" t="s">
        <v>33</v>
      </c>
      <c r="D113" s="162">
        <v>356</v>
      </c>
      <c r="E113" s="162">
        <v>1800000735</v>
      </c>
      <c r="F113" s="206">
        <v>8032.5</v>
      </c>
      <c r="G113" s="164" t="s">
        <v>112</v>
      </c>
      <c r="H113" s="164">
        <v>120.49</v>
      </c>
      <c r="I113" s="164">
        <v>80.33</v>
      </c>
      <c r="J113" s="164">
        <v>240.98</v>
      </c>
      <c r="K113" s="164">
        <v>52.21</v>
      </c>
      <c r="L113" s="165">
        <v>373.52</v>
      </c>
      <c r="M113" s="165">
        <v>7538.49</v>
      </c>
      <c r="N113" s="27">
        <v>1400000795</v>
      </c>
      <c r="O113" s="26">
        <v>46203</v>
      </c>
      <c r="P113" s="105" t="s">
        <v>54</v>
      </c>
      <c r="Q113" s="167" t="s">
        <v>106</v>
      </c>
      <c r="R113" s="168">
        <v>1004511610</v>
      </c>
      <c r="S113" s="168" t="s">
        <v>111</v>
      </c>
      <c r="T113" s="174">
        <v>7881225000143</v>
      </c>
      <c r="U113" s="171" t="s">
        <v>36</v>
      </c>
      <c r="V113" s="171">
        <v>11311094</v>
      </c>
    </row>
    <row r="114" spans="1:22" ht="14.1" customHeight="1">
      <c r="A114" s="219" t="s">
        <v>54</v>
      </c>
      <c r="B114" s="160">
        <v>46182</v>
      </c>
      <c r="C114" s="161" t="s">
        <v>33</v>
      </c>
      <c r="D114" s="162">
        <v>357</v>
      </c>
      <c r="E114" s="162">
        <v>1800000548</v>
      </c>
      <c r="F114" s="206">
        <v>683</v>
      </c>
      <c r="G114" s="164" t="s">
        <v>112</v>
      </c>
      <c r="H114" s="164">
        <v>10.25</v>
      </c>
      <c r="I114" s="164">
        <v>6.83</v>
      </c>
      <c r="J114" s="164">
        <v>20.49</v>
      </c>
      <c r="K114" s="164">
        <v>4.4400000000000004</v>
      </c>
      <c r="L114" s="165">
        <v>31.76</v>
      </c>
      <c r="M114" s="165">
        <v>640.99</v>
      </c>
      <c r="N114" s="128"/>
      <c r="O114" s="29" t="s">
        <v>48</v>
      </c>
      <c r="P114" s="121"/>
      <c r="Q114" s="167" t="s">
        <v>106</v>
      </c>
      <c r="R114" s="168">
        <v>1017580153</v>
      </c>
      <c r="S114" s="168" t="s">
        <v>108</v>
      </c>
      <c r="T114" s="174">
        <v>56963806000130</v>
      </c>
      <c r="U114" s="171" t="s">
        <v>36</v>
      </c>
      <c r="V114" s="171">
        <v>11132091</v>
      </c>
    </row>
    <row r="115" spans="1:22" ht="14.1" customHeight="1">
      <c r="A115" s="219" t="s">
        <v>54</v>
      </c>
      <c r="B115" s="160">
        <v>46182</v>
      </c>
      <c r="C115" s="161" t="s">
        <v>33</v>
      </c>
      <c r="D115" s="162">
        <v>358</v>
      </c>
      <c r="E115" s="162">
        <v>1800000750</v>
      </c>
      <c r="F115" s="206">
        <v>1972.5</v>
      </c>
      <c r="G115" s="164" t="s">
        <v>112</v>
      </c>
      <c r="H115" s="164" t="s">
        <v>112</v>
      </c>
      <c r="I115" s="164" t="s">
        <v>112</v>
      </c>
      <c r="J115" s="164" t="s">
        <v>112</v>
      </c>
      <c r="K115" s="164" t="s">
        <v>112</v>
      </c>
      <c r="L115" s="165" t="s">
        <v>112</v>
      </c>
      <c r="M115" s="165">
        <v>1972.5</v>
      </c>
      <c r="N115" s="128"/>
      <c r="O115" s="29" t="s">
        <v>48</v>
      </c>
      <c r="P115" s="121"/>
      <c r="Q115" s="167" t="s">
        <v>106</v>
      </c>
      <c r="R115" s="168">
        <v>1018840156</v>
      </c>
      <c r="S115" s="168" t="s">
        <v>110</v>
      </c>
      <c r="T115" s="174">
        <v>63361086000106</v>
      </c>
      <c r="U115" s="171" t="s">
        <v>56</v>
      </c>
      <c r="V115" s="171">
        <v>11132091</v>
      </c>
    </row>
    <row r="116" spans="1:22" ht="14.1" customHeight="1">
      <c r="A116" s="219" t="s">
        <v>54</v>
      </c>
      <c r="B116" s="160">
        <v>46182</v>
      </c>
      <c r="C116" s="161" t="s">
        <v>33</v>
      </c>
      <c r="D116" s="162">
        <v>359</v>
      </c>
      <c r="E116" s="162">
        <v>1800000549</v>
      </c>
      <c r="F116" s="206">
        <v>3534</v>
      </c>
      <c r="G116" s="164" t="s">
        <v>112</v>
      </c>
      <c r="H116" s="164">
        <v>53.01</v>
      </c>
      <c r="I116" s="164">
        <v>35.340000000000003</v>
      </c>
      <c r="J116" s="164">
        <v>106.02</v>
      </c>
      <c r="K116" s="164">
        <v>22.97</v>
      </c>
      <c r="L116" s="165">
        <v>164.33</v>
      </c>
      <c r="M116" s="165">
        <v>3316.66</v>
      </c>
      <c r="N116" s="27">
        <v>1400000137</v>
      </c>
      <c r="O116" s="26">
        <v>46203</v>
      </c>
      <c r="P116" s="105" t="s">
        <v>54</v>
      </c>
      <c r="Q116" s="167" t="s">
        <v>106</v>
      </c>
      <c r="R116" s="168">
        <v>1018615408</v>
      </c>
      <c r="S116" s="168" t="s">
        <v>107</v>
      </c>
      <c r="T116" s="174">
        <v>14444785000104</v>
      </c>
      <c r="U116" s="171" t="s">
        <v>36</v>
      </c>
      <c r="V116" s="171">
        <v>11132091</v>
      </c>
    </row>
    <row r="117" spans="1:22" ht="14.1" hidden="1" customHeight="1">
      <c r="A117" s="159" t="s">
        <v>54</v>
      </c>
      <c r="B117" s="160">
        <v>46182</v>
      </c>
      <c r="C117" s="161" t="s">
        <v>33</v>
      </c>
      <c r="D117" s="162">
        <v>360</v>
      </c>
      <c r="E117" s="213">
        <v>1800000765</v>
      </c>
      <c r="F117" s="206">
        <v>250</v>
      </c>
      <c r="G117" s="164">
        <v>0</v>
      </c>
      <c r="H117" s="164">
        <v>0</v>
      </c>
      <c r="I117" s="164">
        <v>1.63</v>
      </c>
      <c r="J117" s="164">
        <v>7.5</v>
      </c>
      <c r="K117" s="164">
        <v>2.5</v>
      </c>
      <c r="L117" s="165">
        <f t="shared" ref="L117:L157" si="27">SUM(I117:K117)</f>
        <v>11.629999999999999</v>
      </c>
      <c r="M117" s="165">
        <f t="shared" ref="M117:M157" si="28">F117-H117-I117-J117-K117</f>
        <v>238.37</v>
      </c>
      <c r="N117" s="128"/>
      <c r="O117" s="29" t="s">
        <v>48</v>
      </c>
      <c r="P117" s="121"/>
      <c r="Q117" s="107" t="s">
        <v>34</v>
      </c>
      <c r="R117" s="168">
        <v>1000539921</v>
      </c>
      <c r="S117" s="168" t="s">
        <v>113</v>
      </c>
      <c r="T117" s="174">
        <v>702501000110</v>
      </c>
      <c r="U117" s="171" t="s">
        <v>114</v>
      </c>
      <c r="V117" s="171">
        <v>11311094</v>
      </c>
    </row>
    <row r="118" spans="1:22" ht="14.1" hidden="1" customHeight="1">
      <c r="A118" s="159" t="s">
        <v>54</v>
      </c>
      <c r="B118" s="160">
        <v>46182</v>
      </c>
      <c r="C118" s="161" t="s">
        <v>33</v>
      </c>
      <c r="D118" s="162">
        <v>361</v>
      </c>
      <c r="E118" s="213">
        <v>1800000227</v>
      </c>
      <c r="F118" s="206">
        <v>250</v>
      </c>
      <c r="G118" s="164">
        <v>0</v>
      </c>
      <c r="H118" s="164">
        <v>0</v>
      </c>
      <c r="I118" s="164">
        <v>1.63</v>
      </c>
      <c r="J118" s="164">
        <v>7.5</v>
      </c>
      <c r="K118" s="164">
        <v>2.5</v>
      </c>
      <c r="L118" s="165">
        <f t="shared" si="27"/>
        <v>11.629999999999999</v>
      </c>
      <c r="M118" s="165">
        <f t="shared" si="28"/>
        <v>238.37</v>
      </c>
      <c r="N118" s="27">
        <f>VLOOKUP(E118,'[2]Controle Sompo Risks'!$H:$I,2,0)</f>
        <v>1400000287</v>
      </c>
      <c r="O118" s="26" t="e">
        <f>VLOOKUP(N118,[3]Sheet1!$D$2:$E$40,2,0)</f>
        <v>#N/A</v>
      </c>
      <c r="P118" s="105" t="s">
        <v>54</v>
      </c>
      <c r="Q118" s="107" t="s">
        <v>34</v>
      </c>
      <c r="R118" s="168">
        <v>1002640697</v>
      </c>
      <c r="S118" s="168" t="s">
        <v>87</v>
      </c>
      <c r="T118" s="174">
        <v>5370882000109</v>
      </c>
      <c r="U118" s="171" t="s">
        <v>36</v>
      </c>
      <c r="V118" s="171">
        <v>11311094</v>
      </c>
    </row>
    <row r="119" spans="1:22" ht="14.1" hidden="1" customHeight="1">
      <c r="A119" s="159" t="s">
        <v>54</v>
      </c>
      <c r="B119" s="160">
        <v>46182</v>
      </c>
      <c r="C119" s="161" t="s">
        <v>33</v>
      </c>
      <c r="D119" s="162">
        <v>362</v>
      </c>
      <c r="E119" s="213">
        <v>1800000780</v>
      </c>
      <c r="F119" s="206">
        <v>2622</v>
      </c>
      <c r="G119" s="164">
        <v>0</v>
      </c>
      <c r="H119" s="164">
        <v>39.33</v>
      </c>
      <c r="I119" s="164">
        <v>17.04</v>
      </c>
      <c r="J119" s="164">
        <v>78.66</v>
      </c>
      <c r="K119" s="164">
        <v>26.22</v>
      </c>
      <c r="L119" s="165">
        <f t="shared" si="27"/>
        <v>121.91999999999999</v>
      </c>
      <c r="M119" s="165">
        <f t="shared" si="28"/>
        <v>2460.7500000000005</v>
      </c>
      <c r="N119" s="128"/>
      <c r="O119" s="29" t="s">
        <v>48</v>
      </c>
      <c r="P119" s="121"/>
      <c r="Q119" s="107" t="s">
        <v>34</v>
      </c>
      <c r="R119" s="168">
        <v>1013447909</v>
      </c>
      <c r="S119" s="168" t="s">
        <v>72</v>
      </c>
      <c r="T119" s="174">
        <v>5514753000139</v>
      </c>
      <c r="U119" s="171" t="s">
        <v>36</v>
      </c>
      <c r="V119" s="171">
        <v>11311094</v>
      </c>
    </row>
    <row r="120" spans="1:22" ht="14.1" hidden="1" customHeight="1">
      <c r="A120" s="159" t="s">
        <v>54</v>
      </c>
      <c r="B120" s="160">
        <v>46182</v>
      </c>
      <c r="C120" s="161" t="s">
        <v>33</v>
      </c>
      <c r="D120" s="162">
        <v>363</v>
      </c>
      <c r="E120" s="213">
        <v>1800000751</v>
      </c>
      <c r="F120" s="206">
        <v>250</v>
      </c>
      <c r="G120" s="164">
        <v>0</v>
      </c>
      <c r="H120" s="164">
        <v>0</v>
      </c>
      <c r="I120" s="164">
        <v>1.63</v>
      </c>
      <c r="J120" s="164">
        <v>7.5</v>
      </c>
      <c r="K120" s="164">
        <v>2.5</v>
      </c>
      <c r="L120" s="165">
        <f t="shared" si="27"/>
        <v>11.629999999999999</v>
      </c>
      <c r="M120" s="165">
        <f t="shared" si="28"/>
        <v>238.37</v>
      </c>
      <c r="N120" s="27">
        <f>VLOOKUP(E120,'[2]Controle Sompo Risks'!$H:$I,2,0)</f>
        <v>1400000288</v>
      </c>
      <c r="O120" s="26" t="e">
        <f>VLOOKUP(N120,[3]Sheet1!$D$2:$E$40,2,0)</f>
        <v>#N/A</v>
      </c>
      <c r="P120" s="105" t="s">
        <v>54</v>
      </c>
      <c r="Q120" s="107" t="s">
        <v>34</v>
      </c>
      <c r="R120" s="168">
        <v>1005618488</v>
      </c>
      <c r="S120" s="168" t="s">
        <v>115</v>
      </c>
      <c r="T120" s="174">
        <v>8152302000197</v>
      </c>
      <c r="U120" s="171" t="s">
        <v>36</v>
      </c>
      <c r="V120" s="171">
        <v>11311094</v>
      </c>
    </row>
    <row r="121" spans="1:22" ht="14.1" hidden="1" customHeight="1">
      <c r="A121" s="159" t="s">
        <v>54</v>
      </c>
      <c r="B121" s="160">
        <v>46182</v>
      </c>
      <c r="C121" s="161" t="s">
        <v>33</v>
      </c>
      <c r="D121" s="162">
        <v>364</v>
      </c>
      <c r="E121" s="213">
        <v>1800000781</v>
      </c>
      <c r="F121" s="206">
        <v>966</v>
      </c>
      <c r="G121" s="164">
        <v>0</v>
      </c>
      <c r="H121" s="164">
        <v>14.49</v>
      </c>
      <c r="I121" s="164">
        <v>6.28</v>
      </c>
      <c r="J121" s="164">
        <v>28.98</v>
      </c>
      <c r="K121" s="164">
        <v>9.66</v>
      </c>
      <c r="L121" s="165">
        <f t="shared" si="27"/>
        <v>44.92</v>
      </c>
      <c r="M121" s="165">
        <f t="shared" si="28"/>
        <v>906.59</v>
      </c>
      <c r="N121" s="27">
        <f>VLOOKUP(E121,'[2]Controle Sompo Risks'!$H:$I,2,0)</f>
        <v>1400000705</v>
      </c>
      <c r="O121" s="26" t="e">
        <f>VLOOKUP(N121,[3]Sheet1!$D$2:$E$40,2,0)</f>
        <v>#N/A</v>
      </c>
      <c r="P121" s="105" t="s">
        <v>54</v>
      </c>
      <c r="Q121" s="107" t="s">
        <v>34</v>
      </c>
      <c r="R121" s="168">
        <v>1015741186</v>
      </c>
      <c r="S121" s="168" t="s">
        <v>116</v>
      </c>
      <c r="T121" s="174">
        <v>8208384000225</v>
      </c>
      <c r="U121" s="171" t="s">
        <v>36</v>
      </c>
      <c r="V121" s="171">
        <v>11311094</v>
      </c>
    </row>
    <row r="122" spans="1:22" ht="14.1" hidden="1" customHeight="1">
      <c r="A122" s="159" t="s">
        <v>54</v>
      </c>
      <c r="B122" s="160">
        <v>46182</v>
      </c>
      <c r="C122" s="161" t="s">
        <v>33</v>
      </c>
      <c r="D122" s="162">
        <v>365</v>
      </c>
      <c r="E122" s="213">
        <v>1800000782</v>
      </c>
      <c r="F122" s="206">
        <v>930</v>
      </c>
      <c r="G122" s="164">
        <v>0</v>
      </c>
      <c r="H122" s="164">
        <v>13.95</v>
      </c>
      <c r="I122" s="164">
        <v>6.05</v>
      </c>
      <c r="J122" s="164">
        <v>27.9</v>
      </c>
      <c r="K122" s="164">
        <v>9.3000000000000007</v>
      </c>
      <c r="L122" s="165">
        <f t="shared" si="27"/>
        <v>43.25</v>
      </c>
      <c r="M122" s="165">
        <f t="shared" si="28"/>
        <v>872.80000000000007</v>
      </c>
      <c r="N122" s="27">
        <f>VLOOKUP(E122,'[2]Controle Sompo Risks'!$H:$I,2,0)</f>
        <v>1400000720</v>
      </c>
      <c r="O122" s="26" t="e">
        <f>VLOOKUP(N122,[3]Sheet1!$D$2:$E$40,2,0)</f>
        <v>#N/A</v>
      </c>
      <c r="P122" s="105" t="s">
        <v>54</v>
      </c>
      <c r="Q122" s="107" t="s">
        <v>34</v>
      </c>
      <c r="R122" s="168">
        <v>1019125108</v>
      </c>
      <c r="S122" s="168" t="s">
        <v>117</v>
      </c>
      <c r="T122" s="174">
        <v>8799020000186</v>
      </c>
      <c r="U122" s="171" t="s">
        <v>36</v>
      </c>
      <c r="V122" s="171">
        <v>11311094</v>
      </c>
    </row>
    <row r="123" spans="1:22" ht="14.1" hidden="1" customHeight="1">
      <c r="A123" s="159" t="s">
        <v>54</v>
      </c>
      <c r="B123" s="160">
        <v>46182</v>
      </c>
      <c r="C123" s="161" t="s">
        <v>33</v>
      </c>
      <c r="D123" s="162">
        <v>366</v>
      </c>
      <c r="E123" s="213">
        <v>1800000766</v>
      </c>
      <c r="F123" s="206">
        <v>12398</v>
      </c>
      <c r="G123" s="164">
        <v>0</v>
      </c>
      <c r="H123" s="164">
        <v>185.97</v>
      </c>
      <c r="I123" s="164">
        <v>80.59</v>
      </c>
      <c r="J123" s="164">
        <v>371.94</v>
      </c>
      <c r="K123" s="164">
        <v>123.98</v>
      </c>
      <c r="L123" s="165">
        <f t="shared" si="27"/>
        <v>576.51</v>
      </c>
      <c r="M123" s="165">
        <f t="shared" si="28"/>
        <v>11635.52</v>
      </c>
      <c r="N123" s="27">
        <f>VLOOKUP(E123,'[2]Controle Sompo Risks'!$H:$I,2,0)</f>
        <v>1400000721</v>
      </c>
      <c r="O123" s="26" t="e">
        <f>VLOOKUP(N123,[3]Sheet1!$D$2:$E$40,2,0)</f>
        <v>#N/A</v>
      </c>
      <c r="P123" s="105" t="s">
        <v>54</v>
      </c>
      <c r="Q123" s="107" t="s">
        <v>34</v>
      </c>
      <c r="R123" s="168">
        <v>1001187614</v>
      </c>
      <c r="S123" s="168" t="s">
        <v>75</v>
      </c>
      <c r="T123" s="174">
        <v>9395767000131</v>
      </c>
      <c r="U123" s="171" t="s">
        <v>36</v>
      </c>
      <c r="V123" s="171">
        <v>11311094</v>
      </c>
    </row>
    <row r="124" spans="1:22" ht="14.1" hidden="1" customHeight="1">
      <c r="A124" s="159" t="s">
        <v>54</v>
      </c>
      <c r="B124" s="160">
        <v>46182</v>
      </c>
      <c r="C124" s="161" t="s">
        <v>33</v>
      </c>
      <c r="D124" s="162">
        <v>367</v>
      </c>
      <c r="E124" s="213">
        <v>1800000795</v>
      </c>
      <c r="F124" s="206">
        <v>250</v>
      </c>
      <c r="G124" s="164">
        <v>0</v>
      </c>
      <c r="H124" s="164">
        <v>0</v>
      </c>
      <c r="I124" s="164">
        <v>1.63</v>
      </c>
      <c r="J124" s="164">
        <v>7.5</v>
      </c>
      <c r="K124" s="164">
        <v>2.5</v>
      </c>
      <c r="L124" s="165">
        <f t="shared" si="27"/>
        <v>11.629999999999999</v>
      </c>
      <c r="M124" s="165">
        <f t="shared" si="28"/>
        <v>238.37</v>
      </c>
      <c r="N124" s="27">
        <f>VLOOKUP(E124,'[2]Controle Sompo Risks'!$H:$I,2,0)</f>
        <v>1400000692</v>
      </c>
      <c r="O124" s="26" t="e">
        <f>VLOOKUP(N124,[3]Sheet1!$D$2:$E$40,2,0)</f>
        <v>#N/A</v>
      </c>
      <c r="P124" s="105" t="s">
        <v>54</v>
      </c>
      <c r="Q124" s="107" t="s">
        <v>34</v>
      </c>
      <c r="R124" s="168">
        <v>1018225255</v>
      </c>
      <c r="S124" s="168" t="s">
        <v>118</v>
      </c>
      <c r="T124" s="174">
        <v>13187864000106</v>
      </c>
      <c r="U124" s="171" t="s">
        <v>36</v>
      </c>
      <c r="V124" s="171">
        <v>11311094</v>
      </c>
    </row>
    <row r="125" spans="1:22" ht="14.1" hidden="1" customHeight="1">
      <c r="A125" s="159" t="s">
        <v>54</v>
      </c>
      <c r="B125" s="160">
        <v>46182</v>
      </c>
      <c r="C125" s="161" t="s">
        <v>33</v>
      </c>
      <c r="D125" s="162">
        <v>368</v>
      </c>
      <c r="E125" s="213">
        <v>1800000810</v>
      </c>
      <c r="F125" s="206">
        <v>2151</v>
      </c>
      <c r="G125" s="164">
        <v>0</v>
      </c>
      <c r="H125" s="164">
        <v>32.270000000000003</v>
      </c>
      <c r="I125" s="164">
        <v>13.98</v>
      </c>
      <c r="J125" s="164">
        <v>64.53</v>
      </c>
      <c r="K125" s="164">
        <v>21.51</v>
      </c>
      <c r="L125" s="165">
        <f t="shared" si="27"/>
        <v>100.02000000000001</v>
      </c>
      <c r="M125" s="165">
        <f t="shared" si="28"/>
        <v>2018.71</v>
      </c>
      <c r="N125" s="27">
        <f>VLOOKUP(E125,'[2]Controle Sompo Risks'!$H:$I,2,0)</f>
        <v>1400000693</v>
      </c>
      <c r="O125" s="26" t="e">
        <f>VLOOKUP(N125,[3]Sheet1!$D$2:$E$40,2,0)</f>
        <v>#N/A</v>
      </c>
      <c r="P125" s="105" t="s">
        <v>54</v>
      </c>
      <c r="Q125" s="107" t="s">
        <v>34</v>
      </c>
      <c r="R125" s="168">
        <v>1016411263</v>
      </c>
      <c r="S125" s="168" t="s">
        <v>99</v>
      </c>
      <c r="T125" s="174">
        <v>13214075000117</v>
      </c>
      <c r="U125" s="171" t="s">
        <v>36</v>
      </c>
      <c r="V125" s="171">
        <v>11311094</v>
      </c>
    </row>
    <row r="126" spans="1:22" ht="14.1" hidden="1" customHeight="1">
      <c r="A126" s="159" t="s">
        <v>54</v>
      </c>
      <c r="B126" s="160">
        <v>46182</v>
      </c>
      <c r="C126" s="161" t="s">
        <v>33</v>
      </c>
      <c r="D126" s="162">
        <v>369</v>
      </c>
      <c r="E126" s="213">
        <v>1800000796</v>
      </c>
      <c r="F126" s="206">
        <v>542.5</v>
      </c>
      <c r="G126" s="164">
        <v>0</v>
      </c>
      <c r="H126" s="164">
        <v>0</v>
      </c>
      <c r="I126" s="164">
        <v>3.53</v>
      </c>
      <c r="J126" s="164">
        <v>16.28</v>
      </c>
      <c r="K126" s="164">
        <v>5.43</v>
      </c>
      <c r="L126" s="165">
        <f t="shared" si="27"/>
        <v>25.240000000000002</v>
      </c>
      <c r="M126" s="165">
        <f t="shared" si="28"/>
        <v>517.2600000000001</v>
      </c>
      <c r="N126" s="27">
        <f>VLOOKUP(E126,'[2]Controle Sompo Risks'!$H:$I,2,0)</f>
        <v>1400000694</v>
      </c>
      <c r="O126" s="26" t="e">
        <f>VLOOKUP(N126,[3]Sheet1!$D$2:$E$40,2,0)</f>
        <v>#N/A</v>
      </c>
      <c r="P126" s="105" t="s">
        <v>54</v>
      </c>
      <c r="Q126" s="107" t="s">
        <v>34</v>
      </c>
      <c r="R126" s="168">
        <v>1007834227</v>
      </c>
      <c r="S126" s="168" t="s">
        <v>40</v>
      </c>
      <c r="T126" s="174">
        <v>14457026000178</v>
      </c>
      <c r="U126" s="171" t="s">
        <v>36</v>
      </c>
      <c r="V126" s="171">
        <v>11311094</v>
      </c>
    </row>
    <row r="127" spans="1:22" ht="14.1" hidden="1" customHeight="1">
      <c r="A127" s="159" t="s">
        <v>54</v>
      </c>
      <c r="B127" s="160">
        <v>46182</v>
      </c>
      <c r="C127" s="161" t="s">
        <v>33</v>
      </c>
      <c r="D127" s="162">
        <v>370</v>
      </c>
      <c r="E127" s="213">
        <v>1800000811</v>
      </c>
      <c r="F127" s="206">
        <v>250</v>
      </c>
      <c r="G127" s="164">
        <v>0</v>
      </c>
      <c r="H127" s="164">
        <v>0</v>
      </c>
      <c r="I127" s="164">
        <v>1.63</v>
      </c>
      <c r="J127" s="164">
        <v>7.5</v>
      </c>
      <c r="K127" s="164">
        <v>2.5</v>
      </c>
      <c r="L127" s="165">
        <f t="shared" si="27"/>
        <v>11.629999999999999</v>
      </c>
      <c r="M127" s="165">
        <f t="shared" si="28"/>
        <v>238.37</v>
      </c>
      <c r="N127" s="128"/>
      <c r="O127" s="29" t="s">
        <v>48</v>
      </c>
      <c r="P127" s="121"/>
      <c r="Q127" s="107" t="s">
        <v>34</v>
      </c>
      <c r="R127" s="168">
        <v>1008761672</v>
      </c>
      <c r="S127" s="168" t="s">
        <v>96</v>
      </c>
      <c r="T127" s="174">
        <v>18408486000167</v>
      </c>
      <c r="U127" s="171" t="s">
        <v>73</v>
      </c>
      <c r="V127" s="171">
        <v>11311094</v>
      </c>
    </row>
    <row r="128" spans="1:22" ht="14.1" hidden="1" customHeight="1">
      <c r="A128" s="159" t="s">
        <v>54</v>
      </c>
      <c r="B128" s="160">
        <v>46182</v>
      </c>
      <c r="C128" s="161" t="s">
        <v>33</v>
      </c>
      <c r="D128" s="162">
        <v>371</v>
      </c>
      <c r="E128" s="213">
        <v>1800000783</v>
      </c>
      <c r="F128" s="206">
        <v>1299</v>
      </c>
      <c r="G128" s="164">
        <v>0</v>
      </c>
      <c r="H128" s="164">
        <v>19.489999999999998</v>
      </c>
      <c r="I128" s="164">
        <v>8.44</v>
      </c>
      <c r="J128" s="164">
        <v>38.97</v>
      </c>
      <c r="K128" s="164">
        <v>12.99</v>
      </c>
      <c r="L128" s="165">
        <f t="shared" si="27"/>
        <v>60.4</v>
      </c>
      <c r="M128" s="165">
        <f t="shared" si="28"/>
        <v>1219.1099999999999</v>
      </c>
      <c r="N128" s="27">
        <f>VLOOKUP(E128,'[2]Controle Sompo Risks'!$H:$I,2,0)</f>
        <v>1400000695</v>
      </c>
      <c r="O128" s="26" t="e">
        <f>VLOOKUP(N128,[3]Sheet1!$D$2:$E$40,2,0)</f>
        <v>#N/A</v>
      </c>
      <c r="P128" s="105" t="s">
        <v>54</v>
      </c>
      <c r="Q128" s="107" t="s">
        <v>34</v>
      </c>
      <c r="R128" s="168">
        <v>1013068932</v>
      </c>
      <c r="S128" s="168" t="s">
        <v>119</v>
      </c>
      <c r="T128" s="174">
        <v>27562235000123</v>
      </c>
      <c r="U128" s="171" t="s">
        <v>36</v>
      </c>
      <c r="V128" s="171">
        <v>11311094</v>
      </c>
    </row>
    <row r="129" spans="1:22" ht="14.1" hidden="1" customHeight="1">
      <c r="A129" s="159" t="s">
        <v>54</v>
      </c>
      <c r="B129" s="160">
        <v>46182</v>
      </c>
      <c r="C129" s="161" t="s">
        <v>33</v>
      </c>
      <c r="D129" s="162">
        <v>372</v>
      </c>
      <c r="E129" s="213">
        <v>1800000825</v>
      </c>
      <c r="F129" s="206">
        <v>1434</v>
      </c>
      <c r="G129" s="164">
        <v>0</v>
      </c>
      <c r="H129" s="164">
        <v>21.51</v>
      </c>
      <c r="I129" s="164">
        <v>9.32</v>
      </c>
      <c r="J129" s="164">
        <v>43.02</v>
      </c>
      <c r="K129" s="164">
        <v>14.34</v>
      </c>
      <c r="L129" s="165">
        <f t="shared" si="27"/>
        <v>66.680000000000007</v>
      </c>
      <c r="M129" s="165">
        <f t="shared" si="28"/>
        <v>1345.8100000000002</v>
      </c>
      <c r="N129" s="27">
        <f>VLOOKUP(E129,'[2]Controle Sompo Risks'!$H:$I,2,0)</f>
        <v>1400000696</v>
      </c>
      <c r="O129" s="26" t="e">
        <f>VLOOKUP(N129,[3]Sheet1!$D$2:$E$40,2,0)</f>
        <v>#N/A</v>
      </c>
      <c r="P129" s="105" t="s">
        <v>54</v>
      </c>
      <c r="Q129" s="107" t="s">
        <v>34</v>
      </c>
      <c r="R129" s="168">
        <v>1018585294</v>
      </c>
      <c r="S129" s="168" t="s">
        <v>120</v>
      </c>
      <c r="T129" s="174">
        <v>29260142000170</v>
      </c>
      <c r="U129" s="171" t="s">
        <v>36</v>
      </c>
      <c r="V129" s="171">
        <v>11311094</v>
      </c>
    </row>
    <row r="130" spans="1:22" ht="14.1" hidden="1" customHeight="1">
      <c r="A130" s="159" t="s">
        <v>54</v>
      </c>
      <c r="B130" s="160">
        <v>46182</v>
      </c>
      <c r="C130" s="161" t="s">
        <v>33</v>
      </c>
      <c r="D130" s="162">
        <v>373</v>
      </c>
      <c r="E130" s="213">
        <v>1800000228</v>
      </c>
      <c r="F130" s="206">
        <v>5313</v>
      </c>
      <c r="G130" s="164">
        <v>0</v>
      </c>
      <c r="H130" s="164">
        <v>79.7</v>
      </c>
      <c r="I130" s="164">
        <v>34.53</v>
      </c>
      <c r="J130" s="164">
        <v>159.38999999999999</v>
      </c>
      <c r="K130" s="164">
        <v>53.13</v>
      </c>
      <c r="L130" s="165">
        <f t="shared" si="27"/>
        <v>247.04999999999998</v>
      </c>
      <c r="M130" s="165">
        <f t="shared" si="28"/>
        <v>4986.25</v>
      </c>
      <c r="N130" s="27">
        <f>VLOOKUP(E130,'[2]Controle Sompo Risks'!$H:$I,2,0)</f>
        <v>1400000706</v>
      </c>
      <c r="O130" s="26" t="e">
        <f>VLOOKUP(N130,[3]Sheet1!$D$2:$E$40,2,0)</f>
        <v>#N/A</v>
      </c>
      <c r="P130" s="105" t="s">
        <v>54</v>
      </c>
      <c r="Q130" s="107" t="s">
        <v>34</v>
      </c>
      <c r="R130" s="168">
        <v>1016704774</v>
      </c>
      <c r="S130" s="168" t="s">
        <v>80</v>
      </c>
      <c r="T130" s="174">
        <v>29543880000124</v>
      </c>
      <c r="U130" s="171" t="s">
        <v>36</v>
      </c>
      <c r="V130" s="171">
        <v>11311094</v>
      </c>
    </row>
    <row r="131" spans="1:22" ht="14.1" hidden="1" customHeight="1">
      <c r="A131" s="159" t="s">
        <v>54</v>
      </c>
      <c r="B131" s="160">
        <v>46182</v>
      </c>
      <c r="C131" s="161" t="s">
        <v>33</v>
      </c>
      <c r="D131" s="162">
        <v>374</v>
      </c>
      <c r="E131" s="213">
        <v>1800000840</v>
      </c>
      <c r="F131" s="206">
        <v>3402</v>
      </c>
      <c r="G131" s="164">
        <v>0</v>
      </c>
      <c r="H131" s="164">
        <v>51.03</v>
      </c>
      <c r="I131" s="164">
        <v>22.11</v>
      </c>
      <c r="J131" s="164">
        <v>102.06</v>
      </c>
      <c r="K131" s="164">
        <v>34.020000000000003</v>
      </c>
      <c r="L131" s="165">
        <f t="shared" si="27"/>
        <v>158.19</v>
      </c>
      <c r="M131" s="165">
        <f t="shared" si="28"/>
        <v>3192.7799999999997</v>
      </c>
      <c r="N131" s="27">
        <f>VLOOKUP(E131,'[2]Controle Sompo Risks'!$H:$I,2,0)</f>
        <v>1400000707</v>
      </c>
      <c r="O131" s="26" t="e">
        <f>VLOOKUP(N131,[3]Sheet1!$D$2:$E$40,2,0)</f>
        <v>#N/A</v>
      </c>
      <c r="P131" s="105" t="s">
        <v>54</v>
      </c>
      <c r="Q131" s="107" t="s">
        <v>34</v>
      </c>
      <c r="R131" s="168">
        <v>1018930138</v>
      </c>
      <c r="S131" s="168" t="s">
        <v>81</v>
      </c>
      <c r="T131" s="174">
        <v>30034695000193</v>
      </c>
      <c r="U131" s="171" t="s">
        <v>36</v>
      </c>
      <c r="V131" s="171">
        <v>11311094</v>
      </c>
    </row>
    <row r="132" spans="1:22" ht="14.1" hidden="1" customHeight="1">
      <c r="A132" s="159" t="s">
        <v>54</v>
      </c>
      <c r="B132" s="160">
        <v>46182</v>
      </c>
      <c r="C132" s="161" t="s">
        <v>33</v>
      </c>
      <c r="D132" s="162">
        <v>375</v>
      </c>
      <c r="E132" s="213">
        <v>1800000841</v>
      </c>
      <c r="F132" s="206">
        <v>6735.5</v>
      </c>
      <c r="G132" s="164">
        <v>0</v>
      </c>
      <c r="H132" s="164">
        <v>101.03</v>
      </c>
      <c r="I132" s="164">
        <v>43.78</v>
      </c>
      <c r="J132" s="164">
        <v>202.07</v>
      </c>
      <c r="K132" s="164">
        <v>67.36</v>
      </c>
      <c r="L132" s="165">
        <f t="shared" si="27"/>
        <v>313.20999999999998</v>
      </c>
      <c r="M132" s="165">
        <f t="shared" si="28"/>
        <v>6321.2600000000011</v>
      </c>
      <c r="N132" s="27">
        <f>VLOOKUP(E132,'[2]Controle Sompo Risks'!$H:$I,2,0)</f>
        <v>1400000722</v>
      </c>
      <c r="O132" s="26" t="e">
        <f>VLOOKUP(N132,[3]Sheet1!$D$2:$E$40,2,0)</f>
        <v>#N/A</v>
      </c>
      <c r="P132" s="105" t="s">
        <v>54</v>
      </c>
      <c r="Q132" s="107" t="s">
        <v>34</v>
      </c>
      <c r="R132" s="168">
        <v>1018120652</v>
      </c>
      <c r="S132" s="168" t="s">
        <v>82</v>
      </c>
      <c r="T132" s="174">
        <v>30341404000100</v>
      </c>
      <c r="U132" s="171" t="s">
        <v>36</v>
      </c>
      <c r="V132" s="171">
        <v>11311094</v>
      </c>
    </row>
    <row r="133" spans="1:22" ht="14.1" hidden="1" customHeight="1">
      <c r="A133" s="159" t="s">
        <v>54</v>
      </c>
      <c r="B133" s="160">
        <v>46182</v>
      </c>
      <c r="C133" s="161" t="s">
        <v>33</v>
      </c>
      <c r="D133" s="162">
        <v>376</v>
      </c>
      <c r="E133" s="213">
        <v>1800000826</v>
      </c>
      <c r="F133" s="206">
        <v>264</v>
      </c>
      <c r="G133" s="164">
        <v>0</v>
      </c>
      <c r="H133" s="164">
        <v>0</v>
      </c>
      <c r="I133" s="164">
        <v>1.72</v>
      </c>
      <c r="J133" s="164">
        <v>7.92</v>
      </c>
      <c r="K133" s="164">
        <v>2.64</v>
      </c>
      <c r="L133" s="165">
        <f t="shared" si="27"/>
        <v>12.280000000000001</v>
      </c>
      <c r="M133" s="165">
        <f t="shared" si="28"/>
        <v>251.72</v>
      </c>
      <c r="N133" s="27">
        <f>VLOOKUP(E133,'[2]Controle Sompo Risks'!$H:$I,2,0)</f>
        <v>1400000708</v>
      </c>
      <c r="O133" s="26" t="e">
        <f>VLOOKUP(N133,[3]Sheet1!$D$2:$E$40,2,0)</f>
        <v>#N/A</v>
      </c>
      <c r="P133" s="105" t="s">
        <v>54</v>
      </c>
      <c r="Q133" s="107" t="s">
        <v>34</v>
      </c>
      <c r="R133" s="168">
        <v>1014634217</v>
      </c>
      <c r="S133" s="168" t="s">
        <v>121</v>
      </c>
      <c r="T133" s="174">
        <v>30416371000110</v>
      </c>
      <c r="U133" s="171" t="s">
        <v>36</v>
      </c>
      <c r="V133" s="171">
        <v>11311094</v>
      </c>
    </row>
    <row r="134" spans="1:22" ht="14.1" hidden="1" customHeight="1">
      <c r="A134" s="159" t="s">
        <v>54</v>
      </c>
      <c r="B134" s="160">
        <v>46182</v>
      </c>
      <c r="C134" s="161" t="s">
        <v>33</v>
      </c>
      <c r="D134" s="162">
        <v>377</v>
      </c>
      <c r="E134" s="213">
        <v>1800000752</v>
      </c>
      <c r="F134" s="206">
        <v>5974</v>
      </c>
      <c r="G134" s="164">
        <v>0</v>
      </c>
      <c r="H134" s="164">
        <v>89.61</v>
      </c>
      <c r="I134" s="164">
        <v>38.83</v>
      </c>
      <c r="J134" s="164">
        <v>179.22</v>
      </c>
      <c r="K134" s="164">
        <v>59.74</v>
      </c>
      <c r="L134" s="165">
        <f t="shared" si="27"/>
        <v>277.79000000000002</v>
      </c>
      <c r="M134" s="165">
        <f t="shared" si="28"/>
        <v>5606.6</v>
      </c>
      <c r="N134" s="27">
        <f>VLOOKUP(E134,'[2]Controle Sompo Risks'!$H:$I,2,0)</f>
        <v>1400000709</v>
      </c>
      <c r="O134" s="26" t="e">
        <f>VLOOKUP(N134,[3]Sheet1!$D$2:$E$40,2,0)</f>
        <v>#N/A</v>
      </c>
      <c r="P134" s="105" t="s">
        <v>54</v>
      </c>
      <c r="Q134" s="107" t="s">
        <v>34</v>
      </c>
      <c r="R134" s="168">
        <v>1019215124</v>
      </c>
      <c r="S134" s="168" t="s">
        <v>83</v>
      </c>
      <c r="T134" s="174">
        <v>31554105000116</v>
      </c>
      <c r="U134" s="171" t="s">
        <v>36</v>
      </c>
      <c r="V134" s="171">
        <v>11311094</v>
      </c>
    </row>
    <row r="135" spans="1:22" ht="14.1" hidden="1" customHeight="1">
      <c r="A135" s="159" t="s">
        <v>54</v>
      </c>
      <c r="B135" s="160">
        <v>46182</v>
      </c>
      <c r="C135" s="161" t="s">
        <v>33</v>
      </c>
      <c r="D135" s="162">
        <v>378</v>
      </c>
      <c r="E135" s="213">
        <v>1800000842</v>
      </c>
      <c r="F135" s="206">
        <v>4594.5</v>
      </c>
      <c r="G135" s="164">
        <v>0</v>
      </c>
      <c r="H135" s="164">
        <v>68.92</v>
      </c>
      <c r="I135" s="164">
        <v>29.86</v>
      </c>
      <c r="J135" s="164">
        <v>137.84</v>
      </c>
      <c r="K135" s="164">
        <v>45.95</v>
      </c>
      <c r="L135" s="165">
        <f t="shared" si="27"/>
        <v>213.64999999999998</v>
      </c>
      <c r="M135" s="165">
        <f t="shared" si="28"/>
        <v>4311.93</v>
      </c>
      <c r="N135" s="27">
        <f>VLOOKUP(E135,'[2]Controle Sompo Risks'!$H:$I,2,0)</f>
        <v>1400000710</v>
      </c>
      <c r="O135" s="26" t="e">
        <f>VLOOKUP(N135,[3]Sheet1!$D$2:$E$40,2,0)</f>
        <v>#N/A</v>
      </c>
      <c r="P135" s="105" t="s">
        <v>54</v>
      </c>
      <c r="Q135" s="107" t="s">
        <v>34</v>
      </c>
      <c r="R135" s="168">
        <v>1008259405</v>
      </c>
      <c r="S135" s="168" t="s">
        <v>122</v>
      </c>
      <c r="T135" s="174">
        <v>28759933000186</v>
      </c>
      <c r="U135" s="171" t="s">
        <v>36</v>
      </c>
      <c r="V135" s="171">
        <v>11311094</v>
      </c>
    </row>
    <row r="136" spans="1:22" ht="14.1" hidden="1" customHeight="1">
      <c r="A136" s="159" t="s">
        <v>54</v>
      </c>
      <c r="B136" s="160">
        <v>46182</v>
      </c>
      <c r="C136" s="161" t="s">
        <v>33</v>
      </c>
      <c r="D136" s="162">
        <v>379</v>
      </c>
      <c r="E136" s="213">
        <v>1800000753</v>
      </c>
      <c r="F136" s="206">
        <v>250</v>
      </c>
      <c r="G136" s="164">
        <v>0</v>
      </c>
      <c r="H136" s="164">
        <v>0</v>
      </c>
      <c r="I136" s="164">
        <v>1.63</v>
      </c>
      <c r="J136" s="164">
        <v>7.5</v>
      </c>
      <c r="K136" s="164">
        <v>2.5</v>
      </c>
      <c r="L136" s="165">
        <f t="shared" si="27"/>
        <v>11.629999999999999</v>
      </c>
      <c r="M136" s="165">
        <f t="shared" si="28"/>
        <v>238.37</v>
      </c>
      <c r="N136" s="128"/>
      <c r="O136" s="29" t="s">
        <v>48</v>
      </c>
      <c r="P136" s="121"/>
      <c r="Q136" s="107" t="s">
        <v>34</v>
      </c>
      <c r="R136" s="168">
        <v>1015720944</v>
      </c>
      <c r="S136" s="168" t="s">
        <v>123</v>
      </c>
      <c r="T136" s="174">
        <v>31648443000117</v>
      </c>
      <c r="U136" s="171" t="s">
        <v>36</v>
      </c>
      <c r="V136" s="171">
        <v>11311094</v>
      </c>
    </row>
    <row r="137" spans="1:22" ht="14.1" hidden="1" customHeight="1">
      <c r="A137" s="159" t="s">
        <v>54</v>
      </c>
      <c r="B137" s="160">
        <v>46182</v>
      </c>
      <c r="C137" s="161" t="s">
        <v>33</v>
      </c>
      <c r="D137" s="162">
        <v>380</v>
      </c>
      <c r="E137" s="213">
        <v>1800000767</v>
      </c>
      <c r="F137" s="206">
        <v>3390.5</v>
      </c>
      <c r="G137" s="164">
        <v>0</v>
      </c>
      <c r="H137" s="164">
        <v>50.86</v>
      </c>
      <c r="I137" s="164">
        <v>22.04</v>
      </c>
      <c r="J137" s="164">
        <v>101.72</v>
      </c>
      <c r="K137" s="164">
        <v>33.909999999999997</v>
      </c>
      <c r="L137" s="165">
        <f t="shared" si="27"/>
        <v>157.66999999999999</v>
      </c>
      <c r="M137" s="165">
        <f t="shared" si="28"/>
        <v>3181.9700000000003</v>
      </c>
      <c r="N137" s="128"/>
      <c r="O137" s="29" t="s">
        <v>48</v>
      </c>
      <c r="P137" s="121"/>
      <c r="Q137" s="107" t="s">
        <v>34</v>
      </c>
      <c r="R137" s="168">
        <v>1018075263</v>
      </c>
      <c r="S137" s="168" t="s">
        <v>49</v>
      </c>
      <c r="T137" s="174">
        <v>58578490000198</v>
      </c>
      <c r="U137" s="171" t="s">
        <v>36</v>
      </c>
      <c r="V137" s="171">
        <v>11311094</v>
      </c>
    </row>
    <row r="138" spans="1:22" ht="14.1" hidden="1" customHeight="1">
      <c r="A138" s="159" t="s">
        <v>54</v>
      </c>
      <c r="B138" s="160">
        <v>46182</v>
      </c>
      <c r="C138" s="161" t="s">
        <v>33</v>
      </c>
      <c r="D138" s="162">
        <v>381</v>
      </c>
      <c r="E138" s="213">
        <v>1800000797</v>
      </c>
      <c r="F138" s="206">
        <v>250</v>
      </c>
      <c r="G138" s="164">
        <v>0</v>
      </c>
      <c r="H138" s="164">
        <v>0</v>
      </c>
      <c r="I138" s="164">
        <v>1.63</v>
      </c>
      <c r="J138" s="164">
        <v>7.5</v>
      </c>
      <c r="K138" s="164">
        <v>2.5</v>
      </c>
      <c r="L138" s="165">
        <f t="shared" si="27"/>
        <v>11.629999999999999</v>
      </c>
      <c r="M138" s="165">
        <f t="shared" si="28"/>
        <v>238.37</v>
      </c>
      <c r="N138" s="27">
        <f>VLOOKUP(E138,'[2]Controle Sompo Risks'!$H:$I,2,0)</f>
        <v>1400000711</v>
      </c>
      <c r="O138" s="26" t="e">
        <f>VLOOKUP(N138,[3]Sheet1!$D$2:$E$40,2,0)</f>
        <v>#N/A</v>
      </c>
      <c r="P138" s="105" t="s">
        <v>54</v>
      </c>
      <c r="Q138" s="107" t="s">
        <v>34</v>
      </c>
      <c r="R138" s="168">
        <v>1018645192</v>
      </c>
      <c r="S138" s="168" t="s">
        <v>124</v>
      </c>
      <c r="T138" s="174">
        <v>32764816000188</v>
      </c>
      <c r="U138" s="171" t="s">
        <v>36</v>
      </c>
      <c r="V138" s="171">
        <v>11311094</v>
      </c>
    </row>
    <row r="139" spans="1:22" ht="14.1" hidden="1" customHeight="1">
      <c r="A139" s="159" t="s">
        <v>54</v>
      </c>
      <c r="B139" s="160">
        <v>46182</v>
      </c>
      <c r="C139" s="161" t="s">
        <v>33</v>
      </c>
      <c r="D139" s="162">
        <v>382</v>
      </c>
      <c r="E139" s="213">
        <v>1800000843</v>
      </c>
      <c r="F139" s="206">
        <v>2856.5</v>
      </c>
      <c r="G139" s="164">
        <v>0</v>
      </c>
      <c r="H139" s="164">
        <v>42.85</v>
      </c>
      <c r="I139" s="164">
        <v>18.57</v>
      </c>
      <c r="J139" s="164">
        <v>85.7</v>
      </c>
      <c r="K139" s="164">
        <v>28.57</v>
      </c>
      <c r="L139" s="165">
        <f t="shared" si="27"/>
        <v>132.84</v>
      </c>
      <c r="M139" s="165">
        <f t="shared" si="28"/>
        <v>2680.81</v>
      </c>
      <c r="N139" s="27">
        <f>VLOOKUP(E139,'[2]Controle Sompo Risks'!$H:$I,2,0)</f>
        <v>1400000167</v>
      </c>
      <c r="O139" s="26" t="e">
        <f>VLOOKUP(N139,[3]Sheet1!$D$2:$E$40,2,0)</f>
        <v>#N/A</v>
      </c>
      <c r="P139" s="105" t="s">
        <v>54</v>
      </c>
      <c r="Q139" s="107" t="s">
        <v>34</v>
      </c>
      <c r="R139" s="168">
        <v>1013232744</v>
      </c>
      <c r="S139" s="168" t="s">
        <v>125</v>
      </c>
      <c r="T139" s="174">
        <v>32951947000174</v>
      </c>
      <c r="U139" s="171" t="s">
        <v>36</v>
      </c>
      <c r="V139" s="171">
        <v>11311094</v>
      </c>
    </row>
    <row r="140" spans="1:22" ht="14.1" hidden="1" customHeight="1">
      <c r="A140" s="159" t="s">
        <v>54</v>
      </c>
      <c r="B140" s="160">
        <v>46182</v>
      </c>
      <c r="C140" s="161" t="s">
        <v>33</v>
      </c>
      <c r="D140" s="162">
        <v>383</v>
      </c>
      <c r="E140" s="213">
        <v>1800000827</v>
      </c>
      <c r="F140" s="206">
        <v>250</v>
      </c>
      <c r="G140" s="164">
        <v>0</v>
      </c>
      <c r="H140" s="164">
        <v>0</v>
      </c>
      <c r="I140" s="164">
        <v>1.63</v>
      </c>
      <c r="J140" s="164">
        <v>7.5</v>
      </c>
      <c r="K140" s="164">
        <v>2.5</v>
      </c>
      <c r="L140" s="165">
        <f t="shared" si="27"/>
        <v>11.629999999999999</v>
      </c>
      <c r="M140" s="165">
        <f t="shared" si="28"/>
        <v>238.37</v>
      </c>
      <c r="N140" s="27">
        <f>VLOOKUP(E140,'[2]Controle Sompo Risks'!$H:$I,2,0)</f>
        <v>1400000712</v>
      </c>
      <c r="O140" s="26" t="e">
        <f>VLOOKUP(N140,[3]Sheet1!$D$2:$E$40,2,0)</f>
        <v>#N/A</v>
      </c>
      <c r="P140" s="105" t="s">
        <v>54</v>
      </c>
      <c r="Q140" s="107" t="s">
        <v>34</v>
      </c>
      <c r="R140" s="168">
        <v>1016506511</v>
      </c>
      <c r="S140" s="168" t="s">
        <v>126</v>
      </c>
      <c r="T140" s="174">
        <v>38345653000185</v>
      </c>
      <c r="U140" s="171" t="s">
        <v>36</v>
      </c>
      <c r="V140" s="171">
        <v>11311094</v>
      </c>
    </row>
    <row r="141" spans="1:22" ht="14.1" hidden="1" customHeight="1">
      <c r="A141" s="159" t="s">
        <v>54</v>
      </c>
      <c r="B141" s="160">
        <v>46182</v>
      </c>
      <c r="C141" s="161" t="s">
        <v>33</v>
      </c>
      <c r="D141" s="162">
        <v>384</v>
      </c>
      <c r="E141" s="213">
        <v>1800000844</v>
      </c>
      <c r="F141" s="206">
        <v>690</v>
      </c>
      <c r="G141" s="164">
        <v>0</v>
      </c>
      <c r="H141" s="164">
        <v>10.35</v>
      </c>
      <c r="I141" s="164">
        <v>4.49</v>
      </c>
      <c r="J141" s="164">
        <v>20.7</v>
      </c>
      <c r="K141" s="164">
        <v>6.9</v>
      </c>
      <c r="L141" s="165">
        <f t="shared" si="27"/>
        <v>32.089999999999996</v>
      </c>
      <c r="M141" s="165">
        <f t="shared" si="28"/>
        <v>647.55999999999995</v>
      </c>
      <c r="N141" s="27">
        <f>VLOOKUP(E141,'[2]Controle Sompo Risks'!$H:$I,2,0)</f>
        <v>1400000697</v>
      </c>
      <c r="O141" s="26" t="e">
        <f>VLOOKUP(N141,[3]Sheet1!$D$2:$E$40,2,0)</f>
        <v>#N/A</v>
      </c>
      <c r="P141" s="105" t="s">
        <v>54</v>
      </c>
      <c r="Q141" s="107" t="s">
        <v>34</v>
      </c>
      <c r="R141" s="168">
        <v>1015739477</v>
      </c>
      <c r="S141" s="168" t="s">
        <v>95</v>
      </c>
      <c r="T141" s="174">
        <v>39857410000199</v>
      </c>
      <c r="U141" s="171" t="s">
        <v>36</v>
      </c>
      <c r="V141" s="171">
        <v>11311094</v>
      </c>
    </row>
    <row r="142" spans="1:22" ht="14.1" hidden="1" customHeight="1">
      <c r="A142" s="159" t="s">
        <v>54</v>
      </c>
      <c r="B142" s="160">
        <v>46182</v>
      </c>
      <c r="C142" s="161" t="s">
        <v>33</v>
      </c>
      <c r="D142" s="162">
        <v>385</v>
      </c>
      <c r="E142" s="213">
        <v>1800000754</v>
      </c>
      <c r="F142" s="206">
        <v>250</v>
      </c>
      <c r="G142" s="164">
        <v>0</v>
      </c>
      <c r="H142" s="164">
        <v>0</v>
      </c>
      <c r="I142" s="164">
        <v>0</v>
      </c>
      <c r="J142" s="164">
        <v>0</v>
      </c>
      <c r="K142" s="164">
        <v>0</v>
      </c>
      <c r="L142" s="165">
        <f t="shared" si="27"/>
        <v>0</v>
      </c>
      <c r="M142" s="165">
        <f t="shared" si="28"/>
        <v>250</v>
      </c>
      <c r="N142" s="128"/>
      <c r="O142" s="29" t="s">
        <v>48</v>
      </c>
      <c r="P142" s="121"/>
      <c r="Q142" s="107" t="s">
        <v>34</v>
      </c>
      <c r="R142" s="168">
        <v>1019080116</v>
      </c>
      <c r="S142" s="168" t="s">
        <v>101</v>
      </c>
      <c r="T142" s="174">
        <v>40969554000116</v>
      </c>
      <c r="U142" s="171" t="s">
        <v>92</v>
      </c>
      <c r="V142" s="171">
        <v>11311094</v>
      </c>
    </row>
    <row r="143" spans="1:22" ht="14.1" hidden="1" customHeight="1">
      <c r="A143" s="159" t="s">
        <v>54</v>
      </c>
      <c r="B143" s="160">
        <v>46182</v>
      </c>
      <c r="C143" s="161" t="s">
        <v>33</v>
      </c>
      <c r="D143" s="162">
        <v>386</v>
      </c>
      <c r="E143" s="213">
        <v>1800000755</v>
      </c>
      <c r="F143" s="206">
        <v>69</v>
      </c>
      <c r="G143" s="164">
        <v>0</v>
      </c>
      <c r="H143" s="164">
        <v>0</v>
      </c>
      <c r="I143" s="164">
        <v>0</v>
      </c>
      <c r="J143" s="164">
        <v>0</v>
      </c>
      <c r="K143" s="164">
        <v>0</v>
      </c>
      <c r="L143" s="165">
        <f t="shared" si="27"/>
        <v>0</v>
      </c>
      <c r="M143" s="165">
        <f t="shared" si="28"/>
        <v>69</v>
      </c>
      <c r="N143" s="27">
        <v>1400000091</v>
      </c>
      <c r="O143" s="26">
        <v>46198</v>
      </c>
      <c r="P143" s="105" t="s">
        <v>54</v>
      </c>
      <c r="Q143" s="107" t="s">
        <v>34</v>
      </c>
      <c r="R143" s="168">
        <v>1017130600</v>
      </c>
      <c r="S143" s="168" t="s">
        <v>127</v>
      </c>
      <c r="T143" s="174">
        <v>41455064000164</v>
      </c>
      <c r="U143" s="171" t="s">
        <v>56</v>
      </c>
      <c r="V143" s="171">
        <v>11311094</v>
      </c>
    </row>
    <row r="144" spans="1:22" ht="14.1" hidden="1" customHeight="1">
      <c r="A144" s="159" t="s">
        <v>54</v>
      </c>
      <c r="B144" s="160">
        <v>46182</v>
      </c>
      <c r="C144" s="161" t="s">
        <v>33</v>
      </c>
      <c r="D144" s="162">
        <v>387</v>
      </c>
      <c r="E144" s="213">
        <v>1800000756</v>
      </c>
      <c r="F144" s="206">
        <v>530.5</v>
      </c>
      <c r="G144" s="164">
        <v>0</v>
      </c>
      <c r="H144" s="164">
        <v>0</v>
      </c>
      <c r="I144" s="164">
        <v>3.45</v>
      </c>
      <c r="J144" s="164">
        <v>15.92</v>
      </c>
      <c r="K144" s="164">
        <v>5.31</v>
      </c>
      <c r="L144" s="165">
        <f t="shared" si="27"/>
        <v>24.68</v>
      </c>
      <c r="M144" s="165">
        <f t="shared" si="28"/>
        <v>505.81999999999994</v>
      </c>
      <c r="N144" s="27">
        <f>VLOOKUP(E144,'[2]Controle Sompo Risks'!$H:$I,2,0)</f>
        <v>1400000735</v>
      </c>
      <c r="O144" s="26" t="e">
        <f>VLOOKUP(N144,[3]Sheet1!$D$2:$E$40,2,0)</f>
        <v>#N/A</v>
      </c>
      <c r="P144" s="105" t="s">
        <v>54</v>
      </c>
      <c r="Q144" s="107" t="s">
        <v>34</v>
      </c>
      <c r="R144" s="168">
        <v>1016771816</v>
      </c>
      <c r="S144" s="168" t="s">
        <v>85</v>
      </c>
      <c r="T144" s="174">
        <v>41607658000143</v>
      </c>
      <c r="U144" s="171" t="s">
        <v>36</v>
      </c>
      <c r="V144" s="171">
        <v>11311094</v>
      </c>
    </row>
    <row r="145" spans="1:22" ht="14.1" hidden="1" customHeight="1">
      <c r="A145" s="159" t="s">
        <v>54</v>
      </c>
      <c r="B145" s="160">
        <v>46182</v>
      </c>
      <c r="C145" s="161" t="s">
        <v>33</v>
      </c>
      <c r="D145" s="162">
        <v>388</v>
      </c>
      <c r="E145" s="213">
        <v>1800000812</v>
      </c>
      <c r="F145" s="206">
        <v>250</v>
      </c>
      <c r="G145" s="164">
        <v>0</v>
      </c>
      <c r="H145" s="164">
        <v>0</v>
      </c>
      <c r="I145" s="164">
        <v>1.63</v>
      </c>
      <c r="J145" s="164">
        <v>7.5</v>
      </c>
      <c r="K145" s="164">
        <v>2.5</v>
      </c>
      <c r="L145" s="165">
        <f t="shared" si="27"/>
        <v>11.629999999999999</v>
      </c>
      <c r="M145" s="165">
        <f t="shared" si="28"/>
        <v>238.37</v>
      </c>
      <c r="N145" s="27">
        <f>VLOOKUP(E145,'[2]Controle Sompo Risks'!$H:$I,2,0)</f>
        <v>1400000698</v>
      </c>
      <c r="O145" s="26" t="e">
        <f>VLOOKUP(N145,[3]Sheet1!$D$2:$E$40,2,0)</f>
        <v>#N/A</v>
      </c>
      <c r="P145" s="105" t="s">
        <v>54</v>
      </c>
      <c r="Q145" s="107" t="s">
        <v>34</v>
      </c>
      <c r="R145" s="168">
        <v>1015241181</v>
      </c>
      <c r="S145" s="168" t="s">
        <v>128</v>
      </c>
      <c r="T145" s="174">
        <v>45586423000173</v>
      </c>
      <c r="U145" s="171" t="s">
        <v>36</v>
      </c>
      <c r="V145" s="171">
        <v>11311094</v>
      </c>
    </row>
    <row r="146" spans="1:22" ht="14.1" hidden="1" customHeight="1">
      <c r="A146" s="159" t="s">
        <v>54</v>
      </c>
      <c r="B146" s="160">
        <v>46182</v>
      </c>
      <c r="C146" s="161" t="s">
        <v>33</v>
      </c>
      <c r="D146" s="162">
        <v>389</v>
      </c>
      <c r="E146" s="213">
        <v>1800000813</v>
      </c>
      <c r="F146" s="206">
        <v>250</v>
      </c>
      <c r="G146" s="164">
        <v>0</v>
      </c>
      <c r="H146" s="164">
        <v>0</v>
      </c>
      <c r="I146" s="164">
        <v>0</v>
      </c>
      <c r="J146" s="164">
        <v>0</v>
      </c>
      <c r="K146" s="164">
        <v>0</v>
      </c>
      <c r="L146" s="165">
        <f t="shared" si="27"/>
        <v>0</v>
      </c>
      <c r="M146" s="165">
        <f t="shared" si="28"/>
        <v>250</v>
      </c>
      <c r="N146" s="128"/>
      <c r="O146" s="29" t="s">
        <v>48</v>
      </c>
      <c r="P146" s="121"/>
      <c r="Q146" s="107" t="s">
        <v>34</v>
      </c>
      <c r="R146" s="168">
        <v>1019230094</v>
      </c>
      <c r="S146" s="168" t="s">
        <v>86</v>
      </c>
      <c r="T146" s="174">
        <v>46923661000190</v>
      </c>
      <c r="U146" s="171" t="s">
        <v>92</v>
      </c>
      <c r="V146" s="171">
        <v>11311094</v>
      </c>
    </row>
    <row r="147" spans="1:22" ht="14.1" hidden="1" customHeight="1">
      <c r="A147" s="159" t="s">
        <v>54</v>
      </c>
      <c r="B147" s="160">
        <v>46182</v>
      </c>
      <c r="C147" s="161" t="s">
        <v>33</v>
      </c>
      <c r="D147" s="162">
        <v>390</v>
      </c>
      <c r="E147" s="213">
        <v>1800000814</v>
      </c>
      <c r="F147" s="206">
        <v>295</v>
      </c>
      <c r="G147" s="164">
        <v>0</v>
      </c>
      <c r="H147" s="164">
        <v>0</v>
      </c>
      <c r="I147" s="164">
        <v>1.92</v>
      </c>
      <c r="J147" s="164">
        <v>8.85</v>
      </c>
      <c r="K147" s="164">
        <v>2.95</v>
      </c>
      <c r="L147" s="165">
        <f t="shared" si="27"/>
        <v>13.719999999999999</v>
      </c>
      <c r="M147" s="165">
        <f t="shared" si="28"/>
        <v>281.27999999999997</v>
      </c>
      <c r="N147" s="27">
        <f>VLOOKUP(E147,'[2]Controle Sompo Risks'!$H:$I,2,0)</f>
        <v>1400000289</v>
      </c>
      <c r="O147" s="26" t="e">
        <f>VLOOKUP(N147,[3]Sheet1!$D$2:$E$40,2,0)</f>
        <v>#N/A</v>
      </c>
      <c r="P147" s="105" t="s">
        <v>54</v>
      </c>
      <c r="Q147" s="107" t="s">
        <v>34</v>
      </c>
      <c r="R147" s="168">
        <v>1005047386</v>
      </c>
      <c r="S147" s="168" t="s">
        <v>129</v>
      </c>
      <c r="T147" s="174">
        <v>47425731000142</v>
      </c>
      <c r="U147" s="171" t="s">
        <v>36</v>
      </c>
      <c r="V147" s="171">
        <v>11311094</v>
      </c>
    </row>
    <row r="148" spans="1:22" ht="14.1" hidden="1" customHeight="1">
      <c r="A148" s="159" t="s">
        <v>54</v>
      </c>
      <c r="B148" s="160">
        <v>46182</v>
      </c>
      <c r="C148" s="161" t="s">
        <v>33</v>
      </c>
      <c r="D148" s="162">
        <v>391</v>
      </c>
      <c r="E148" s="213">
        <v>1800000815</v>
      </c>
      <c r="F148" s="206">
        <v>628</v>
      </c>
      <c r="G148" s="164">
        <v>0</v>
      </c>
      <c r="H148" s="164">
        <v>0</v>
      </c>
      <c r="I148" s="164">
        <v>4.08</v>
      </c>
      <c r="J148" s="164">
        <v>18.84</v>
      </c>
      <c r="K148" s="164">
        <v>6.28</v>
      </c>
      <c r="L148" s="165">
        <f t="shared" si="27"/>
        <v>29.200000000000003</v>
      </c>
      <c r="M148" s="165">
        <f t="shared" si="28"/>
        <v>598.79999999999995</v>
      </c>
      <c r="N148" s="27">
        <f>VLOOKUP(E148,'[2]Controle Sompo Risks'!$H:$I,2,0)</f>
        <v>1400000699</v>
      </c>
      <c r="O148" s="26" t="e">
        <f>VLOOKUP(N148,[3]Sheet1!$D$2:$E$40,2,0)</f>
        <v>#N/A</v>
      </c>
      <c r="P148" s="105" t="s">
        <v>54</v>
      </c>
      <c r="Q148" s="107" t="s">
        <v>34</v>
      </c>
      <c r="R148" s="168">
        <v>1015723163</v>
      </c>
      <c r="S148" s="168" t="s">
        <v>130</v>
      </c>
      <c r="T148" s="174">
        <v>49034984000110</v>
      </c>
      <c r="U148" s="171" t="s">
        <v>36</v>
      </c>
      <c r="V148" s="171">
        <v>11311094</v>
      </c>
    </row>
    <row r="149" spans="1:22" ht="14.1" hidden="1" customHeight="1">
      <c r="A149" s="159" t="s">
        <v>54</v>
      </c>
      <c r="B149" s="160">
        <v>46182</v>
      </c>
      <c r="C149" s="161" t="s">
        <v>33</v>
      </c>
      <c r="D149" s="162">
        <v>392</v>
      </c>
      <c r="E149" s="213">
        <v>1800000816</v>
      </c>
      <c r="F149" s="206">
        <v>250</v>
      </c>
      <c r="G149" s="164">
        <v>0</v>
      </c>
      <c r="H149" s="164">
        <v>0</v>
      </c>
      <c r="I149" s="164">
        <v>1.63</v>
      </c>
      <c r="J149" s="164">
        <v>7.5</v>
      </c>
      <c r="K149" s="164">
        <v>2.5</v>
      </c>
      <c r="L149" s="165">
        <f t="shared" si="27"/>
        <v>11.629999999999999</v>
      </c>
      <c r="M149" s="165">
        <f t="shared" si="28"/>
        <v>238.37</v>
      </c>
      <c r="N149" s="27">
        <f>VLOOKUP(E149,'[2]Controle Sompo Risks'!$H:$I,2,0)</f>
        <v>1400000700</v>
      </c>
      <c r="O149" s="26" t="e">
        <f>VLOOKUP(N149,[3]Sheet1!$D$2:$E$40,2,0)</f>
        <v>#N/A</v>
      </c>
      <c r="P149" s="105" t="s">
        <v>54</v>
      </c>
      <c r="Q149" s="107" t="s">
        <v>34</v>
      </c>
      <c r="R149" s="168">
        <v>1016696369</v>
      </c>
      <c r="S149" s="168" t="s">
        <v>131</v>
      </c>
      <c r="T149" s="174">
        <v>52866579000173</v>
      </c>
      <c r="U149" s="171" t="s">
        <v>36</v>
      </c>
      <c r="V149" s="171">
        <v>11311094</v>
      </c>
    </row>
    <row r="150" spans="1:22" ht="14.1" hidden="1" customHeight="1">
      <c r="A150" s="159" t="s">
        <v>54</v>
      </c>
      <c r="B150" s="160">
        <v>46182</v>
      </c>
      <c r="C150" s="161" t="s">
        <v>33</v>
      </c>
      <c r="D150" s="162">
        <v>393</v>
      </c>
      <c r="E150" s="213">
        <v>1800000798</v>
      </c>
      <c r="F150" s="206">
        <v>442.5</v>
      </c>
      <c r="G150" s="164">
        <v>0</v>
      </c>
      <c r="H150" s="164">
        <v>0</v>
      </c>
      <c r="I150" s="164">
        <v>0</v>
      </c>
      <c r="J150" s="164">
        <v>0</v>
      </c>
      <c r="K150" s="164">
        <v>0</v>
      </c>
      <c r="L150" s="165">
        <f t="shared" si="27"/>
        <v>0</v>
      </c>
      <c r="M150" s="165">
        <f t="shared" si="28"/>
        <v>442.5</v>
      </c>
      <c r="N150" s="27">
        <f>VLOOKUP(E150,'[2]Controle Sompo Risks'!$H:$I,2,0)</f>
        <v>1400000290</v>
      </c>
      <c r="O150" s="26" t="e">
        <f>VLOOKUP(N150,[3]Sheet1!$D$2:$E$40,2,0)</f>
        <v>#N/A</v>
      </c>
      <c r="P150" s="105" t="s">
        <v>54</v>
      </c>
      <c r="Q150" s="107" t="s">
        <v>34</v>
      </c>
      <c r="R150" s="168">
        <v>1017130541</v>
      </c>
      <c r="S150" s="168" t="s">
        <v>98</v>
      </c>
      <c r="T150" s="174">
        <v>53045500000106</v>
      </c>
      <c r="U150" s="171" t="s">
        <v>56</v>
      </c>
      <c r="V150" s="171">
        <v>11311094</v>
      </c>
    </row>
    <row r="151" spans="1:22" ht="14.1" hidden="1" customHeight="1">
      <c r="A151" s="159" t="s">
        <v>54</v>
      </c>
      <c r="B151" s="160">
        <v>46182</v>
      </c>
      <c r="C151" s="161" t="s">
        <v>33</v>
      </c>
      <c r="D151" s="162">
        <v>394</v>
      </c>
      <c r="E151" s="213">
        <v>1800000817</v>
      </c>
      <c r="F151" s="206">
        <v>552</v>
      </c>
      <c r="G151" s="164">
        <v>0</v>
      </c>
      <c r="H151" s="164">
        <v>0</v>
      </c>
      <c r="I151" s="164">
        <v>3.59</v>
      </c>
      <c r="J151" s="164">
        <v>16.559999999999999</v>
      </c>
      <c r="K151" s="164">
        <v>5.52</v>
      </c>
      <c r="L151" s="165">
        <f t="shared" si="27"/>
        <v>25.669999999999998</v>
      </c>
      <c r="M151" s="165">
        <f t="shared" si="28"/>
        <v>526.33000000000004</v>
      </c>
      <c r="N151" s="27">
        <f>VLOOKUP(E151,'[2]Controle Sompo Risks'!$H:$I,2,0)</f>
        <v>1400000713</v>
      </c>
      <c r="O151" s="26" t="e">
        <f>VLOOKUP(N151,[3]Sheet1!$D$2:$E$40,2,0)</f>
        <v>#N/A</v>
      </c>
      <c r="P151" s="105" t="s">
        <v>54</v>
      </c>
      <c r="Q151" s="107" t="s">
        <v>34</v>
      </c>
      <c r="R151" s="168">
        <v>1019275110</v>
      </c>
      <c r="S151" s="168" t="s">
        <v>100</v>
      </c>
      <c r="T151" s="174">
        <v>53170725000194</v>
      </c>
      <c r="U151" s="171" t="s">
        <v>36</v>
      </c>
      <c r="V151" s="171">
        <v>11311094</v>
      </c>
    </row>
    <row r="152" spans="1:22" ht="14.1" hidden="1" customHeight="1">
      <c r="A152" s="159" t="s">
        <v>54</v>
      </c>
      <c r="B152" s="160">
        <v>46182</v>
      </c>
      <c r="C152" s="161" t="s">
        <v>33</v>
      </c>
      <c r="D152" s="162">
        <v>395</v>
      </c>
      <c r="E152" s="213">
        <v>1800000818</v>
      </c>
      <c r="F152" s="206">
        <v>295</v>
      </c>
      <c r="G152" s="164">
        <v>0</v>
      </c>
      <c r="H152" s="164">
        <v>0</v>
      </c>
      <c r="I152" s="164">
        <v>0</v>
      </c>
      <c r="J152" s="164">
        <v>0</v>
      </c>
      <c r="K152" s="164">
        <v>0</v>
      </c>
      <c r="L152" s="165">
        <f t="shared" si="27"/>
        <v>0</v>
      </c>
      <c r="M152" s="165">
        <f t="shared" si="28"/>
        <v>295</v>
      </c>
      <c r="N152" s="27">
        <f>VLOOKUP(E152,'[2]Controle Sompo Risks'!$H:$I,2,0)</f>
        <v>1400000394</v>
      </c>
      <c r="O152" s="26" t="e">
        <f>VLOOKUP(N152,[3]Sheet1!$D$2:$E$40,2,0)</f>
        <v>#N/A</v>
      </c>
      <c r="P152" s="105" t="s">
        <v>54</v>
      </c>
      <c r="Q152" s="107" t="s">
        <v>34</v>
      </c>
      <c r="R152" s="168">
        <v>1018840151</v>
      </c>
      <c r="S152" s="168" t="s">
        <v>102</v>
      </c>
      <c r="T152" s="174">
        <v>55365607000167</v>
      </c>
      <c r="U152" s="171" t="s">
        <v>56</v>
      </c>
      <c r="V152" s="171">
        <v>11311094</v>
      </c>
    </row>
    <row r="153" spans="1:22" ht="14.1" hidden="1" customHeight="1">
      <c r="A153" s="159" t="s">
        <v>54</v>
      </c>
      <c r="B153" s="160">
        <v>46182</v>
      </c>
      <c r="C153" s="161" t="s">
        <v>33</v>
      </c>
      <c r="D153" s="162">
        <v>396</v>
      </c>
      <c r="E153" s="213">
        <v>1800000819</v>
      </c>
      <c r="F153" s="206">
        <v>250</v>
      </c>
      <c r="G153" s="164">
        <v>0</v>
      </c>
      <c r="H153" s="164">
        <v>0</v>
      </c>
      <c r="I153" s="164">
        <v>0</v>
      </c>
      <c r="J153" s="164">
        <v>0</v>
      </c>
      <c r="K153" s="164">
        <v>0</v>
      </c>
      <c r="L153" s="165">
        <f t="shared" si="27"/>
        <v>0</v>
      </c>
      <c r="M153" s="165">
        <f t="shared" si="28"/>
        <v>250</v>
      </c>
      <c r="N153" s="27">
        <f>VLOOKUP(E153,'[2]Controle Sompo Risks'!$H:$I,2,0)</f>
        <v>1400000723</v>
      </c>
      <c r="O153" s="26" t="e">
        <f>VLOOKUP(N153,[3]Sheet1!$D$2:$E$40,2,0)</f>
        <v>#N/A</v>
      </c>
      <c r="P153" s="105" t="s">
        <v>54</v>
      </c>
      <c r="Q153" s="107" t="s">
        <v>34</v>
      </c>
      <c r="R153" s="168">
        <v>1018345066</v>
      </c>
      <c r="S153" s="168" t="s">
        <v>46</v>
      </c>
      <c r="T153" s="174">
        <v>57904437000177</v>
      </c>
      <c r="U153" s="171" t="s">
        <v>56</v>
      </c>
      <c r="V153" s="171">
        <v>11311094</v>
      </c>
    </row>
    <row r="154" spans="1:22" ht="14.1" hidden="1" customHeight="1">
      <c r="A154" s="159" t="s">
        <v>54</v>
      </c>
      <c r="B154" s="160">
        <v>46182</v>
      </c>
      <c r="C154" s="161" t="s">
        <v>33</v>
      </c>
      <c r="D154" s="162">
        <v>397</v>
      </c>
      <c r="E154" s="213">
        <v>1800000820</v>
      </c>
      <c r="F154" s="206">
        <v>3113</v>
      </c>
      <c r="G154" s="164">
        <v>0</v>
      </c>
      <c r="H154" s="164">
        <v>46.7</v>
      </c>
      <c r="I154" s="164">
        <v>20.23</v>
      </c>
      <c r="J154" s="164">
        <v>93.39</v>
      </c>
      <c r="K154" s="164">
        <v>31.13</v>
      </c>
      <c r="L154" s="165">
        <f t="shared" si="27"/>
        <v>144.75</v>
      </c>
      <c r="M154" s="165">
        <f t="shared" si="28"/>
        <v>2921.55</v>
      </c>
      <c r="N154" s="27">
        <f>VLOOKUP(E154,'[2]Controle Sompo Risks'!$H:$I,2,0)</f>
        <v>1400000701</v>
      </c>
      <c r="O154" s="26" t="e">
        <f>VLOOKUP(N154,[3]Sheet1!$D$2:$E$40,2,0)</f>
        <v>#N/A</v>
      </c>
      <c r="P154" s="105" t="s">
        <v>54</v>
      </c>
      <c r="Q154" s="107" t="s">
        <v>34</v>
      </c>
      <c r="R154" s="168">
        <v>1017716043</v>
      </c>
      <c r="S154" s="168" t="s">
        <v>50</v>
      </c>
      <c r="T154" s="174">
        <v>57951895000167</v>
      </c>
      <c r="U154" s="171" t="s">
        <v>36</v>
      </c>
      <c r="V154" s="171">
        <v>11311094</v>
      </c>
    </row>
    <row r="155" spans="1:22" ht="14.1" hidden="1" customHeight="1">
      <c r="A155" s="159" t="s">
        <v>54</v>
      </c>
      <c r="B155" s="160">
        <v>46182</v>
      </c>
      <c r="C155" s="161" t="s">
        <v>33</v>
      </c>
      <c r="D155" s="162">
        <v>398</v>
      </c>
      <c r="E155" s="213">
        <v>1800000768</v>
      </c>
      <c r="F155" s="206">
        <v>9.5</v>
      </c>
      <c r="G155" s="164">
        <v>0</v>
      </c>
      <c r="H155" s="164">
        <v>0</v>
      </c>
      <c r="I155" s="164">
        <v>0</v>
      </c>
      <c r="J155" s="164">
        <v>0</v>
      </c>
      <c r="K155" s="164">
        <v>0</v>
      </c>
      <c r="L155" s="165">
        <f t="shared" si="27"/>
        <v>0</v>
      </c>
      <c r="M155" s="165">
        <f t="shared" si="28"/>
        <v>9.5</v>
      </c>
      <c r="N155" s="128"/>
      <c r="O155" s="29" t="s">
        <v>48</v>
      </c>
      <c r="P155" s="121"/>
      <c r="Q155" s="107" t="s">
        <v>34</v>
      </c>
      <c r="R155" s="168">
        <v>1019380203</v>
      </c>
      <c r="S155" s="168" t="s">
        <v>132</v>
      </c>
      <c r="T155" s="174">
        <v>58285892000102</v>
      </c>
      <c r="U155" s="171" t="s">
        <v>36</v>
      </c>
      <c r="V155" s="171">
        <v>11311094</v>
      </c>
    </row>
    <row r="156" spans="1:22" ht="14.1" hidden="1" customHeight="1">
      <c r="A156" s="159" t="s">
        <v>54</v>
      </c>
      <c r="B156" s="160">
        <v>46182</v>
      </c>
      <c r="C156" s="161" t="s">
        <v>33</v>
      </c>
      <c r="D156" s="162">
        <v>399</v>
      </c>
      <c r="E156" s="213">
        <v>1800000757</v>
      </c>
      <c r="F156" s="206">
        <v>250</v>
      </c>
      <c r="G156" s="164">
        <v>0</v>
      </c>
      <c r="H156" s="164">
        <v>0</v>
      </c>
      <c r="I156" s="164">
        <v>1.63</v>
      </c>
      <c r="J156" s="164">
        <v>7.5</v>
      </c>
      <c r="K156" s="164">
        <v>2.5</v>
      </c>
      <c r="L156" s="165">
        <f t="shared" si="27"/>
        <v>11.629999999999999</v>
      </c>
      <c r="M156" s="165">
        <f t="shared" si="28"/>
        <v>238.37</v>
      </c>
      <c r="N156" s="128"/>
      <c r="O156" s="29" t="s">
        <v>48</v>
      </c>
      <c r="P156" s="121"/>
      <c r="Q156" s="107" t="s">
        <v>34</v>
      </c>
      <c r="R156" s="168">
        <v>1019200174</v>
      </c>
      <c r="S156" s="168" t="s">
        <v>71</v>
      </c>
      <c r="T156" s="174">
        <v>32817557000106</v>
      </c>
      <c r="U156" s="171" t="s">
        <v>36</v>
      </c>
      <c r="V156" s="171">
        <v>11311094</v>
      </c>
    </row>
    <row r="157" spans="1:22" ht="14.1" hidden="1" customHeight="1">
      <c r="A157" s="159" t="s">
        <v>54</v>
      </c>
      <c r="B157" s="160">
        <v>46196</v>
      </c>
      <c r="C157" s="161" t="s">
        <v>33</v>
      </c>
      <c r="D157" s="162">
        <v>400</v>
      </c>
      <c r="E157" s="162">
        <v>1800000855</v>
      </c>
      <c r="F157" s="206">
        <v>7391.75</v>
      </c>
      <c r="G157" s="164">
        <v>0</v>
      </c>
      <c r="H157" s="164">
        <f>ROUND(F157*1.5%,2)</f>
        <v>110.88</v>
      </c>
      <c r="I157" s="164">
        <f>F157*1%</f>
        <v>73.917500000000004</v>
      </c>
      <c r="J157" s="164">
        <f>ROUND(F157*3%,2)</f>
        <v>221.75</v>
      </c>
      <c r="K157" s="164">
        <f>ROUND(F157*0.65%,2)</f>
        <v>48.05</v>
      </c>
      <c r="L157" s="165">
        <f t="shared" si="27"/>
        <v>343.71750000000003</v>
      </c>
      <c r="M157" s="165">
        <f t="shared" si="28"/>
        <v>6937.1525000000001</v>
      </c>
      <c r="N157" s="128"/>
      <c r="O157" s="29" t="s">
        <v>48</v>
      </c>
      <c r="P157" s="121"/>
      <c r="Q157" s="167" t="s">
        <v>44</v>
      </c>
      <c r="R157" s="168">
        <v>1007620183</v>
      </c>
      <c r="S157" s="168" t="s">
        <v>45</v>
      </c>
      <c r="T157" s="174">
        <v>9446817000162</v>
      </c>
      <c r="U157" s="171" t="s">
        <v>36</v>
      </c>
      <c r="V157" s="119">
        <v>11132050</v>
      </c>
    </row>
  </sheetData>
  <autoFilter ref="A4:V157" xr:uid="{B912EDE2-CCBA-4994-A4C8-E97A41A3EE20}">
    <filterColumn colId="16">
      <filters>
        <filter val="NSTECH"/>
      </filters>
    </filterColumn>
  </autoFilter>
  <mergeCells count="1">
    <mergeCell ref="A1:T1"/>
  </mergeCells>
  <conditionalFormatting sqref="E158:E1048576 D2 E3:E117">
    <cfRule type="duplicateValues" dxfId="21" priority="3"/>
  </conditionalFormatting>
  <conditionalFormatting sqref="N1:N1048576">
    <cfRule type="duplicateValues" dxfId="20" priority="1"/>
    <cfRule type="duplicateValues" dxfId="19" priority="2"/>
  </conditionalFormatting>
  <printOptions horizontalCentered="1"/>
  <pageMargins left="0.59055118110236227" right="0.59055118110236227" top="0.35433070866141736" bottom="0.39370078740157483" header="0.23622047244094491" footer="0.51181102362204722"/>
  <pageSetup scale="7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B5D8-D5A0-4834-A086-8605A4ACC953}">
  <sheetPr filterMode="1">
    <tabColor rgb="FF92D050"/>
    <pageSetUpPr fitToPage="1"/>
  </sheetPr>
  <dimension ref="A1:V156"/>
  <sheetViews>
    <sheetView showGridLines="0" tabSelected="1" topLeftCell="F1" zoomScale="85" zoomScaleNormal="85" workbookViewId="0">
      <selection activeCell="P141" sqref="P141"/>
    </sheetView>
  </sheetViews>
  <sheetFormatPr defaultColWidth="9.140625" defaultRowHeight="14.1" customHeight="1"/>
  <cols>
    <col min="1" max="1" width="8.28515625" style="1" customWidth="1"/>
    <col min="2" max="2" width="13.5703125" style="1" bestFit="1" customWidth="1"/>
    <col min="3" max="3" width="7" style="1" customWidth="1"/>
    <col min="4" max="4" width="5.7109375" style="3" bestFit="1" customWidth="1"/>
    <col min="5" max="5" width="18.42578125" style="3" customWidth="1"/>
    <col min="6" max="6" width="14.5703125" style="3" customWidth="1"/>
    <col min="7" max="7" width="6.5703125" style="1" customWidth="1"/>
    <col min="8" max="8" width="15.5703125" style="1" bestFit="1" customWidth="1"/>
    <col min="9" max="9" width="14.28515625" style="1" bestFit="1" customWidth="1"/>
    <col min="10" max="10" width="13.140625" style="1" customWidth="1"/>
    <col min="11" max="11" width="13.42578125" style="1" customWidth="1"/>
    <col min="12" max="12" width="12.42578125" style="1" customWidth="1"/>
    <col min="13" max="13" width="16.140625" style="1" customWidth="1"/>
    <col min="14" max="14" width="15.5703125" style="23" customWidth="1"/>
    <col min="15" max="15" width="12.7109375" style="23" customWidth="1"/>
    <col min="16" max="16" width="11.5703125" style="23" customWidth="1"/>
    <col min="17" max="17" width="12.7109375" style="23" customWidth="1"/>
    <col min="18" max="18" width="10" style="1" bestFit="1" customWidth="1"/>
    <col min="19" max="19" width="12" style="1" bestFit="1" customWidth="1"/>
    <col min="20" max="20" width="14.7109375" style="32" customWidth="1"/>
    <col min="21" max="21" width="28.42578125" style="24" bestFit="1" customWidth="1"/>
    <col min="22" max="22" width="14" style="1" customWidth="1"/>
    <col min="23" max="16384" width="9.140625" style="1"/>
  </cols>
  <sheetData>
    <row r="1" spans="1:21" ht="29.45" customHeight="1" thickBot="1">
      <c r="A1" s="231" t="s">
        <v>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1"/>
    </row>
    <row r="2" spans="1:21" ht="15.95" thickBot="1">
      <c r="A2" s="35" t="s">
        <v>9</v>
      </c>
      <c r="B2" s="20"/>
      <c r="C2" s="20"/>
      <c r="D2" s="20"/>
      <c r="E2" s="20"/>
      <c r="F2" s="20"/>
      <c r="G2" s="20"/>
      <c r="H2" s="20"/>
      <c r="I2" s="20"/>
      <c r="J2" s="20"/>
      <c r="K2" s="31" t="s">
        <v>10</v>
      </c>
      <c r="L2" s="31"/>
      <c r="M2" s="31"/>
      <c r="N2" s="22"/>
      <c r="O2" s="22"/>
      <c r="P2" s="22"/>
      <c r="Q2" s="5"/>
      <c r="R2" s="4"/>
      <c r="U2" s="1"/>
    </row>
    <row r="3" spans="1:21" s="4" customFormat="1" ht="15.6">
      <c r="B3" s="41"/>
      <c r="C3" s="42"/>
      <c r="D3" s="42"/>
      <c r="E3" s="42"/>
      <c r="F3" s="42"/>
      <c r="G3" s="42"/>
      <c r="H3" s="42"/>
      <c r="I3" s="42"/>
      <c r="J3" s="42"/>
      <c r="K3" s="43"/>
      <c r="L3" s="43"/>
      <c r="M3" s="43"/>
      <c r="N3" s="33"/>
      <c r="O3" s="33"/>
      <c r="P3" s="33"/>
      <c r="Q3" s="5"/>
      <c r="T3" s="34"/>
    </row>
    <row r="4" spans="1:21" s="39" customFormat="1" ht="24.95" customHeight="1">
      <c r="A4" s="44" t="s">
        <v>11</v>
      </c>
      <c r="B4" s="45" t="s">
        <v>12</v>
      </c>
      <c r="C4" s="45" t="s">
        <v>13</v>
      </c>
      <c r="D4" s="46" t="s">
        <v>14</v>
      </c>
      <c r="E4" s="46" t="s">
        <v>15</v>
      </c>
      <c r="F4" s="45" t="s">
        <v>16</v>
      </c>
      <c r="G4" s="45" t="s">
        <v>17</v>
      </c>
      <c r="H4" s="47" t="s">
        <v>18</v>
      </c>
      <c r="I4" s="45" t="s">
        <v>19</v>
      </c>
      <c r="J4" s="45" t="s">
        <v>20</v>
      </c>
      <c r="K4" s="45" t="s">
        <v>21</v>
      </c>
      <c r="L4" s="45" t="s">
        <v>22</v>
      </c>
      <c r="M4" s="48" t="s">
        <v>23</v>
      </c>
      <c r="N4" s="49" t="s">
        <v>24</v>
      </c>
      <c r="O4" s="50" t="s">
        <v>25</v>
      </c>
      <c r="P4" s="49" t="s">
        <v>26</v>
      </c>
      <c r="Q4" s="36" t="s">
        <v>27</v>
      </c>
      <c r="R4" s="37" t="s">
        <v>28</v>
      </c>
      <c r="S4" s="37" t="s">
        <v>29</v>
      </c>
      <c r="T4" s="38" t="s">
        <v>30</v>
      </c>
      <c r="U4" s="40" t="s">
        <v>31</v>
      </c>
    </row>
    <row r="5" spans="1:21" s="2" customFormat="1" ht="16.5" hidden="1" customHeight="1">
      <c r="A5" s="25" t="s">
        <v>43</v>
      </c>
      <c r="B5" s="21">
        <v>46150</v>
      </c>
      <c r="C5" s="8" t="s">
        <v>33</v>
      </c>
      <c r="D5" s="9">
        <v>341</v>
      </c>
      <c r="E5" s="9">
        <v>0</v>
      </c>
      <c r="F5" s="10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2" t="s">
        <v>41</v>
      </c>
      <c r="N5" s="28">
        <v>0</v>
      </c>
      <c r="O5" s="28">
        <v>0</v>
      </c>
      <c r="P5" s="28">
        <v>0</v>
      </c>
      <c r="Q5" s="17" t="s">
        <v>106</v>
      </c>
      <c r="R5" s="19">
        <v>0</v>
      </c>
      <c r="S5" s="19">
        <v>0</v>
      </c>
      <c r="T5" s="58">
        <v>0</v>
      </c>
      <c r="U5" s="70" t="s">
        <v>42</v>
      </c>
    </row>
    <row r="6" spans="1:21" s="2" customFormat="1" ht="16.5" hidden="1" customHeight="1">
      <c r="A6" s="25" t="s">
        <v>43</v>
      </c>
      <c r="B6" s="21">
        <v>46150</v>
      </c>
      <c r="C6" s="8" t="s">
        <v>33</v>
      </c>
      <c r="D6" s="9">
        <v>342</v>
      </c>
      <c r="E6" s="9">
        <v>0</v>
      </c>
      <c r="F6" s="10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2" t="s">
        <v>41</v>
      </c>
      <c r="N6" s="28">
        <v>0</v>
      </c>
      <c r="O6" s="28">
        <v>0</v>
      </c>
      <c r="P6" s="28">
        <v>0</v>
      </c>
      <c r="Q6" s="17" t="s">
        <v>106</v>
      </c>
      <c r="R6" s="19">
        <v>0</v>
      </c>
      <c r="S6" s="19">
        <v>0</v>
      </c>
      <c r="T6" s="58">
        <v>0</v>
      </c>
      <c r="U6" s="70" t="s">
        <v>42</v>
      </c>
    </row>
    <row r="7" spans="1:21" s="2" customFormat="1" ht="16.5" hidden="1" customHeight="1">
      <c r="A7" s="25" t="s">
        <v>43</v>
      </c>
      <c r="B7" s="21">
        <v>46150</v>
      </c>
      <c r="C7" s="8" t="s">
        <v>33</v>
      </c>
      <c r="D7" s="9">
        <v>343</v>
      </c>
      <c r="E7" s="9">
        <v>0</v>
      </c>
      <c r="F7" s="10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2" t="s">
        <v>41</v>
      </c>
      <c r="N7" s="28">
        <v>0</v>
      </c>
      <c r="O7" s="28">
        <v>0</v>
      </c>
      <c r="P7" s="28">
        <v>0</v>
      </c>
      <c r="Q7" s="17" t="s">
        <v>106</v>
      </c>
      <c r="R7" s="19">
        <v>0</v>
      </c>
      <c r="S7" s="19">
        <v>0</v>
      </c>
      <c r="T7" s="58">
        <v>0</v>
      </c>
      <c r="U7" s="71" t="s">
        <v>42</v>
      </c>
    </row>
    <row r="8" spans="1:21" s="2" customFormat="1" ht="16.5" hidden="1" customHeight="1">
      <c r="A8" s="25" t="s">
        <v>43</v>
      </c>
      <c r="B8" s="21">
        <v>46150</v>
      </c>
      <c r="C8" s="8" t="s">
        <v>33</v>
      </c>
      <c r="D8" s="9">
        <v>344</v>
      </c>
      <c r="E8" s="9">
        <v>0</v>
      </c>
      <c r="F8" s="10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2" t="s">
        <v>41</v>
      </c>
      <c r="N8" s="28">
        <v>0</v>
      </c>
      <c r="O8" s="28">
        <v>0</v>
      </c>
      <c r="P8" s="28">
        <v>0</v>
      </c>
      <c r="Q8" s="17" t="s">
        <v>106</v>
      </c>
      <c r="R8" s="19">
        <v>0</v>
      </c>
      <c r="S8" s="19">
        <v>0</v>
      </c>
      <c r="T8" s="58">
        <v>0</v>
      </c>
      <c r="U8" s="70" t="s">
        <v>42</v>
      </c>
    </row>
    <row r="9" spans="1:21" s="2" customFormat="1" ht="16.5" hidden="1" customHeight="1">
      <c r="A9" s="25" t="s">
        <v>43</v>
      </c>
      <c r="B9" s="21">
        <v>46150</v>
      </c>
      <c r="C9" s="8" t="s">
        <v>33</v>
      </c>
      <c r="D9" s="9">
        <v>346</v>
      </c>
      <c r="E9" s="9">
        <v>0</v>
      </c>
      <c r="F9" s="10">
        <v>0</v>
      </c>
      <c r="G9" s="11">
        <v>0</v>
      </c>
      <c r="H9" s="11">
        <f>ROUND(F9*1.5%,2)</f>
        <v>0</v>
      </c>
      <c r="I9" s="11">
        <f>ROUND(F9*1%,2)</f>
        <v>0</v>
      </c>
      <c r="J9" s="11">
        <f>ROUND(F9*3%,2)</f>
        <v>0</v>
      </c>
      <c r="K9" s="11">
        <f>ROUND(F9*0.65%,2)</f>
        <v>0</v>
      </c>
      <c r="L9" s="11">
        <f>SUM(I9:K9)</f>
        <v>0</v>
      </c>
      <c r="M9" s="12" t="s">
        <v>41</v>
      </c>
      <c r="N9" s="28">
        <v>0</v>
      </c>
      <c r="O9" s="28">
        <v>0</v>
      </c>
      <c r="P9" s="28">
        <v>0</v>
      </c>
      <c r="Q9" s="17" t="s">
        <v>106</v>
      </c>
      <c r="R9" s="19">
        <v>0</v>
      </c>
      <c r="S9" s="19">
        <v>0</v>
      </c>
      <c r="T9" s="58">
        <v>0</v>
      </c>
      <c r="U9" s="70" t="s">
        <v>42</v>
      </c>
    </row>
    <row r="10" spans="1:21" s="2" customFormat="1" ht="16.5" hidden="1" customHeight="1">
      <c r="A10" s="109" t="s">
        <v>43</v>
      </c>
      <c r="B10" s="21">
        <v>46170</v>
      </c>
      <c r="C10" s="123" t="s">
        <v>33</v>
      </c>
      <c r="D10" s="124">
        <v>351</v>
      </c>
      <c r="E10" s="111">
        <v>0</v>
      </c>
      <c r="F10" s="112">
        <v>0</v>
      </c>
      <c r="G10" s="126">
        <v>0</v>
      </c>
      <c r="H10" s="126">
        <v>0</v>
      </c>
      <c r="I10" s="126">
        <v>0</v>
      </c>
      <c r="J10" s="126">
        <v>0</v>
      </c>
      <c r="K10" s="126">
        <v>0</v>
      </c>
      <c r="L10" s="126">
        <v>0</v>
      </c>
      <c r="M10" s="125" t="s">
        <v>41</v>
      </c>
      <c r="N10" s="28">
        <v>0</v>
      </c>
      <c r="O10" s="28">
        <v>0</v>
      </c>
      <c r="P10" s="28">
        <v>0</v>
      </c>
      <c r="Q10" s="107" t="s">
        <v>106</v>
      </c>
      <c r="R10" s="110">
        <v>0</v>
      </c>
      <c r="S10" s="110">
        <v>0</v>
      </c>
      <c r="T10" s="122">
        <v>0</v>
      </c>
      <c r="U10" s="137" t="s">
        <v>42</v>
      </c>
    </row>
    <row r="11" spans="1:21" s="2" customFormat="1" ht="16.5" hidden="1" customHeight="1">
      <c r="A11" s="25" t="s">
        <v>54</v>
      </c>
      <c r="B11" s="21">
        <v>46182</v>
      </c>
      <c r="C11" s="8" t="s">
        <v>33</v>
      </c>
      <c r="D11" s="9">
        <v>353</v>
      </c>
      <c r="E11" s="9">
        <v>0</v>
      </c>
      <c r="F11" s="10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2">
        <v>0</v>
      </c>
      <c r="M11" s="12" t="s">
        <v>41</v>
      </c>
      <c r="N11" s="28">
        <v>0</v>
      </c>
      <c r="O11" s="28">
        <v>0</v>
      </c>
      <c r="P11" s="28">
        <v>0</v>
      </c>
      <c r="Q11" s="17" t="s">
        <v>106</v>
      </c>
      <c r="R11" s="19">
        <v>0</v>
      </c>
      <c r="S11" s="19">
        <v>0</v>
      </c>
      <c r="T11" s="56">
        <v>0</v>
      </c>
      <c r="U11" s="70" t="s">
        <v>42</v>
      </c>
    </row>
    <row r="12" spans="1:21" s="2" customFormat="1" ht="16.5" hidden="1" customHeight="1">
      <c r="A12" s="25" t="s">
        <v>54</v>
      </c>
      <c r="B12" s="21">
        <v>46182</v>
      </c>
      <c r="C12" s="8" t="s">
        <v>33</v>
      </c>
      <c r="D12" s="9">
        <v>354</v>
      </c>
      <c r="E12" s="9">
        <v>0</v>
      </c>
      <c r="F12" s="10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2">
        <v>0</v>
      </c>
      <c r="M12" s="12" t="s">
        <v>41</v>
      </c>
      <c r="N12" s="28">
        <v>0</v>
      </c>
      <c r="O12" s="28">
        <v>0</v>
      </c>
      <c r="P12" s="28">
        <v>0</v>
      </c>
      <c r="Q12" s="17" t="s">
        <v>106</v>
      </c>
      <c r="R12" s="19">
        <v>0</v>
      </c>
      <c r="S12" s="19">
        <v>0</v>
      </c>
      <c r="T12" s="56">
        <v>0</v>
      </c>
      <c r="U12" s="70" t="s">
        <v>42</v>
      </c>
    </row>
    <row r="13" spans="1:21" s="4" customFormat="1" ht="17.100000000000001" hidden="1" customHeight="1">
      <c r="A13" s="25" t="s">
        <v>54</v>
      </c>
      <c r="B13" s="21">
        <v>46182</v>
      </c>
      <c r="C13" s="8" t="s">
        <v>33</v>
      </c>
      <c r="D13" s="9">
        <v>355</v>
      </c>
      <c r="E13" s="9">
        <v>0</v>
      </c>
      <c r="F13" s="10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2">
        <v>0</v>
      </c>
      <c r="M13" s="12" t="s">
        <v>41</v>
      </c>
      <c r="N13" s="28">
        <v>0</v>
      </c>
      <c r="O13" s="28">
        <v>0</v>
      </c>
      <c r="P13" s="28">
        <v>0</v>
      </c>
      <c r="Q13" s="17" t="s">
        <v>106</v>
      </c>
      <c r="R13" s="19">
        <v>0</v>
      </c>
      <c r="S13" s="19">
        <v>0</v>
      </c>
      <c r="T13" s="56">
        <v>0</v>
      </c>
      <c r="U13" s="70" t="s">
        <v>42</v>
      </c>
    </row>
    <row r="14" spans="1:21" s="4" customFormat="1" ht="17.100000000000001" hidden="1" customHeight="1">
      <c r="A14" s="51" t="s">
        <v>133</v>
      </c>
      <c r="B14" s="21">
        <v>46020</v>
      </c>
      <c r="C14" s="52" t="s">
        <v>33</v>
      </c>
      <c r="D14" s="53">
        <v>247</v>
      </c>
      <c r="E14" s="53"/>
      <c r="F14" s="54">
        <v>8468</v>
      </c>
      <c r="G14" s="11">
        <v>0</v>
      </c>
      <c r="H14" s="11">
        <f>ROUND(F14*1.5%,2)</f>
        <v>127.02</v>
      </c>
      <c r="I14" s="11">
        <f>ROUND(F14*1%,2)</f>
        <v>84.68</v>
      </c>
      <c r="J14" s="11">
        <f>ROUND(F14*3%,2)</f>
        <v>254.04</v>
      </c>
      <c r="K14" s="11">
        <f>ROUND(F14*0.65%,2)</f>
        <v>55.04</v>
      </c>
      <c r="L14" s="12">
        <f>SUM(I14:K14)</f>
        <v>393.76000000000005</v>
      </c>
      <c r="M14" s="12">
        <f>F14-H14-I14-J14-K14</f>
        <v>7947.2199999999993</v>
      </c>
      <c r="N14" s="221">
        <v>1400000000</v>
      </c>
      <c r="O14" s="222">
        <v>46035</v>
      </c>
      <c r="P14" s="228" t="str">
        <f>TEXT(O14,"mm/aaaa")</f>
        <v>01/2026</v>
      </c>
      <c r="Q14" s="17" t="s">
        <v>34</v>
      </c>
      <c r="R14" s="19">
        <v>1008259405</v>
      </c>
      <c r="S14" s="19" t="s">
        <v>39</v>
      </c>
      <c r="T14" s="55">
        <v>28759933000186</v>
      </c>
      <c r="U14" s="18" t="s">
        <v>36</v>
      </c>
    </row>
    <row r="15" spans="1:21" s="4" customFormat="1" ht="17.100000000000001" hidden="1" customHeight="1">
      <c r="A15" s="25" t="str">
        <f>TEXT(B15,"mm/aaaa")</f>
        <v>01/2026</v>
      </c>
      <c r="B15" s="21">
        <v>46028</v>
      </c>
      <c r="C15" s="8" t="s">
        <v>33</v>
      </c>
      <c r="D15" s="9">
        <v>248</v>
      </c>
      <c r="E15" s="9">
        <v>1800000015</v>
      </c>
      <c r="F15" s="10">
        <v>547.5</v>
      </c>
      <c r="G15" s="11">
        <v>0</v>
      </c>
      <c r="H15" s="11">
        <v>0</v>
      </c>
      <c r="I15" s="11">
        <f>ROUND(F15*1%,2)</f>
        <v>5.48</v>
      </c>
      <c r="J15" s="11">
        <f>ROUND(F15*3%,2)</f>
        <v>16.43</v>
      </c>
      <c r="K15" s="11">
        <f>ROUND(F15*0.65%,2)</f>
        <v>3.56</v>
      </c>
      <c r="L15" s="12">
        <f>SUM(I15:K15)</f>
        <v>25.47</v>
      </c>
      <c r="M15" s="12">
        <f>F15-H15-I15-J15-K15</f>
        <v>522.03000000000009</v>
      </c>
      <c r="N15" s="28">
        <v>1400000015</v>
      </c>
      <c r="O15" s="223">
        <v>46043</v>
      </c>
      <c r="P15" s="228" t="str">
        <f>TEXT(O15,"mm/aaaa")</f>
        <v>01/2026</v>
      </c>
      <c r="Q15" s="17" t="s">
        <v>34</v>
      </c>
      <c r="R15" s="19">
        <v>1002640697</v>
      </c>
      <c r="S15" s="19" t="s">
        <v>35</v>
      </c>
      <c r="T15" s="55">
        <v>5370882000109</v>
      </c>
      <c r="U15" s="73" t="s">
        <v>36</v>
      </c>
    </row>
    <row r="16" spans="1:21" s="4" customFormat="1" ht="17.100000000000001" hidden="1" customHeight="1">
      <c r="A16" s="25" t="str">
        <f>TEXT(B16,"mm/aaaa")</f>
        <v>01/2026</v>
      </c>
      <c r="B16" s="21">
        <v>46028</v>
      </c>
      <c r="C16" s="8" t="s">
        <v>33</v>
      </c>
      <c r="D16" s="9">
        <v>249</v>
      </c>
      <c r="E16" s="9">
        <v>1800000000</v>
      </c>
      <c r="F16" s="10">
        <v>20758.5</v>
      </c>
      <c r="G16" s="11">
        <v>0</v>
      </c>
      <c r="H16" s="11">
        <f>ROUND(F16*1.5%,2)</f>
        <v>311.38</v>
      </c>
      <c r="I16" s="11">
        <f>ROUND(F16*1%,2)</f>
        <v>207.59</v>
      </c>
      <c r="J16" s="11">
        <f>ROUND(F16*3%,2)</f>
        <v>622.76</v>
      </c>
      <c r="K16" s="11">
        <f>ROUND(F16*0.65%,2)</f>
        <v>134.93</v>
      </c>
      <c r="L16" s="12">
        <f>SUM(I16:K16)</f>
        <v>965.28</v>
      </c>
      <c r="M16" s="12">
        <f>F16-H16-I16-J16-K16</f>
        <v>19481.84</v>
      </c>
      <c r="N16" s="28">
        <v>1400000030</v>
      </c>
      <c r="O16" s="223">
        <v>46043</v>
      </c>
      <c r="P16" s="228" t="str">
        <f>TEXT(O16,"mm/aaaa")</f>
        <v>01/2026</v>
      </c>
      <c r="Q16" s="17" t="s">
        <v>34</v>
      </c>
      <c r="R16" s="19">
        <v>1001187614</v>
      </c>
      <c r="S16" s="19" t="s">
        <v>37</v>
      </c>
      <c r="T16" s="55">
        <v>9395767000131</v>
      </c>
      <c r="U16" s="70" t="s">
        <v>36</v>
      </c>
    </row>
    <row r="17" spans="1:21" s="4" customFormat="1" ht="17.100000000000001" hidden="1" customHeight="1">
      <c r="A17" s="25" t="str">
        <f>TEXT(B17,"mm/aaaa")</f>
        <v>01/2026</v>
      </c>
      <c r="B17" s="21">
        <v>46028</v>
      </c>
      <c r="C17" s="8" t="s">
        <v>33</v>
      </c>
      <c r="D17" s="9">
        <v>250</v>
      </c>
      <c r="E17" s="9">
        <v>1800000045</v>
      </c>
      <c r="F17" s="10">
        <v>1242</v>
      </c>
      <c r="G17" s="11">
        <v>0</v>
      </c>
      <c r="H17" s="11">
        <f>ROUND(F17*1.5%,2)</f>
        <v>18.63</v>
      </c>
      <c r="I17" s="11">
        <f>ROUND(F17*1%,2)</f>
        <v>12.42</v>
      </c>
      <c r="J17" s="11">
        <f>ROUND(F17*3%,2)</f>
        <v>37.26</v>
      </c>
      <c r="K17" s="11">
        <f>ROUND(F17*0.65%,2)</f>
        <v>8.07</v>
      </c>
      <c r="L17" s="12">
        <f>SUM(I17:K17)</f>
        <v>57.75</v>
      </c>
      <c r="M17" s="12">
        <f>F17-H17-I17-J17-K17</f>
        <v>1165.6199999999999</v>
      </c>
      <c r="N17" s="28">
        <v>1400000045</v>
      </c>
      <c r="O17" s="223">
        <v>46043</v>
      </c>
      <c r="P17" s="228" t="str">
        <f>TEXT(O17,"mm/aaaa")</f>
        <v>01/2026</v>
      </c>
      <c r="Q17" s="17" t="s">
        <v>34</v>
      </c>
      <c r="R17" s="19">
        <v>1014825740</v>
      </c>
      <c r="S17" s="19" t="s">
        <v>38</v>
      </c>
      <c r="T17" s="55">
        <v>44120318000181</v>
      </c>
      <c r="U17" s="70" t="s">
        <v>36</v>
      </c>
    </row>
    <row r="18" spans="1:21" s="4" customFormat="1" ht="17.100000000000001" hidden="1" customHeight="1">
      <c r="A18" s="25" t="str">
        <f>TEXT(B18,"mm/aaaa")</f>
        <v>01/2026</v>
      </c>
      <c r="B18" s="21">
        <v>46028</v>
      </c>
      <c r="C18" s="8" t="s">
        <v>33</v>
      </c>
      <c r="D18" s="9">
        <v>251</v>
      </c>
      <c r="E18" s="9">
        <v>1800000016</v>
      </c>
      <c r="F18" s="10">
        <v>11366</v>
      </c>
      <c r="G18" s="11">
        <v>0</v>
      </c>
      <c r="H18" s="11">
        <f>ROUND(F18*1.5%,2)</f>
        <v>170.49</v>
      </c>
      <c r="I18" s="11">
        <f>ROUND(F18*1%,2)</f>
        <v>113.66</v>
      </c>
      <c r="J18" s="11">
        <f>ROUND(F18*3%,2)</f>
        <v>340.98</v>
      </c>
      <c r="K18" s="11">
        <f>ROUND(F18*0.65%,2)</f>
        <v>73.88</v>
      </c>
      <c r="L18" s="12">
        <f>SUM(I18:K18)</f>
        <v>528.52</v>
      </c>
      <c r="M18" s="12">
        <f>F18-H18-I18-J18-K18</f>
        <v>10666.990000000002</v>
      </c>
      <c r="N18" s="28">
        <v>1400000016</v>
      </c>
      <c r="O18" s="223">
        <v>46043</v>
      </c>
      <c r="P18" s="228" t="str">
        <f>TEXT(O18,"mm/aaaa")</f>
        <v>01/2026</v>
      </c>
      <c r="Q18" s="17" t="s">
        <v>34</v>
      </c>
      <c r="R18" s="19">
        <v>1008259405</v>
      </c>
      <c r="S18" s="19" t="s">
        <v>39</v>
      </c>
      <c r="T18" s="55">
        <v>28759933000186</v>
      </c>
      <c r="U18" s="70" t="s">
        <v>36</v>
      </c>
    </row>
    <row r="19" spans="1:21" s="4" customFormat="1" ht="17.100000000000001" hidden="1" customHeight="1">
      <c r="A19" s="25" t="str">
        <f>TEXT(B19,"mm/aaaa")</f>
        <v>01/2026</v>
      </c>
      <c r="B19" s="21">
        <v>46028</v>
      </c>
      <c r="C19" s="8" t="s">
        <v>33</v>
      </c>
      <c r="D19" s="9">
        <v>252</v>
      </c>
      <c r="E19" s="9">
        <v>1800000030</v>
      </c>
      <c r="F19" s="10">
        <v>3233.5</v>
      </c>
      <c r="G19" s="11">
        <v>0</v>
      </c>
      <c r="H19" s="11">
        <f>ROUND(F19*1.5%,2)</f>
        <v>48.5</v>
      </c>
      <c r="I19" s="11">
        <f>ROUND(F19*1%,2)</f>
        <v>32.340000000000003</v>
      </c>
      <c r="J19" s="11">
        <f>ROUND(F19*3%,2)</f>
        <v>97.01</v>
      </c>
      <c r="K19" s="11">
        <f>ROUND(F19*0.65%,2)</f>
        <v>21.02</v>
      </c>
      <c r="L19" s="12">
        <f>SUM(I19:K19)</f>
        <v>150.37000000000003</v>
      </c>
      <c r="M19" s="12">
        <f>F19-H19-I19-J19-K19</f>
        <v>3034.6299999999997</v>
      </c>
      <c r="N19" s="28">
        <v>1400000060</v>
      </c>
      <c r="O19" s="223">
        <v>46043</v>
      </c>
      <c r="P19" s="228" t="str">
        <f>TEXT(O19,"mm/aaaa")</f>
        <v>01/2026</v>
      </c>
      <c r="Q19" s="17" t="s">
        <v>34</v>
      </c>
      <c r="R19" s="19">
        <v>1007834227</v>
      </c>
      <c r="S19" s="19" t="s">
        <v>40</v>
      </c>
      <c r="T19" s="55">
        <v>14457026000178</v>
      </c>
      <c r="U19" s="71" t="s">
        <v>36</v>
      </c>
    </row>
    <row r="20" spans="1:21" s="4" customFormat="1" ht="17.100000000000001" hidden="1" customHeight="1">
      <c r="A20" s="51" t="s">
        <v>133</v>
      </c>
      <c r="B20" s="21">
        <v>46013</v>
      </c>
      <c r="C20" s="8" t="s">
        <v>33</v>
      </c>
      <c r="D20" s="9">
        <v>242</v>
      </c>
      <c r="E20" s="9">
        <v>2200001471</v>
      </c>
      <c r="F20" s="10">
        <v>5500.06</v>
      </c>
      <c r="G20" s="11"/>
      <c r="H20" s="11">
        <f>ROUND(F20*1.5%,2)</f>
        <v>82.5</v>
      </c>
      <c r="I20" s="11">
        <f>ROUND(F20*1%,2)</f>
        <v>55</v>
      </c>
      <c r="J20" s="11">
        <f>ROUND(F20*3%,2)</f>
        <v>165</v>
      </c>
      <c r="K20" s="11">
        <f>ROUND(F20*0.65%,2)</f>
        <v>35.75</v>
      </c>
      <c r="L20" s="12">
        <f>SUM(I20:K20)</f>
        <v>255.75</v>
      </c>
      <c r="M20" s="12">
        <f>F20-H20-I20-J20-K20</f>
        <v>5161.8100000000004</v>
      </c>
      <c r="N20" s="28">
        <v>1400000090</v>
      </c>
      <c r="O20" s="223">
        <v>46055</v>
      </c>
      <c r="P20" s="228" t="str">
        <f>TEXT(O20,"mm/aaaa")</f>
        <v>02/2026</v>
      </c>
      <c r="Q20" s="17" t="s">
        <v>44</v>
      </c>
      <c r="R20" s="19">
        <v>1007620183</v>
      </c>
      <c r="S20" s="19" t="s">
        <v>45</v>
      </c>
      <c r="T20" s="56">
        <v>9446817000162</v>
      </c>
      <c r="U20" s="75" t="s">
        <v>36</v>
      </c>
    </row>
    <row r="21" spans="1:21" s="4" customFormat="1" ht="17.100000000000001" hidden="1" customHeight="1">
      <c r="A21" s="88" t="s">
        <v>134</v>
      </c>
      <c r="B21" s="21">
        <v>45957</v>
      </c>
      <c r="C21" s="8" t="s">
        <v>33</v>
      </c>
      <c r="D21" s="9">
        <v>227</v>
      </c>
      <c r="E21" s="9">
        <v>1800000210</v>
      </c>
      <c r="F21" s="10">
        <v>14128.31</v>
      </c>
      <c r="G21" s="11"/>
      <c r="H21" s="11">
        <f>ROUND(F21*1.5%,2)</f>
        <v>211.92</v>
      </c>
      <c r="I21" s="11">
        <f>ROUND(F21*1%,2)</f>
        <v>141.28</v>
      </c>
      <c r="J21" s="11">
        <f>ROUND(F21*3%,2)</f>
        <v>423.85</v>
      </c>
      <c r="K21" s="11">
        <f>ROUND(F21*0.65%,2)</f>
        <v>91.83</v>
      </c>
      <c r="L21" s="12">
        <f>SUM(I21:K21)</f>
        <v>656.96</v>
      </c>
      <c r="M21" s="12">
        <f>F21-H21-I21-J21-K21</f>
        <v>13259.429999999998</v>
      </c>
      <c r="N21" s="28">
        <v>1400000075</v>
      </c>
      <c r="O21" s="223">
        <v>46055</v>
      </c>
      <c r="P21" s="228" t="str">
        <f>TEXT(O21,"mm/aaaa")</f>
        <v>02/2026</v>
      </c>
      <c r="Q21" s="17" t="s">
        <v>44</v>
      </c>
      <c r="R21" s="19">
        <v>1007620183</v>
      </c>
      <c r="S21" s="19" t="s">
        <v>45</v>
      </c>
      <c r="T21" s="56">
        <v>9446817000162</v>
      </c>
      <c r="U21" s="18" t="s">
        <v>36</v>
      </c>
    </row>
    <row r="22" spans="1:21" s="4" customFormat="1" ht="17.100000000000001" hidden="1" customHeight="1">
      <c r="A22" s="25" t="str">
        <f>TEXT(B22,"mm/aaaa")</f>
        <v>02/2026</v>
      </c>
      <c r="B22" s="21">
        <v>46061</v>
      </c>
      <c r="C22" s="8" t="s">
        <v>33</v>
      </c>
      <c r="D22" s="9">
        <v>258</v>
      </c>
      <c r="E22" s="9">
        <v>1800000090</v>
      </c>
      <c r="F22" s="10">
        <v>16005.5</v>
      </c>
      <c r="G22" s="11"/>
      <c r="H22" s="11">
        <f>ROUND(F22*1.5%,2)</f>
        <v>240.08</v>
      </c>
      <c r="I22" s="11">
        <f>ROUND(F22*1%,2)</f>
        <v>160.06</v>
      </c>
      <c r="J22" s="11">
        <f>ROUND(F22*3%,2)</f>
        <v>480.17</v>
      </c>
      <c r="K22" s="11">
        <f>ROUND(F22*0.65%,2)</f>
        <v>104.04</v>
      </c>
      <c r="L22" s="12">
        <f>SUM(I22:K22)</f>
        <v>744.27</v>
      </c>
      <c r="M22" s="12">
        <f>F22-H22-I22-J22-K22</f>
        <v>15021.15</v>
      </c>
      <c r="N22" s="223" t="s">
        <v>135</v>
      </c>
      <c r="O22" s="223">
        <v>46079</v>
      </c>
      <c r="P22" s="228" t="str">
        <f>TEXT(O22,"mm/aaaa")</f>
        <v>02/2026</v>
      </c>
      <c r="Q22" s="17" t="s">
        <v>34</v>
      </c>
      <c r="R22" s="19">
        <v>1001187614</v>
      </c>
      <c r="S22" s="19" t="s">
        <v>37</v>
      </c>
      <c r="T22" s="55">
        <v>9395767000131</v>
      </c>
      <c r="U22" s="71" t="s">
        <v>36</v>
      </c>
    </row>
    <row r="23" spans="1:21" s="4" customFormat="1" ht="17.100000000000001" hidden="1" customHeight="1">
      <c r="A23" s="25" t="str">
        <f>TEXT(B23,"mm/aaaa")</f>
        <v>02/2026</v>
      </c>
      <c r="B23" s="21">
        <v>46062</v>
      </c>
      <c r="C23" s="8" t="s">
        <v>33</v>
      </c>
      <c r="D23" s="9">
        <v>259</v>
      </c>
      <c r="E23" s="9">
        <v>1800000151</v>
      </c>
      <c r="F23" s="10">
        <v>69</v>
      </c>
      <c r="G23" s="11"/>
      <c r="H23" s="11">
        <v>0</v>
      </c>
      <c r="I23" s="11">
        <v>0</v>
      </c>
      <c r="J23" s="11">
        <v>0</v>
      </c>
      <c r="K23" s="11">
        <v>0</v>
      </c>
      <c r="L23" s="12">
        <f>SUM(I23:K23)</f>
        <v>0</v>
      </c>
      <c r="M23" s="12">
        <f>F23-H23-I23-J23-K23</f>
        <v>69</v>
      </c>
      <c r="N23" s="223" t="s">
        <v>136</v>
      </c>
      <c r="O23" s="223">
        <v>46079</v>
      </c>
      <c r="P23" s="228" t="str">
        <f>TEXT(O23,"mm/aaaa")</f>
        <v>02/2026</v>
      </c>
      <c r="Q23" s="17" t="s">
        <v>34</v>
      </c>
      <c r="R23" s="19">
        <v>1018345066</v>
      </c>
      <c r="S23" s="19" t="s">
        <v>46</v>
      </c>
      <c r="T23" s="55">
        <v>57904437000177</v>
      </c>
      <c r="U23" s="18" t="s">
        <v>47</v>
      </c>
    </row>
    <row r="24" spans="1:21" s="4" customFormat="1" ht="17.100000000000001" hidden="1" customHeight="1">
      <c r="A24" s="25" t="str">
        <f>TEXT(B24,"mm/aaaa")</f>
        <v>02/2026</v>
      </c>
      <c r="B24" s="21">
        <v>46062</v>
      </c>
      <c r="C24" s="8" t="s">
        <v>33</v>
      </c>
      <c r="D24" s="9">
        <v>260</v>
      </c>
      <c r="E24" s="9">
        <v>1800000105</v>
      </c>
      <c r="F24" s="10">
        <v>3540.5</v>
      </c>
      <c r="G24" s="11"/>
      <c r="H24" s="11">
        <f>ROUND(F24*1.5%,2)</f>
        <v>53.11</v>
      </c>
      <c r="I24" s="11">
        <f>ROUND(F24*1%,2)</f>
        <v>35.409999999999997</v>
      </c>
      <c r="J24" s="11">
        <f>ROUND(F24*3%,2)</f>
        <v>106.22</v>
      </c>
      <c r="K24" s="11">
        <f>ROUND(F24*0.65%,2)</f>
        <v>23.01</v>
      </c>
      <c r="L24" s="12">
        <f>SUM(I24:K24)</f>
        <v>164.64</v>
      </c>
      <c r="M24" s="12">
        <f>F24-H24-I24-J24-K24</f>
        <v>3322.75</v>
      </c>
      <c r="N24" s="223" t="s">
        <v>137</v>
      </c>
      <c r="O24" s="223">
        <v>46079</v>
      </c>
      <c r="P24" s="228" t="str">
        <f>TEXT(O24,"mm/aaaa")</f>
        <v>02/2026</v>
      </c>
      <c r="Q24" s="17" t="s">
        <v>34</v>
      </c>
      <c r="R24" s="19">
        <v>1008259405</v>
      </c>
      <c r="S24" s="19" t="s">
        <v>39</v>
      </c>
      <c r="T24" s="55">
        <v>28759933000186</v>
      </c>
      <c r="U24" s="77" t="s">
        <v>36</v>
      </c>
    </row>
    <row r="25" spans="1:21" s="4" customFormat="1" ht="17.100000000000001" hidden="1" customHeight="1">
      <c r="A25" s="25" t="str">
        <f>TEXT(B25,"mm/aaaa")</f>
        <v>02/2026</v>
      </c>
      <c r="B25" s="21">
        <v>46062</v>
      </c>
      <c r="C25" s="8" t="s">
        <v>33</v>
      </c>
      <c r="D25" s="9">
        <v>263</v>
      </c>
      <c r="E25" s="9">
        <v>1800000135</v>
      </c>
      <c r="F25" s="10">
        <v>250</v>
      </c>
      <c r="G25" s="11"/>
      <c r="H25" s="11">
        <v>0</v>
      </c>
      <c r="I25" s="11">
        <f>ROUND(F25*1%,2)</f>
        <v>2.5</v>
      </c>
      <c r="J25" s="11">
        <f>ROUND(F25*3%,2)</f>
        <v>7.5</v>
      </c>
      <c r="K25" s="11">
        <f>ROUND(F25*0.65%,2)</f>
        <v>1.63</v>
      </c>
      <c r="L25" s="12">
        <f>SUM(I25:K25)</f>
        <v>11.629999999999999</v>
      </c>
      <c r="M25" s="12">
        <f>F25-H25-I25-J25-K25</f>
        <v>238.37</v>
      </c>
      <c r="N25" s="223" t="s">
        <v>138</v>
      </c>
      <c r="O25" s="223">
        <v>46079</v>
      </c>
      <c r="P25" s="228" t="str">
        <f>TEXT(O25,"mm/aaaa")</f>
        <v>02/2026</v>
      </c>
      <c r="Q25" s="17" t="s">
        <v>34</v>
      </c>
      <c r="R25" s="19">
        <v>1002640697</v>
      </c>
      <c r="S25" s="19" t="s">
        <v>35</v>
      </c>
      <c r="T25" s="55">
        <v>5370882000109</v>
      </c>
      <c r="U25" s="18" t="s">
        <v>36</v>
      </c>
    </row>
    <row r="26" spans="1:21" s="2" customFormat="1" ht="16.5" hidden="1" customHeight="1">
      <c r="A26" s="25" t="str">
        <f>TEXT(B26,"mm/aaaa")</f>
        <v>02/2026</v>
      </c>
      <c r="B26" s="21">
        <v>46062</v>
      </c>
      <c r="C26" s="8" t="s">
        <v>33</v>
      </c>
      <c r="D26" s="9">
        <v>264</v>
      </c>
      <c r="E26" s="9">
        <v>1800000122</v>
      </c>
      <c r="F26" s="10">
        <v>571</v>
      </c>
      <c r="G26" s="11"/>
      <c r="H26" s="11">
        <v>0</v>
      </c>
      <c r="I26" s="11">
        <f>ROUND(F26*1%,2)</f>
        <v>5.71</v>
      </c>
      <c r="J26" s="11">
        <f>ROUND(F26*3%,2)</f>
        <v>17.13</v>
      </c>
      <c r="K26" s="11">
        <f>ROUND(F26*0.65%,2)</f>
        <v>3.71</v>
      </c>
      <c r="L26" s="12">
        <f>SUM(I26:K26)</f>
        <v>26.55</v>
      </c>
      <c r="M26" s="12">
        <f>F26-H26-I26-J26-K26</f>
        <v>544.44999999999993</v>
      </c>
      <c r="N26" s="223" t="s">
        <v>139</v>
      </c>
      <c r="O26" s="223">
        <v>46080</v>
      </c>
      <c r="P26" s="228" t="str">
        <f>TEXT(O26,"mm/aaaa")</f>
        <v>02/2026</v>
      </c>
      <c r="Q26" s="17" t="s">
        <v>34</v>
      </c>
      <c r="R26" s="19">
        <v>1017716043</v>
      </c>
      <c r="S26" s="19" t="s">
        <v>50</v>
      </c>
      <c r="T26" s="55">
        <v>57951895000167</v>
      </c>
      <c r="U26" s="4" t="s">
        <v>36</v>
      </c>
    </row>
    <row r="27" spans="1:21" s="2" customFormat="1" ht="16.5" hidden="1" customHeight="1">
      <c r="A27" s="25" t="str">
        <f>TEXT(B27,"mm/aaaa")</f>
        <v>02/2026</v>
      </c>
      <c r="B27" s="21">
        <v>46062</v>
      </c>
      <c r="C27" s="8" t="s">
        <v>33</v>
      </c>
      <c r="D27" s="9">
        <v>265</v>
      </c>
      <c r="E27" s="9">
        <v>1800000150</v>
      </c>
      <c r="F27" s="10">
        <v>1458.5</v>
      </c>
      <c r="G27" s="11"/>
      <c r="H27" s="11">
        <f>ROUND(F27*1.5%,2)</f>
        <v>21.88</v>
      </c>
      <c r="I27" s="11">
        <f>ROUND(F27*1%,2)</f>
        <v>14.59</v>
      </c>
      <c r="J27" s="11">
        <f>ROUND(F27*3%,2)</f>
        <v>43.76</v>
      </c>
      <c r="K27" s="11">
        <f>ROUND(F27*0.65%,2)</f>
        <v>9.48</v>
      </c>
      <c r="L27" s="12">
        <f>SUM(I27:K27)</f>
        <v>67.83</v>
      </c>
      <c r="M27" s="12">
        <f>F27-H27-I27-J27-K27</f>
        <v>1368.79</v>
      </c>
      <c r="N27" s="223" t="s">
        <v>140</v>
      </c>
      <c r="O27" s="223">
        <v>46079</v>
      </c>
      <c r="P27" s="228" t="str">
        <f>TEXT(O27,"mm/aaaa")</f>
        <v>02/2026</v>
      </c>
      <c r="Q27" s="17" t="s">
        <v>34</v>
      </c>
      <c r="R27" s="19">
        <v>1007834227</v>
      </c>
      <c r="S27" s="19" t="s">
        <v>40</v>
      </c>
      <c r="T27" s="55">
        <v>14457026000178</v>
      </c>
      <c r="U27" s="18" t="s">
        <v>36</v>
      </c>
    </row>
    <row r="28" spans="1:21" s="2" customFormat="1" ht="16.5" hidden="1" customHeight="1">
      <c r="A28" s="25" t="str">
        <f>TEXT(B28,"mm/aaaa")</f>
        <v>02/2026</v>
      </c>
      <c r="B28" s="21">
        <v>46062</v>
      </c>
      <c r="C28" s="8" t="s">
        <v>33</v>
      </c>
      <c r="D28" s="9">
        <v>266</v>
      </c>
      <c r="E28" s="9">
        <v>1800000123</v>
      </c>
      <c r="F28" s="10">
        <v>235.5</v>
      </c>
      <c r="G28" s="11"/>
      <c r="H28" s="11">
        <v>0</v>
      </c>
      <c r="I28" s="11">
        <f>ROUND(F28*1%,2)</f>
        <v>2.36</v>
      </c>
      <c r="J28" s="11">
        <f>ROUND(F28*3%,2)</f>
        <v>7.07</v>
      </c>
      <c r="K28" s="11">
        <f>ROUND(F28*0.65%,2)</f>
        <v>1.53</v>
      </c>
      <c r="L28" s="12">
        <f>SUM(I28:K28)</f>
        <v>10.959999999999999</v>
      </c>
      <c r="M28" s="12">
        <f>F28-H28-I28-J28-K28</f>
        <v>224.54</v>
      </c>
      <c r="N28" s="223" t="s">
        <v>141</v>
      </c>
      <c r="O28" s="223">
        <v>46080</v>
      </c>
      <c r="P28" s="228" t="str">
        <f>TEXT(O28,"mm/aaaa")</f>
        <v>02/2026</v>
      </c>
      <c r="Q28" s="17" t="s">
        <v>34</v>
      </c>
      <c r="R28" s="19">
        <v>1018930052</v>
      </c>
      <c r="S28" s="19" t="s">
        <v>51</v>
      </c>
      <c r="T28" s="55">
        <v>45916594000113</v>
      </c>
      <c r="U28" s="77" t="s">
        <v>36</v>
      </c>
    </row>
    <row r="29" spans="1:21" s="2" customFormat="1" ht="16.5" hidden="1" customHeight="1">
      <c r="A29" s="25" t="str">
        <f>TEXT(B29,"mm/aaaa")</f>
        <v>02/2026</v>
      </c>
      <c r="B29" s="21">
        <v>46062</v>
      </c>
      <c r="C29" s="8" t="s">
        <v>33</v>
      </c>
      <c r="D29" s="9">
        <v>267</v>
      </c>
      <c r="E29" s="9">
        <v>1800000152</v>
      </c>
      <c r="F29" s="10">
        <v>78.5</v>
      </c>
      <c r="G29" s="11"/>
      <c r="H29" s="11">
        <v>0</v>
      </c>
      <c r="I29" s="11">
        <v>0</v>
      </c>
      <c r="J29" s="11">
        <v>0</v>
      </c>
      <c r="K29" s="11">
        <v>0</v>
      </c>
      <c r="L29" s="12">
        <f>SUM(I29:K29)</f>
        <v>0</v>
      </c>
      <c r="M29" s="12">
        <f>F29-H29-I29-J29-K29</f>
        <v>78.5</v>
      </c>
      <c r="N29" s="223" t="s">
        <v>142</v>
      </c>
      <c r="O29" s="223">
        <v>46112</v>
      </c>
      <c r="P29" s="228" t="str">
        <f>TEXT(O29,"mm/aaaa")</f>
        <v>03/2026</v>
      </c>
      <c r="Q29" s="17" t="s">
        <v>34</v>
      </c>
      <c r="R29" s="19">
        <v>1017130541</v>
      </c>
      <c r="S29" s="19" t="s">
        <v>52</v>
      </c>
      <c r="T29" s="55">
        <v>53045500000106</v>
      </c>
      <c r="U29" s="75" t="s">
        <v>53</v>
      </c>
    </row>
    <row r="30" spans="1:21" s="2" customFormat="1" ht="16.5" hidden="1" customHeight="1">
      <c r="A30" s="25" t="str">
        <f>TEXT(B30,"mm/aaaa")</f>
        <v>03/2026</v>
      </c>
      <c r="B30" s="21">
        <v>46086</v>
      </c>
      <c r="C30" s="8" t="s">
        <v>33</v>
      </c>
      <c r="D30" s="57">
        <v>270</v>
      </c>
      <c r="E30" s="9">
        <v>1800000241</v>
      </c>
      <c r="F30" s="12">
        <v>138</v>
      </c>
      <c r="G30" s="11"/>
      <c r="H30" s="11">
        <v>0</v>
      </c>
      <c r="I30" s="11">
        <v>0</v>
      </c>
      <c r="J30" s="11">
        <v>0</v>
      </c>
      <c r="K30" s="11">
        <v>0</v>
      </c>
      <c r="L30" s="12">
        <f>SUM(I30:K30)</f>
        <v>0</v>
      </c>
      <c r="M30" s="12">
        <f>F30-H30-I30-J30-K30</f>
        <v>138</v>
      </c>
      <c r="N30" s="223" t="s">
        <v>143</v>
      </c>
      <c r="O30" s="223">
        <v>46107</v>
      </c>
      <c r="P30" s="228" t="str">
        <f>TEXT(O30,"mm/aaaa")</f>
        <v>03/2026</v>
      </c>
      <c r="Q30" s="17" t="s">
        <v>34</v>
      </c>
      <c r="R30" s="19">
        <v>1018645192</v>
      </c>
      <c r="S30" s="19" t="s">
        <v>57</v>
      </c>
      <c r="T30" s="55">
        <v>32764816000188</v>
      </c>
      <c r="U30" s="70" t="s">
        <v>36</v>
      </c>
    </row>
    <row r="31" spans="1:21" s="2" customFormat="1" ht="16.5" hidden="1" customHeight="1">
      <c r="A31" s="25" t="str">
        <f>TEXT(B31,"mm/aaaa")</f>
        <v>03/2026</v>
      </c>
      <c r="B31" s="21">
        <v>46086</v>
      </c>
      <c r="C31" s="8" t="s">
        <v>33</v>
      </c>
      <c r="D31" s="57">
        <v>272</v>
      </c>
      <c r="E31" s="9">
        <v>1800000257</v>
      </c>
      <c r="F31" s="12">
        <v>250</v>
      </c>
      <c r="G31" s="11"/>
      <c r="H31" s="11">
        <v>0</v>
      </c>
      <c r="I31" s="11">
        <v>0</v>
      </c>
      <c r="J31" s="11">
        <v>0</v>
      </c>
      <c r="K31" s="11">
        <v>0</v>
      </c>
      <c r="L31" s="12">
        <f>SUM(I31:K31)</f>
        <v>0</v>
      </c>
      <c r="M31" s="12">
        <f>F31-H31-I31-J31-K31</f>
        <v>250</v>
      </c>
      <c r="N31" s="223" t="s">
        <v>144</v>
      </c>
      <c r="O31" s="223">
        <v>46107</v>
      </c>
      <c r="P31" s="228" t="str">
        <f>TEXT(O31,"mm/aaaa")</f>
        <v>03/2026</v>
      </c>
      <c r="Q31" s="17" t="s">
        <v>34</v>
      </c>
      <c r="R31" s="19">
        <v>1017130541</v>
      </c>
      <c r="S31" s="19" t="s">
        <v>52</v>
      </c>
      <c r="T31" s="55">
        <v>53045500000106</v>
      </c>
      <c r="U31" s="18" t="s">
        <v>53</v>
      </c>
    </row>
    <row r="32" spans="1:21" s="2" customFormat="1" ht="16.5" hidden="1" customHeight="1">
      <c r="A32" s="25" t="str">
        <f>TEXT(B32,"mm/aaaa")</f>
        <v>03/2026</v>
      </c>
      <c r="B32" s="21">
        <v>46086</v>
      </c>
      <c r="C32" s="8" t="s">
        <v>33</v>
      </c>
      <c r="D32" s="57">
        <v>273</v>
      </c>
      <c r="E32" s="9">
        <v>1800000286</v>
      </c>
      <c r="F32" s="12">
        <v>250</v>
      </c>
      <c r="G32" s="11"/>
      <c r="H32" s="11">
        <v>0</v>
      </c>
      <c r="I32" s="11">
        <v>0</v>
      </c>
      <c r="J32" s="11">
        <v>0</v>
      </c>
      <c r="K32" s="11">
        <v>0</v>
      </c>
      <c r="L32" s="12">
        <f>SUM(I32:K32)</f>
        <v>0</v>
      </c>
      <c r="M32" s="12">
        <f>F32-H32-I32-J32-K32</f>
        <v>250</v>
      </c>
      <c r="N32" s="223" t="s">
        <v>145</v>
      </c>
      <c r="O32" s="223">
        <v>46107</v>
      </c>
      <c r="P32" s="228" t="str">
        <f>TEXT(O32,"mm/aaaa")</f>
        <v>03/2026</v>
      </c>
      <c r="Q32" s="17" t="s">
        <v>34</v>
      </c>
      <c r="R32" s="19">
        <v>1018345066</v>
      </c>
      <c r="S32" s="19" t="s">
        <v>46</v>
      </c>
      <c r="T32" s="55">
        <v>57904437000177</v>
      </c>
      <c r="U32" s="75" t="s">
        <v>47</v>
      </c>
    </row>
    <row r="33" spans="1:21" s="2" customFormat="1" ht="16.5" hidden="1" customHeight="1">
      <c r="A33" s="25" t="str">
        <f>TEXT(B33,"mm/aaaa")</f>
        <v>03/2026</v>
      </c>
      <c r="B33" s="21">
        <v>46086</v>
      </c>
      <c r="C33" s="8" t="s">
        <v>33</v>
      </c>
      <c r="D33" s="57">
        <v>274</v>
      </c>
      <c r="E33" s="9">
        <v>1800000271</v>
      </c>
      <c r="F33" s="12">
        <v>2804.5</v>
      </c>
      <c r="G33" s="11"/>
      <c r="H33" s="11">
        <f>ROUND(F33*1.5%,2)</f>
        <v>42.07</v>
      </c>
      <c r="I33" s="11">
        <f>ROUND(F33*1%,2)</f>
        <v>28.05</v>
      </c>
      <c r="J33" s="11">
        <f>ROUND(F33*3%,2)</f>
        <v>84.14</v>
      </c>
      <c r="K33" s="11">
        <f>ROUND(F33*0.65%,2)</f>
        <v>18.23</v>
      </c>
      <c r="L33" s="12">
        <f>SUM(I33:K33)</f>
        <v>130.41999999999999</v>
      </c>
      <c r="M33" s="12">
        <f>F33-H33-I33-J33-K33</f>
        <v>2632.0099999999998</v>
      </c>
      <c r="N33" s="223" t="s">
        <v>146</v>
      </c>
      <c r="O33" s="223">
        <v>46112</v>
      </c>
      <c r="P33" s="228" t="str">
        <f>TEXT(O33,"mm/aaaa")</f>
        <v>03/2026</v>
      </c>
      <c r="Q33" s="17" t="s">
        <v>34</v>
      </c>
      <c r="R33" s="19">
        <v>1017716043</v>
      </c>
      <c r="S33" s="19" t="s">
        <v>50</v>
      </c>
      <c r="T33" s="55">
        <v>57951895000167</v>
      </c>
      <c r="U33" s="70" t="s">
        <v>36</v>
      </c>
    </row>
    <row r="34" spans="1:21" s="2" customFormat="1" ht="16.5" hidden="1" customHeight="1">
      <c r="A34" s="25" t="str">
        <f>TEXT(B34,"mm/aaaa")</f>
        <v>03/2026</v>
      </c>
      <c r="B34" s="21">
        <v>46086</v>
      </c>
      <c r="C34" s="8" t="s">
        <v>33</v>
      </c>
      <c r="D34" s="57">
        <v>276</v>
      </c>
      <c r="E34" s="9">
        <v>1800000255</v>
      </c>
      <c r="F34" s="12">
        <v>97.5</v>
      </c>
      <c r="G34" s="11"/>
      <c r="H34" s="11">
        <v>0</v>
      </c>
      <c r="I34" s="11">
        <v>0</v>
      </c>
      <c r="J34" s="11">
        <v>0</v>
      </c>
      <c r="K34" s="11">
        <v>0</v>
      </c>
      <c r="L34" s="12">
        <f>SUM(I34:K34)</f>
        <v>0</v>
      </c>
      <c r="M34" s="12">
        <f>F34-H34-I34-J34-K34</f>
        <v>97.5</v>
      </c>
      <c r="N34" s="223" t="s">
        <v>147</v>
      </c>
      <c r="O34" s="223">
        <v>46112</v>
      </c>
      <c r="P34" s="228" t="str">
        <f>TEXT(O34,"mm/aaaa")</f>
        <v>03/2026</v>
      </c>
      <c r="Q34" s="17" t="s">
        <v>34</v>
      </c>
      <c r="R34" s="19">
        <v>1018120652</v>
      </c>
      <c r="S34" s="19" t="s">
        <v>59</v>
      </c>
      <c r="T34" s="55">
        <v>30341404000100</v>
      </c>
      <c r="U34" s="70" t="s">
        <v>36</v>
      </c>
    </row>
    <row r="35" spans="1:21" s="2" customFormat="1" ht="16.5" hidden="1" customHeight="1">
      <c r="A35" s="60" t="str">
        <f>TEXT(B35,"mm/aaaa")</f>
        <v>03/2026</v>
      </c>
      <c r="B35" s="61">
        <v>46086</v>
      </c>
      <c r="C35" s="62" t="s">
        <v>33</v>
      </c>
      <c r="D35" s="72">
        <v>278</v>
      </c>
      <c r="E35" s="63">
        <v>1800000300</v>
      </c>
      <c r="F35" s="66">
        <v>250</v>
      </c>
      <c r="G35" s="65"/>
      <c r="H35" s="65">
        <v>0</v>
      </c>
      <c r="I35" s="65">
        <v>0</v>
      </c>
      <c r="J35" s="65">
        <v>0</v>
      </c>
      <c r="K35" s="65">
        <v>0</v>
      </c>
      <c r="L35" s="66">
        <f>SUM(I35:K35)</f>
        <v>0</v>
      </c>
      <c r="M35" s="66">
        <f>F35-H35-I35-J35-K35</f>
        <v>250</v>
      </c>
      <c r="N35" s="224" t="s">
        <v>148</v>
      </c>
      <c r="O35" s="224">
        <v>46107</v>
      </c>
      <c r="P35" s="229" t="str">
        <f>TEXT(O35,"mm/aaaa")</f>
        <v>03/2026</v>
      </c>
      <c r="Q35" s="67" t="s">
        <v>34</v>
      </c>
      <c r="R35" s="68">
        <v>1005618488</v>
      </c>
      <c r="S35" s="68" t="s">
        <v>60</v>
      </c>
      <c r="T35" s="69">
        <v>8152302000197</v>
      </c>
      <c r="U35" s="70" t="s">
        <v>36</v>
      </c>
    </row>
    <row r="36" spans="1:21" s="2" customFormat="1" ht="16.5" hidden="1" customHeight="1">
      <c r="A36" s="25" t="str">
        <f>TEXT(B36,"mm/aaaa")</f>
        <v>03/2026</v>
      </c>
      <c r="B36" s="21">
        <v>46086</v>
      </c>
      <c r="C36" s="8" t="s">
        <v>33</v>
      </c>
      <c r="D36" s="57">
        <v>279</v>
      </c>
      <c r="E36" s="9">
        <v>1800000195</v>
      </c>
      <c r="F36" s="12">
        <v>250</v>
      </c>
      <c r="G36" s="11"/>
      <c r="H36" s="11">
        <v>0</v>
      </c>
      <c r="I36" s="11">
        <f>ROUND(F36*1%,2)</f>
        <v>2.5</v>
      </c>
      <c r="J36" s="11">
        <f>ROUND(F36*3%,2)</f>
        <v>7.5</v>
      </c>
      <c r="K36" s="11">
        <f>ROUND(F36*0.65%,2)</f>
        <v>1.63</v>
      </c>
      <c r="L36" s="12">
        <f>SUM(I36:K36)</f>
        <v>11.629999999999999</v>
      </c>
      <c r="M36" s="12">
        <f>F36-H36-I36-J36-K36</f>
        <v>238.37</v>
      </c>
      <c r="N36" s="223" t="s">
        <v>149</v>
      </c>
      <c r="O36" s="223">
        <v>46112</v>
      </c>
      <c r="P36" s="228" t="str">
        <f>TEXT(O36,"mm/aaaa")</f>
        <v>03/2026</v>
      </c>
      <c r="Q36" s="17" t="s">
        <v>34</v>
      </c>
      <c r="R36" s="19">
        <v>1002640697</v>
      </c>
      <c r="S36" s="19" t="s">
        <v>35</v>
      </c>
      <c r="T36" s="55">
        <v>5370882000109</v>
      </c>
      <c r="U36" s="70" t="s">
        <v>36</v>
      </c>
    </row>
    <row r="37" spans="1:21" s="2" customFormat="1" ht="16.5" hidden="1" customHeight="1">
      <c r="A37" s="25" t="str">
        <f>TEXT(B37,"mm/aaaa")</f>
        <v>03/2026</v>
      </c>
      <c r="B37" s="21">
        <v>46086</v>
      </c>
      <c r="C37" s="8" t="s">
        <v>33</v>
      </c>
      <c r="D37" s="57">
        <v>280</v>
      </c>
      <c r="E37" s="9">
        <v>1800000210</v>
      </c>
      <c r="F37" s="12">
        <v>15298</v>
      </c>
      <c r="G37" s="11"/>
      <c r="H37" s="11">
        <f>ROUND(F37*1.5%,2)</f>
        <v>229.47</v>
      </c>
      <c r="I37" s="11">
        <f>ROUND(F37*1%,2)</f>
        <v>152.97999999999999</v>
      </c>
      <c r="J37" s="11">
        <f>ROUND(F37*3%,2)</f>
        <v>458.94</v>
      </c>
      <c r="K37" s="11">
        <f>ROUND(F37*0.65%,2)</f>
        <v>99.44</v>
      </c>
      <c r="L37" s="12">
        <f>SUM(I37:K37)</f>
        <v>711.3599999999999</v>
      </c>
      <c r="M37" s="12">
        <f>F37-H37-I37-J37-K37</f>
        <v>14357.17</v>
      </c>
      <c r="N37" s="223" t="s">
        <v>150</v>
      </c>
      <c r="O37" s="223">
        <v>46107</v>
      </c>
      <c r="P37" s="228" t="str">
        <f>TEXT(O37,"mm/aaaa")</f>
        <v>03/2026</v>
      </c>
      <c r="Q37" s="17" t="s">
        <v>34</v>
      </c>
      <c r="R37" s="19">
        <v>1001187614</v>
      </c>
      <c r="S37" s="19" t="s">
        <v>37</v>
      </c>
      <c r="T37" s="55">
        <v>9395767000131</v>
      </c>
      <c r="U37" s="71" t="s">
        <v>36</v>
      </c>
    </row>
    <row r="38" spans="1:21" s="2" customFormat="1" ht="16.5" hidden="1" customHeight="1">
      <c r="A38" s="25" t="str">
        <f>TEXT(B38,"mm/aaaa")</f>
        <v>03/2026</v>
      </c>
      <c r="B38" s="21">
        <v>46086</v>
      </c>
      <c r="C38" s="8" t="s">
        <v>33</v>
      </c>
      <c r="D38" s="57">
        <v>281</v>
      </c>
      <c r="E38" s="9">
        <v>1800000225</v>
      </c>
      <c r="F38" s="12">
        <v>345</v>
      </c>
      <c r="G38" s="11"/>
      <c r="H38" s="11">
        <v>0</v>
      </c>
      <c r="I38" s="11">
        <f>ROUND(F38*1%,2)</f>
        <v>3.45</v>
      </c>
      <c r="J38" s="11">
        <f>ROUND(F38*3%,2)</f>
        <v>10.35</v>
      </c>
      <c r="K38" s="11">
        <f>ROUND(F38*0.65%,2)</f>
        <v>2.2400000000000002</v>
      </c>
      <c r="L38" s="12">
        <f>SUM(I38:K38)</f>
        <v>16.04</v>
      </c>
      <c r="M38" s="12">
        <f>F38-H38-I38-J38-K38</f>
        <v>328.96</v>
      </c>
      <c r="N38" s="223" t="s">
        <v>151</v>
      </c>
      <c r="O38" s="223">
        <v>46112</v>
      </c>
      <c r="P38" s="228" t="str">
        <f>TEXT(O38,"mm/aaaa")</f>
        <v>03/2026</v>
      </c>
      <c r="Q38" s="17" t="s">
        <v>34</v>
      </c>
      <c r="R38" s="19">
        <v>1007834227</v>
      </c>
      <c r="S38" s="19" t="s">
        <v>40</v>
      </c>
      <c r="T38" s="55">
        <v>14457026000178</v>
      </c>
      <c r="U38" s="73" t="s">
        <v>36</v>
      </c>
    </row>
    <row r="39" spans="1:21" s="2" customFormat="1" ht="16.5" hidden="1" customHeight="1">
      <c r="A39" s="25" t="str">
        <f>TEXT(B39,"mm/aaaa")</f>
        <v>03/2026</v>
      </c>
      <c r="B39" s="21">
        <v>46086</v>
      </c>
      <c r="C39" s="8" t="s">
        <v>33</v>
      </c>
      <c r="D39" s="57">
        <v>282</v>
      </c>
      <c r="E39" s="9">
        <v>1800000226</v>
      </c>
      <c r="F39" s="12">
        <v>5651</v>
      </c>
      <c r="G39" s="11"/>
      <c r="H39" s="11">
        <f>ROUND(F39*1.5%,2)</f>
        <v>84.77</v>
      </c>
      <c r="I39" s="11">
        <f>ROUND(F39*1%,2)</f>
        <v>56.51</v>
      </c>
      <c r="J39" s="11">
        <f>ROUND(F39*3%,2)</f>
        <v>169.53</v>
      </c>
      <c r="K39" s="11">
        <f>ROUND(F39*0.65%,2)</f>
        <v>36.729999999999997</v>
      </c>
      <c r="L39" s="12">
        <f>SUM(I39:K39)</f>
        <v>262.77</v>
      </c>
      <c r="M39" s="12">
        <f>F39-H39-I39-J39-K39</f>
        <v>5303.46</v>
      </c>
      <c r="N39" s="223" t="s">
        <v>152</v>
      </c>
      <c r="O39" s="223">
        <v>46107</v>
      </c>
      <c r="P39" s="228" t="str">
        <f>TEXT(O39,"mm/aaaa")</f>
        <v>03/2026</v>
      </c>
      <c r="Q39" s="17" t="s">
        <v>34</v>
      </c>
      <c r="R39" s="19">
        <v>1008259405</v>
      </c>
      <c r="S39" s="19" t="s">
        <v>39</v>
      </c>
      <c r="T39" s="55">
        <v>28759933000186</v>
      </c>
      <c r="U39" s="70" t="s">
        <v>36</v>
      </c>
    </row>
    <row r="40" spans="1:21" s="2" customFormat="1" ht="16.5" hidden="1" customHeight="1">
      <c r="A40" s="25" t="str">
        <f>TEXT(B40,"mm/aaaa")</f>
        <v>03/2026</v>
      </c>
      <c r="B40" s="21">
        <v>46086</v>
      </c>
      <c r="C40" s="8" t="s">
        <v>33</v>
      </c>
      <c r="D40" s="57">
        <v>283</v>
      </c>
      <c r="E40" s="9">
        <v>1800000240</v>
      </c>
      <c r="F40" s="12">
        <v>966</v>
      </c>
      <c r="G40" s="11"/>
      <c r="H40" s="11">
        <f>ROUND(F40*1.5%,2)</f>
        <v>14.49</v>
      </c>
      <c r="I40" s="11">
        <f>ROUND(F40*1%,2)</f>
        <v>9.66</v>
      </c>
      <c r="J40" s="11">
        <f>ROUND(F40*3%,2)</f>
        <v>28.98</v>
      </c>
      <c r="K40" s="11">
        <f>ROUND(F40*0.65%,2)</f>
        <v>6.28</v>
      </c>
      <c r="L40" s="12">
        <f>SUM(I40:K40)</f>
        <v>44.92</v>
      </c>
      <c r="M40" s="12">
        <f>F40-H40-I40-J40-K40</f>
        <v>906.59</v>
      </c>
      <c r="N40" s="223" t="s">
        <v>153</v>
      </c>
      <c r="O40" s="223">
        <v>46107</v>
      </c>
      <c r="P40" s="228" t="str">
        <f>TEXT(O40,"mm/aaaa")</f>
        <v>03/2026</v>
      </c>
      <c r="Q40" s="17" t="s">
        <v>34</v>
      </c>
      <c r="R40" s="19">
        <v>1018585294</v>
      </c>
      <c r="S40" s="19" t="s">
        <v>61</v>
      </c>
      <c r="T40" s="55">
        <v>29260142000170</v>
      </c>
      <c r="U40" s="70" t="s">
        <v>36</v>
      </c>
    </row>
    <row r="41" spans="1:21" s="2" customFormat="1" ht="16.5" hidden="1" customHeight="1">
      <c r="A41" s="25" t="str">
        <f>TEXT(B41,"mm/aaaa")</f>
        <v>03/2026</v>
      </c>
      <c r="B41" s="21">
        <v>46086</v>
      </c>
      <c r="C41" s="8" t="s">
        <v>33</v>
      </c>
      <c r="D41" s="57">
        <v>284</v>
      </c>
      <c r="E41" s="9">
        <v>1800000256</v>
      </c>
      <c r="F41" s="12">
        <v>250</v>
      </c>
      <c r="G41" s="11"/>
      <c r="H41" s="11">
        <v>0</v>
      </c>
      <c r="I41" s="11">
        <v>0</v>
      </c>
      <c r="J41" s="11">
        <v>0</v>
      </c>
      <c r="K41" s="11">
        <v>0</v>
      </c>
      <c r="L41" s="12">
        <f>SUM(I41:K41)</f>
        <v>0</v>
      </c>
      <c r="M41" s="12">
        <f>F41-H41-I41-J41-K41</f>
        <v>250</v>
      </c>
      <c r="N41" s="223" t="s">
        <v>154</v>
      </c>
      <c r="O41" s="223">
        <v>46107</v>
      </c>
      <c r="P41" s="228" t="str">
        <f>TEXT(O41,"mm/aaaa")</f>
        <v>03/2026</v>
      </c>
      <c r="Q41" s="17" t="s">
        <v>34</v>
      </c>
      <c r="R41" s="19">
        <v>1018840151</v>
      </c>
      <c r="S41" s="19" t="s">
        <v>55</v>
      </c>
      <c r="T41" s="55">
        <v>55365607000167</v>
      </c>
      <c r="U41" s="18" t="s">
        <v>62</v>
      </c>
    </row>
    <row r="42" spans="1:21" s="2" customFormat="1" ht="16.5" hidden="1" customHeight="1">
      <c r="A42" s="25" t="str">
        <f>TEXT(B42,"mm/aaaa")</f>
        <v>03/2026</v>
      </c>
      <c r="B42" s="21">
        <v>46086</v>
      </c>
      <c r="C42" s="8" t="s">
        <v>33</v>
      </c>
      <c r="D42" s="57">
        <v>285</v>
      </c>
      <c r="E42" s="9">
        <v>1800000258</v>
      </c>
      <c r="F42" s="12">
        <v>250</v>
      </c>
      <c r="G42" s="11"/>
      <c r="H42" s="11">
        <v>0</v>
      </c>
      <c r="I42" s="11">
        <f>ROUND(F42*1%,2)</f>
        <v>2.5</v>
      </c>
      <c r="J42" s="11">
        <f>ROUND(F42*3%,2)</f>
        <v>7.5</v>
      </c>
      <c r="K42" s="11">
        <f>ROUND(F42*0.65%,2)</f>
        <v>1.63</v>
      </c>
      <c r="L42" s="12">
        <f>SUM(I42:K42)</f>
        <v>11.629999999999999</v>
      </c>
      <c r="M42" s="12">
        <f>F42-H42-I42-J42-K42</f>
        <v>238.37</v>
      </c>
      <c r="N42" s="223" t="s">
        <v>155</v>
      </c>
      <c r="O42" s="223">
        <v>46107</v>
      </c>
      <c r="P42" s="228" t="str">
        <f>TEXT(O42,"mm/aaaa")</f>
        <v>03/2026</v>
      </c>
      <c r="Q42" s="17" t="s">
        <v>34</v>
      </c>
      <c r="R42" s="19">
        <v>1018930052</v>
      </c>
      <c r="S42" s="19" t="s">
        <v>51</v>
      </c>
      <c r="T42" s="55">
        <v>45916594000113</v>
      </c>
      <c r="U42" s="70" t="s">
        <v>36</v>
      </c>
    </row>
    <row r="43" spans="1:21" s="2" customFormat="1" ht="16.5" hidden="1" customHeight="1">
      <c r="A43" s="25" t="str">
        <f>TEXT(B43,"mm/aaaa")</f>
        <v>03/2026</v>
      </c>
      <c r="B43" s="21">
        <v>46086</v>
      </c>
      <c r="C43" s="8" t="s">
        <v>33</v>
      </c>
      <c r="D43" s="57">
        <v>275</v>
      </c>
      <c r="E43" s="9">
        <v>1800000272</v>
      </c>
      <c r="F43" s="12">
        <v>3588</v>
      </c>
      <c r="G43" s="11"/>
      <c r="H43" s="11">
        <f>ROUND(F43*1.5%,2)</f>
        <v>53.82</v>
      </c>
      <c r="I43" s="11">
        <f>ROUND(F43*1%,2)</f>
        <v>35.880000000000003</v>
      </c>
      <c r="J43" s="11">
        <f>ROUND(F43*3%,2)</f>
        <v>107.64</v>
      </c>
      <c r="K43" s="11">
        <f>ROUND(F43*0.65%,2)</f>
        <v>23.32</v>
      </c>
      <c r="L43" s="12">
        <f>SUM(I43:K43)</f>
        <v>166.84</v>
      </c>
      <c r="M43" s="12">
        <f>F43-H43-I43-J43-K43</f>
        <v>3367.3399999999997</v>
      </c>
      <c r="N43" s="223" t="s">
        <v>156</v>
      </c>
      <c r="O43" s="223">
        <v>46135</v>
      </c>
      <c r="P43" s="228" t="str">
        <f>TEXT(O43,"mm/aaaa")</f>
        <v>04/2026</v>
      </c>
      <c r="Q43" s="17" t="s">
        <v>34</v>
      </c>
      <c r="R43" s="19">
        <v>1018075263</v>
      </c>
      <c r="S43" s="19" t="s">
        <v>49</v>
      </c>
      <c r="T43" s="55">
        <v>58578490000198</v>
      </c>
      <c r="U43" s="2" t="s">
        <v>36</v>
      </c>
    </row>
    <row r="44" spans="1:21" s="2" customFormat="1" ht="16.5" hidden="1" customHeight="1">
      <c r="A44" s="60" t="str">
        <f>TEXT(B44,"mm/aaaa")</f>
        <v>04/2026</v>
      </c>
      <c r="B44" s="61">
        <v>46118</v>
      </c>
      <c r="C44" s="62" t="s">
        <v>33</v>
      </c>
      <c r="D44" s="63">
        <v>287</v>
      </c>
      <c r="E44" s="63">
        <v>1800000360</v>
      </c>
      <c r="F44" s="64">
        <v>250</v>
      </c>
      <c r="G44" s="65"/>
      <c r="H44" s="65">
        <v>0</v>
      </c>
      <c r="I44" s="65">
        <v>0</v>
      </c>
      <c r="J44" s="65">
        <v>0</v>
      </c>
      <c r="K44" s="65">
        <v>0</v>
      </c>
      <c r="L44" s="66">
        <f>SUM(I44:K44)</f>
        <v>0</v>
      </c>
      <c r="M44" s="66">
        <f>F44-H44-I44-J44-K44</f>
        <v>250</v>
      </c>
      <c r="N44" s="224" t="s">
        <v>157</v>
      </c>
      <c r="O44" s="224">
        <v>46135</v>
      </c>
      <c r="P44" s="229" t="str">
        <f>TEXT(O44,"mm/aaaa")</f>
        <v>04/2026</v>
      </c>
      <c r="Q44" s="67" t="s">
        <v>34</v>
      </c>
      <c r="R44" s="68">
        <v>1005618488</v>
      </c>
      <c r="S44" s="68" t="s">
        <v>60</v>
      </c>
      <c r="T44" s="69">
        <v>8152302000197</v>
      </c>
      <c r="U44" s="70" t="s">
        <v>36</v>
      </c>
    </row>
    <row r="45" spans="1:21" s="2" customFormat="1" ht="16.5" hidden="1" customHeight="1">
      <c r="A45" s="25" t="str">
        <f>TEXT(B45,"mm/aaaa")</f>
        <v>04/2026</v>
      </c>
      <c r="B45" s="21">
        <v>46118</v>
      </c>
      <c r="C45" s="8" t="s">
        <v>33</v>
      </c>
      <c r="D45" s="9">
        <v>288</v>
      </c>
      <c r="E45" s="9">
        <v>1800000361</v>
      </c>
      <c r="F45" s="10">
        <v>15102.5</v>
      </c>
      <c r="G45" s="11"/>
      <c r="H45" s="11">
        <f>ROUND(F45*1.5%,2)</f>
        <v>226.54</v>
      </c>
      <c r="I45" s="11">
        <f>ROUND(F45*1%,2)</f>
        <v>151.03</v>
      </c>
      <c r="J45" s="11">
        <f>ROUND(F45*3%,2)</f>
        <v>453.08</v>
      </c>
      <c r="K45" s="11">
        <f>ROUND(F45*0.65%,2)</f>
        <v>98.17</v>
      </c>
      <c r="L45" s="12">
        <f>SUM(I45:K45)</f>
        <v>702.28</v>
      </c>
      <c r="M45" s="12">
        <f>F45-H45-I45-J45-K45</f>
        <v>14173.679999999998</v>
      </c>
      <c r="N45" s="223" t="s">
        <v>158</v>
      </c>
      <c r="O45" s="223">
        <v>46135</v>
      </c>
      <c r="P45" s="228" t="str">
        <f>TEXT(O45,"mm/aaaa")</f>
        <v>04/2026</v>
      </c>
      <c r="Q45" s="17" t="s">
        <v>34</v>
      </c>
      <c r="R45" s="19">
        <v>1001187614</v>
      </c>
      <c r="S45" s="19" t="s">
        <v>37</v>
      </c>
      <c r="T45" s="55">
        <v>9395767000131</v>
      </c>
      <c r="U45" s="70" t="s">
        <v>36</v>
      </c>
    </row>
    <row r="46" spans="1:21" s="2" customFormat="1" ht="16.5" hidden="1" customHeight="1">
      <c r="A46" s="25" t="str">
        <f>TEXT(B46,"mm/aaaa")</f>
        <v>04/2026</v>
      </c>
      <c r="B46" s="21">
        <v>46118</v>
      </c>
      <c r="C46" s="8" t="s">
        <v>33</v>
      </c>
      <c r="D46" s="9">
        <v>290</v>
      </c>
      <c r="E46" s="9">
        <v>1800000423</v>
      </c>
      <c r="F46" s="10">
        <v>250</v>
      </c>
      <c r="G46" s="11"/>
      <c r="H46" s="11">
        <v>0</v>
      </c>
      <c r="I46" s="11">
        <f>ROUND(F46*1%,2)</f>
        <v>2.5</v>
      </c>
      <c r="J46" s="11">
        <f>ROUND(F46*3%,2)</f>
        <v>7.5</v>
      </c>
      <c r="K46" s="11">
        <f>ROUND(F46*0.65%,2)</f>
        <v>1.63</v>
      </c>
      <c r="L46" s="12">
        <f>SUM(I46:K46)</f>
        <v>11.629999999999999</v>
      </c>
      <c r="M46" s="12">
        <f>F46-H46-I46-J46-K46</f>
        <v>238.37</v>
      </c>
      <c r="N46" s="223" t="s">
        <v>159</v>
      </c>
      <c r="O46" s="223">
        <v>46135</v>
      </c>
      <c r="P46" s="228" t="str">
        <f>TEXT(O46,"mm/aaaa")</f>
        <v>04/2026</v>
      </c>
      <c r="Q46" s="17" t="s">
        <v>34</v>
      </c>
      <c r="R46" s="19">
        <v>1015739477</v>
      </c>
      <c r="S46" s="19" t="s">
        <v>64</v>
      </c>
      <c r="T46" s="55">
        <v>39857410000199</v>
      </c>
      <c r="U46" s="70" t="s">
        <v>36</v>
      </c>
    </row>
    <row r="47" spans="1:21" s="2" customFormat="1" ht="16.5" hidden="1" customHeight="1">
      <c r="A47" s="25" t="str">
        <f>TEXT(B47,"mm/aaaa")</f>
        <v>04/2026</v>
      </c>
      <c r="B47" s="21">
        <v>46118</v>
      </c>
      <c r="C47" s="8" t="s">
        <v>33</v>
      </c>
      <c r="D47" s="9">
        <v>291</v>
      </c>
      <c r="E47" s="9">
        <v>1800000362</v>
      </c>
      <c r="F47" s="10">
        <v>8232.5</v>
      </c>
      <c r="G47" s="11"/>
      <c r="H47" s="11">
        <f>ROUND(F47*1.5%,2)</f>
        <v>123.49</v>
      </c>
      <c r="I47" s="11">
        <f>ROUND(F47*1%,2)</f>
        <v>82.33</v>
      </c>
      <c r="J47" s="11">
        <f>ROUND(F47*3%,2)</f>
        <v>246.98</v>
      </c>
      <c r="K47" s="11">
        <f>ROUND(F47*0.65%,2)</f>
        <v>53.51</v>
      </c>
      <c r="L47" s="12">
        <f>SUM(I47:K47)</f>
        <v>382.82</v>
      </c>
      <c r="M47" s="12">
        <f>F47-H47-I47-J47-K47</f>
        <v>7726.1900000000005</v>
      </c>
      <c r="N47" s="223" t="s">
        <v>160</v>
      </c>
      <c r="O47" s="223">
        <v>46135</v>
      </c>
      <c r="P47" s="228" t="str">
        <f>TEXT(O47,"mm/aaaa")</f>
        <v>04/2026</v>
      </c>
      <c r="Q47" s="17" t="s">
        <v>34</v>
      </c>
      <c r="R47" s="19">
        <v>1008259405</v>
      </c>
      <c r="S47" s="19" t="s">
        <v>39</v>
      </c>
      <c r="T47" s="55">
        <v>28759933000186</v>
      </c>
      <c r="U47" s="70" t="s">
        <v>36</v>
      </c>
    </row>
    <row r="48" spans="1:21" s="2" customFormat="1" ht="16.5" hidden="1" customHeight="1">
      <c r="A48" s="25" t="str">
        <f>TEXT(B48,"mm/aaaa")</f>
        <v>04/2026</v>
      </c>
      <c r="B48" s="21">
        <v>46118</v>
      </c>
      <c r="C48" s="8" t="s">
        <v>33</v>
      </c>
      <c r="D48" s="9">
        <v>292</v>
      </c>
      <c r="E48" s="9">
        <v>1800000375</v>
      </c>
      <c r="F48" s="10">
        <v>2022</v>
      </c>
      <c r="G48" s="11"/>
      <c r="H48" s="11">
        <f>ROUND(F48*1.5%,2)</f>
        <v>30.33</v>
      </c>
      <c r="I48" s="11">
        <f>ROUND(F48*1%,2)</f>
        <v>20.22</v>
      </c>
      <c r="J48" s="11">
        <f>ROUND(F48*3%,2)</f>
        <v>60.66</v>
      </c>
      <c r="K48" s="11">
        <f>ROUND(F48*0.65%,2)</f>
        <v>13.14</v>
      </c>
      <c r="L48" s="12">
        <f>SUM(I48:K48)</f>
        <v>94.02</v>
      </c>
      <c r="M48" s="12">
        <f>F48-H48-I48-J48-K48</f>
        <v>1897.6499999999999</v>
      </c>
      <c r="N48" s="223" t="s">
        <v>161</v>
      </c>
      <c r="O48" s="223">
        <v>46135</v>
      </c>
      <c r="P48" s="228" t="str">
        <f>TEXT(O48,"mm/aaaa")</f>
        <v>04/2026</v>
      </c>
      <c r="Q48" s="17" t="s">
        <v>34</v>
      </c>
      <c r="R48" s="19">
        <v>1018585294</v>
      </c>
      <c r="S48" s="19" t="s">
        <v>61</v>
      </c>
      <c r="T48" s="55">
        <v>29260142000170</v>
      </c>
      <c r="U48" s="70" t="s">
        <v>36</v>
      </c>
    </row>
    <row r="49" spans="1:21" s="2" customFormat="1" ht="16.5" hidden="1" customHeight="1">
      <c r="A49" s="25" t="str">
        <f>TEXT(B49,"mm/aaaa")</f>
        <v>04/2026</v>
      </c>
      <c r="B49" s="21">
        <v>46118</v>
      </c>
      <c r="C49" s="8" t="s">
        <v>33</v>
      </c>
      <c r="D49" s="9">
        <v>293</v>
      </c>
      <c r="E49" s="9">
        <v>1800000136</v>
      </c>
      <c r="F49" s="10">
        <v>6621.5</v>
      </c>
      <c r="G49" s="11"/>
      <c r="H49" s="11">
        <f>ROUND(F49*1.5%,2)</f>
        <v>99.32</v>
      </c>
      <c r="I49" s="11">
        <f>ROUND(F49*1%,2)</f>
        <v>66.22</v>
      </c>
      <c r="J49" s="11">
        <f>ROUND(F49*3%,2)</f>
        <v>198.65</v>
      </c>
      <c r="K49" s="11">
        <f>ROUND(F49*0.65%,2)</f>
        <v>43.04</v>
      </c>
      <c r="L49" s="12">
        <f>SUM(I49:K49)</f>
        <v>307.91000000000003</v>
      </c>
      <c r="M49" s="12">
        <f>F49-H49-I49-J49-K49</f>
        <v>6214.27</v>
      </c>
      <c r="N49" s="223" t="s">
        <v>162</v>
      </c>
      <c r="O49" s="223">
        <v>46135</v>
      </c>
      <c r="P49" s="228" t="str">
        <f>TEXT(O49,"mm/aaaa")</f>
        <v>04/2026</v>
      </c>
      <c r="Q49" s="17" t="s">
        <v>34</v>
      </c>
      <c r="R49" s="19">
        <v>1018120652</v>
      </c>
      <c r="S49" s="19" t="s">
        <v>59</v>
      </c>
      <c r="T49" s="55">
        <v>30341404000100</v>
      </c>
      <c r="U49" s="70" t="s">
        <v>36</v>
      </c>
    </row>
    <row r="50" spans="1:21" s="4" customFormat="1" ht="16.5" hidden="1" customHeight="1">
      <c r="A50" s="25" t="str">
        <f>TEXT(B50,"mm/aaaa")</f>
        <v>04/2026</v>
      </c>
      <c r="B50" s="21">
        <v>46118</v>
      </c>
      <c r="C50" s="8" t="s">
        <v>33</v>
      </c>
      <c r="D50" s="9">
        <v>295</v>
      </c>
      <c r="E50" s="9">
        <v>1800000153</v>
      </c>
      <c r="F50" s="10">
        <v>250</v>
      </c>
      <c r="G50" s="11"/>
      <c r="H50" s="11">
        <v>0</v>
      </c>
      <c r="I50" s="11">
        <f>ROUND(F50*1%,2)</f>
        <v>2.5</v>
      </c>
      <c r="J50" s="11">
        <f>ROUND(F50*3%,2)</f>
        <v>7.5</v>
      </c>
      <c r="K50" s="11">
        <f>ROUND(F50*0.65%,2)</f>
        <v>1.63</v>
      </c>
      <c r="L50" s="12">
        <f>SUM(I50:K50)</f>
        <v>11.629999999999999</v>
      </c>
      <c r="M50" s="12">
        <f>F50-H50-I50-J50-K50</f>
        <v>238.37</v>
      </c>
      <c r="N50" s="223" t="s">
        <v>163</v>
      </c>
      <c r="O50" s="223">
        <v>46135</v>
      </c>
      <c r="P50" s="228" t="str">
        <f>TEXT(O50,"mm/aaaa")</f>
        <v>04/2026</v>
      </c>
      <c r="Q50" s="17" t="s">
        <v>34</v>
      </c>
      <c r="R50" s="19">
        <v>1002640697</v>
      </c>
      <c r="S50" s="19" t="s">
        <v>35</v>
      </c>
      <c r="T50" s="55">
        <v>5370882000109</v>
      </c>
      <c r="U50" s="70" t="s">
        <v>36</v>
      </c>
    </row>
    <row r="51" spans="1:21" s="2" customFormat="1" ht="16.5" hidden="1" customHeight="1">
      <c r="A51" s="25" t="str">
        <f>TEXT(B51,"mm/aaaa")</f>
        <v>04/2026</v>
      </c>
      <c r="B51" s="21">
        <v>46118</v>
      </c>
      <c r="C51" s="8" t="s">
        <v>33</v>
      </c>
      <c r="D51" s="9">
        <v>296</v>
      </c>
      <c r="E51" s="9">
        <v>1800000390</v>
      </c>
      <c r="F51" s="10">
        <v>4346</v>
      </c>
      <c r="G51" s="11"/>
      <c r="H51" s="11">
        <f>ROUND(F51*1.5%,2)</f>
        <v>65.19</v>
      </c>
      <c r="I51" s="11">
        <f>ROUND(F51*1%,2)</f>
        <v>43.46</v>
      </c>
      <c r="J51" s="11">
        <f>ROUND(F51*3%,2)</f>
        <v>130.38</v>
      </c>
      <c r="K51" s="11">
        <f>ROUND(F51*0.65%,2)</f>
        <v>28.25</v>
      </c>
      <c r="L51" s="12">
        <f>SUM(I51:K51)</f>
        <v>202.09</v>
      </c>
      <c r="M51" s="12">
        <f>F51-H51-I51-J51-K51</f>
        <v>4078.7200000000003</v>
      </c>
      <c r="N51" s="223" t="s">
        <v>164</v>
      </c>
      <c r="O51" s="223">
        <v>46135</v>
      </c>
      <c r="P51" s="228" t="str">
        <f>TEXT(O51,"mm/aaaa")</f>
        <v>04/2026</v>
      </c>
      <c r="Q51" s="17" t="s">
        <v>34</v>
      </c>
      <c r="R51" s="19">
        <v>1017716043</v>
      </c>
      <c r="S51" s="19" t="s">
        <v>50</v>
      </c>
      <c r="T51" s="55">
        <v>57951895000167</v>
      </c>
      <c r="U51" s="73" t="s">
        <v>36</v>
      </c>
    </row>
    <row r="52" spans="1:21" s="2" customFormat="1" ht="16.5" hidden="1" customHeight="1">
      <c r="A52" s="25" t="str">
        <f>TEXT(B52,"mm/aaaa")</f>
        <v>04/2026</v>
      </c>
      <c r="B52" s="21">
        <v>46118</v>
      </c>
      <c r="C52" s="8" t="s">
        <v>33</v>
      </c>
      <c r="D52" s="9">
        <v>300</v>
      </c>
      <c r="E52" s="9">
        <v>1800000420</v>
      </c>
      <c r="F52" s="10">
        <v>250</v>
      </c>
      <c r="G52" s="11"/>
      <c r="H52" s="11">
        <v>0</v>
      </c>
      <c r="I52" s="11">
        <f>ROUND(F52*1%,2)</f>
        <v>2.5</v>
      </c>
      <c r="J52" s="11">
        <f>ROUND(F52*3%,2)</f>
        <v>7.5</v>
      </c>
      <c r="K52" s="11">
        <f>ROUND(F52*0.65%,2)</f>
        <v>1.63</v>
      </c>
      <c r="L52" s="12">
        <f>SUM(I52:K52)</f>
        <v>11.629999999999999</v>
      </c>
      <c r="M52" s="12">
        <f>F52-H52-I52-J52-K52</f>
        <v>238.37</v>
      </c>
      <c r="N52" s="223" t="s">
        <v>165</v>
      </c>
      <c r="O52" s="223">
        <v>46135</v>
      </c>
      <c r="P52" s="228" t="str">
        <f>TEXT(O52,"mm/aaaa")</f>
        <v>04/2026</v>
      </c>
      <c r="Q52" s="17" t="s">
        <v>34</v>
      </c>
      <c r="R52" s="19">
        <v>1007834227</v>
      </c>
      <c r="S52" s="19" t="s">
        <v>40</v>
      </c>
      <c r="T52" s="55">
        <v>14457026000178</v>
      </c>
      <c r="U52" s="70" t="s">
        <v>36</v>
      </c>
    </row>
    <row r="53" spans="1:21" s="2" customFormat="1" ht="16.5" hidden="1" customHeight="1">
      <c r="A53" s="25" t="str">
        <f>TEXT(B53,"mm/aaaa")</f>
        <v>04/2026</v>
      </c>
      <c r="B53" s="21">
        <v>46118</v>
      </c>
      <c r="C53" s="8" t="s">
        <v>33</v>
      </c>
      <c r="D53" s="9">
        <v>303</v>
      </c>
      <c r="E53" s="9">
        <v>1800000450</v>
      </c>
      <c r="F53" s="10">
        <v>250</v>
      </c>
      <c r="G53" s="11"/>
      <c r="H53" s="11">
        <v>0</v>
      </c>
      <c r="I53" s="11">
        <v>0</v>
      </c>
      <c r="J53" s="11">
        <v>0</v>
      </c>
      <c r="K53" s="11">
        <v>0</v>
      </c>
      <c r="L53" s="12">
        <f>SUM(I53:K53)</f>
        <v>0</v>
      </c>
      <c r="M53" s="12">
        <f>F53-H53-I53-J53-K53</f>
        <v>250</v>
      </c>
      <c r="N53" s="223" t="s">
        <v>166</v>
      </c>
      <c r="O53" s="223">
        <v>46135</v>
      </c>
      <c r="P53" s="228" t="str">
        <f>TEXT(O53,"mm/aaaa")</f>
        <v>04/2026</v>
      </c>
      <c r="Q53" s="17" t="s">
        <v>34</v>
      </c>
      <c r="R53" s="19">
        <v>1017130541</v>
      </c>
      <c r="S53" s="19" t="s">
        <v>52</v>
      </c>
      <c r="T53" s="55">
        <v>53045500000106</v>
      </c>
      <c r="U53" s="76" t="s">
        <v>53</v>
      </c>
    </row>
    <row r="54" spans="1:21" s="2" customFormat="1" ht="16.5" hidden="1" customHeight="1">
      <c r="A54" s="60" t="str">
        <f>TEXT(B54,"mm/aaaa")</f>
        <v>04/2026</v>
      </c>
      <c r="B54" s="61">
        <v>46118</v>
      </c>
      <c r="C54" s="62" t="s">
        <v>33</v>
      </c>
      <c r="D54" s="63">
        <v>304</v>
      </c>
      <c r="E54" s="63">
        <v>1800000451</v>
      </c>
      <c r="F54" s="64">
        <v>250</v>
      </c>
      <c r="G54" s="65"/>
      <c r="H54" s="65">
        <v>0</v>
      </c>
      <c r="I54" s="65">
        <v>0</v>
      </c>
      <c r="J54" s="65">
        <v>0</v>
      </c>
      <c r="K54" s="65">
        <v>0</v>
      </c>
      <c r="L54" s="66">
        <f>SUM(I54:K54)</f>
        <v>0</v>
      </c>
      <c r="M54" s="66">
        <f>F54-H54-I54-J54-K54</f>
        <v>250</v>
      </c>
      <c r="N54" s="224" t="s">
        <v>167</v>
      </c>
      <c r="O54" s="224">
        <v>46135</v>
      </c>
      <c r="P54" s="229" t="str">
        <f>TEXT(O54,"mm/aaaa")</f>
        <v>04/2026</v>
      </c>
      <c r="Q54" s="67" t="s">
        <v>34</v>
      </c>
      <c r="R54" s="68">
        <v>1016771816</v>
      </c>
      <c r="S54" s="68" t="s">
        <v>58</v>
      </c>
      <c r="T54" s="69">
        <v>41607658000143</v>
      </c>
      <c r="U54" s="70" t="s">
        <v>36</v>
      </c>
    </row>
    <row r="55" spans="1:21" s="2" customFormat="1" ht="16.5" hidden="1" customHeight="1">
      <c r="A55" s="25" t="str">
        <f>TEXT(B55,"mm/aaaa")</f>
        <v>04/2026</v>
      </c>
      <c r="B55" s="21">
        <v>46118</v>
      </c>
      <c r="C55" s="8" t="s">
        <v>33</v>
      </c>
      <c r="D55" s="9">
        <v>306</v>
      </c>
      <c r="E55" s="9">
        <v>1800000437</v>
      </c>
      <c r="F55" s="10">
        <v>250</v>
      </c>
      <c r="G55" s="11"/>
      <c r="H55" s="11">
        <v>0</v>
      </c>
      <c r="I55" s="11">
        <f>ROUND(F55*1%,2)</f>
        <v>2.5</v>
      </c>
      <c r="J55" s="11">
        <f>ROUND(F55*3%,2)</f>
        <v>7.5</v>
      </c>
      <c r="K55" s="11">
        <f>ROUND(F55*0.65%,2)</f>
        <v>1.63</v>
      </c>
      <c r="L55" s="12">
        <f>SUM(I55:K55)</f>
        <v>11.629999999999999</v>
      </c>
      <c r="M55" s="12">
        <f>F55-H55-I55-J55-K55</f>
        <v>238.37</v>
      </c>
      <c r="N55" s="223" t="s">
        <v>168</v>
      </c>
      <c r="O55" s="223">
        <v>46135</v>
      </c>
      <c r="P55" s="228" t="str">
        <f>TEXT(O55,"mm/aaaa")</f>
        <v>04/2026</v>
      </c>
      <c r="Q55" s="17" t="s">
        <v>34</v>
      </c>
      <c r="R55" s="19">
        <v>1018645192</v>
      </c>
      <c r="S55" s="19" t="s">
        <v>57</v>
      </c>
      <c r="T55" s="55">
        <v>32764816000188</v>
      </c>
      <c r="U55" s="71" t="s">
        <v>36</v>
      </c>
    </row>
    <row r="56" spans="1:21" s="2" customFormat="1" ht="16.5" hidden="1" customHeight="1">
      <c r="A56" s="25" t="str">
        <f>TEXT(B56,"mm/aaaa")</f>
        <v>04/2026</v>
      </c>
      <c r="B56" s="21">
        <v>46118</v>
      </c>
      <c r="C56" s="8" t="s">
        <v>33</v>
      </c>
      <c r="D56" s="9">
        <v>307</v>
      </c>
      <c r="E56" s="9">
        <v>1800000465</v>
      </c>
      <c r="F56" s="10">
        <v>1881.5</v>
      </c>
      <c r="G56" s="11"/>
      <c r="H56" s="11">
        <f>ROUND(F56*1.5%,2)</f>
        <v>28.22</v>
      </c>
      <c r="I56" s="11">
        <f>ROUND(F56*1%,2)</f>
        <v>18.82</v>
      </c>
      <c r="J56" s="11">
        <f>ROUND(F56*3%,2)</f>
        <v>56.45</v>
      </c>
      <c r="K56" s="11">
        <f>ROUND(F56*0.65%,2)</f>
        <v>12.23</v>
      </c>
      <c r="L56" s="12">
        <f>SUM(I56:K56)</f>
        <v>87.500000000000014</v>
      </c>
      <c r="M56" s="12">
        <f>F56-H56-I56-J56-K56</f>
        <v>1765.78</v>
      </c>
      <c r="N56" s="223" t="s">
        <v>169</v>
      </c>
      <c r="O56" s="223">
        <v>46135</v>
      </c>
      <c r="P56" s="228" t="str">
        <f>TEXT(O56,"mm/aaaa")</f>
        <v>04/2026</v>
      </c>
      <c r="Q56" s="17" t="s">
        <v>34</v>
      </c>
      <c r="R56" s="19">
        <v>1019125108</v>
      </c>
      <c r="S56" s="19" t="s">
        <v>69</v>
      </c>
      <c r="T56" s="55">
        <v>8799020000186</v>
      </c>
      <c r="U56" s="70" t="s">
        <v>36</v>
      </c>
    </row>
    <row r="57" spans="1:21" s="2" customFormat="1" ht="16.5" hidden="1" customHeight="1">
      <c r="A57" s="25" t="str">
        <f>TEXT(B57,"mm/aaaa")</f>
        <v>04/2026</v>
      </c>
      <c r="B57" s="21">
        <v>46118</v>
      </c>
      <c r="C57" s="8" t="s">
        <v>33</v>
      </c>
      <c r="D57" s="9">
        <v>298</v>
      </c>
      <c r="E57" s="9">
        <v>1800000376</v>
      </c>
      <c r="F57" s="10">
        <v>3312</v>
      </c>
      <c r="G57" s="11"/>
      <c r="H57" s="11">
        <f>ROUND(F57*1.5%,2)</f>
        <v>49.68</v>
      </c>
      <c r="I57" s="11">
        <f>ROUND(F57*1%,2)</f>
        <v>33.119999999999997</v>
      </c>
      <c r="J57" s="11">
        <f>ROUND(F57*3%,2)</f>
        <v>99.36</v>
      </c>
      <c r="K57" s="11">
        <f>ROUND(F57*0.65%,2)</f>
        <v>21.53</v>
      </c>
      <c r="L57" s="12">
        <f>SUM(I57:K57)</f>
        <v>154.01</v>
      </c>
      <c r="M57" s="12">
        <f>F57-H57-I57-J57-K57</f>
        <v>3108.31</v>
      </c>
      <c r="N57" s="225" t="s">
        <v>170</v>
      </c>
      <c r="O57" s="223">
        <v>46142</v>
      </c>
      <c r="P57" s="228" t="str">
        <f>TEXT(O57,"mm/aaaa")</f>
        <v>04/2026</v>
      </c>
      <c r="Q57" s="17" t="s">
        <v>34</v>
      </c>
      <c r="R57" s="19">
        <v>1018075263</v>
      </c>
      <c r="S57" s="19" t="s">
        <v>49</v>
      </c>
      <c r="T57" s="55">
        <v>58578490000198</v>
      </c>
      <c r="U57" s="70" t="s">
        <v>36</v>
      </c>
    </row>
    <row r="58" spans="1:21" s="2" customFormat="1" ht="16.5" hidden="1" customHeight="1">
      <c r="A58" s="25" t="str">
        <f>TEXT(B58,"mm/aaaa")</f>
        <v>04/2026</v>
      </c>
      <c r="B58" s="21">
        <v>46118</v>
      </c>
      <c r="C58" s="8" t="s">
        <v>33</v>
      </c>
      <c r="D58" s="9">
        <v>305</v>
      </c>
      <c r="E58" s="9">
        <v>1800000181</v>
      </c>
      <c r="F58" s="10">
        <v>250</v>
      </c>
      <c r="G58" s="11"/>
      <c r="H58" s="11">
        <v>0</v>
      </c>
      <c r="I58" s="11">
        <f>ROUND(F58*1%,2)</f>
        <v>2.5</v>
      </c>
      <c r="J58" s="11">
        <f>ROUND(F58*3%,2)</f>
        <v>7.5</v>
      </c>
      <c r="K58" s="11">
        <f>ROUND(F58*0.65%,2)</f>
        <v>1.63</v>
      </c>
      <c r="L58" s="12">
        <f>SUM(I58:K58)</f>
        <v>11.629999999999999</v>
      </c>
      <c r="M58" s="12">
        <f>F58-H58-I58-J58-K58</f>
        <v>238.37</v>
      </c>
      <c r="N58" s="225" t="s">
        <v>171</v>
      </c>
      <c r="O58" s="223">
        <v>46134</v>
      </c>
      <c r="P58" s="225" t="s">
        <v>65</v>
      </c>
      <c r="Q58" s="17" t="s">
        <v>34</v>
      </c>
      <c r="R58" s="19">
        <v>1016506511</v>
      </c>
      <c r="S58" s="19" t="s">
        <v>68</v>
      </c>
      <c r="T58" s="55">
        <v>38345653000185</v>
      </c>
      <c r="U58" s="70" t="s">
        <v>36</v>
      </c>
    </row>
    <row r="59" spans="1:21" s="2" customFormat="1" ht="16.5" hidden="1" customHeight="1">
      <c r="A59" s="59" t="str">
        <f>TEXT(B59,"mm/aaaa")</f>
        <v>04/2026</v>
      </c>
      <c r="B59" s="21">
        <v>46118</v>
      </c>
      <c r="C59" s="8" t="s">
        <v>33</v>
      </c>
      <c r="D59" s="9">
        <v>294</v>
      </c>
      <c r="E59" s="9">
        <v>1800000510</v>
      </c>
      <c r="F59" s="10">
        <v>78.5</v>
      </c>
      <c r="G59" s="11"/>
      <c r="H59" s="11">
        <v>0</v>
      </c>
      <c r="I59" s="11">
        <v>0</v>
      </c>
      <c r="J59" s="11">
        <v>0</v>
      </c>
      <c r="K59" s="11">
        <v>0</v>
      </c>
      <c r="L59" s="12">
        <f>SUM(I59:K59)</f>
        <v>0</v>
      </c>
      <c r="M59" s="12">
        <f>F59-H59-I59-J59-K59</f>
        <v>78.5</v>
      </c>
      <c r="N59" s="225" t="s">
        <v>172</v>
      </c>
      <c r="O59" s="223">
        <v>46142</v>
      </c>
      <c r="P59" s="225" t="s">
        <v>65</v>
      </c>
      <c r="Q59" s="17" t="s">
        <v>34</v>
      </c>
      <c r="R59" s="19">
        <v>1005047386</v>
      </c>
      <c r="S59" s="19" t="s">
        <v>66</v>
      </c>
      <c r="T59" s="55">
        <v>47425731000142</v>
      </c>
      <c r="U59" s="18" t="s">
        <v>36</v>
      </c>
    </row>
    <row r="60" spans="1:21" s="2" customFormat="1" ht="16.5" hidden="1" customHeight="1">
      <c r="A60" s="25" t="str">
        <f>TEXT(B60,"mm/aaaa")</f>
        <v>03/2026</v>
      </c>
      <c r="B60" s="21">
        <v>46086</v>
      </c>
      <c r="C60" s="8" t="s">
        <v>33</v>
      </c>
      <c r="D60" s="120">
        <v>271</v>
      </c>
      <c r="E60" s="9">
        <v>1800000525</v>
      </c>
      <c r="F60" s="12">
        <v>254.5</v>
      </c>
      <c r="G60" s="11"/>
      <c r="H60" s="11">
        <v>0</v>
      </c>
      <c r="I60" s="11">
        <v>0</v>
      </c>
      <c r="J60" s="11">
        <v>0</v>
      </c>
      <c r="K60" s="11">
        <v>0</v>
      </c>
      <c r="L60" s="12">
        <f>SUM(I60:K60)</f>
        <v>0</v>
      </c>
      <c r="M60" s="12">
        <f>F60-H60-I60-J60-K60</f>
        <v>254.5</v>
      </c>
      <c r="N60" s="225" t="s">
        <v>173</v>
      </c>
      <c r="O60" s="223">
        <v>46148</v>
      </c>
      <c r="P60" s="225" t="s">
        <v>43</v>
      </c>
      <c r="Q60" s="17" t="s">
        <v>34</v>
      </c>
      <c r="R60" s="19">
        <v>1016771816</v>
      </c>
      <c r="S60" s="19" t="s">
        <v>58</v>
      </c>
      <c r="T60" s="55">
        <v>41607658000143</v>
      </c>
      <c r="U60" s="76" t="s">
        <v>36</v>
      </c>
    </row>
    <row r="61" spans="1:21" s="2" customFormat="1" ht="16.5" hidden="1" customHeight="1">
      <c r="A61" s="25" t="s">
        <v>43</v>
      </c>
      <c r="B61" s="21">
        <v>46148</v>
      </c>
      <c r="C61" s="8" t="s">
        <v>33</v>
      </c>
      <c r="D61" s="9">
        <v>311</v>
      </c>
      <c r="E61" s="9">
        <v>1800000540</v>
      </c>
      <c r="F61" s="10">
        <v>250</v>
      </c>
      <c r="G61" s="11">
        <v>0</v>
      </c>
      <c r="H61" s="11">
        <v>0</v>
      </c>
      <c r="I61" s="11">
        <f>ROUND(F61*1%,2)</f>
        <v>2.5</v>
      </c>
      <c r="J61" s="11">
        <f>ROUND(F61*3%,2)</f>
        <v>7.5</v>
      </c>
      <c r="K61" s="11">
        <f>ROUND(F61*0.65%,2)</f>
        <v>1.63</v>
      </c>
      <c r="L61" s="12">
        <f>SUM(I61:K61)</f>
        <v>11.629999999999999</v>
      </c>
      <c r="M61" s="12">
        <f>F61-H61-I61-J61-K61</f>
        <v>238.37</v>
      </c>
      <c r="N61" s="28">
        <v>1400000630</v>
      </c>
      <c r="O61" s="223">
        <v>46170</v>
      </c>
      <c r="P61" s="226" t="s">
        <v>43</v>
      </c>
      <c r="Q61" s="17" t="s">
        <v>34</v>
      </c>
      <c r="R61" s="19">
        <v>1013447909</v>
      </c>
      <c r="S61" s="19" t="s">
        <v>72</v>
      </c>
      <c r="T61" s="56">
        <v>5514753000139</v>
      </c>
      <c r="U61" s="74" t="s">
        <v>73</v>
      </c>
    </row>
    <row r="62" spans="1:21" s="2" customFormat="1" ht="16.5" hidden="1" customHeight="1">
      <c r="A62" s="25" t="s">
        <v>43</v>
      </c>
      <c r="B62" s="21">
        <v>46148</v>
      </c>
      <c r="C62" s="8" t="s">
        <v>33</v>
      </c>
      <c r="D62" s="9">
        <v>312</v>
      </c>
      <c r="E62" s="9">
        <v>1800000555</v>
      </c>
      <c r="F62" s="10">
        <v>2152.5</v>
      </c>
      <c r="G62" s="11">
        <v>0</v>
      </c>
      <c r="H62" s="11">
        <f>ROUND(F62*1.5%,2)</f>
        <v>32.29</v>
      </c>
      <c r="I62" s="11">
        <f>ROUND(F62*1%,2)</f>
        <v>21.53</v>
      </c>
      <c r="J62" s="11">
        <f>ROUND(F62*3%,2)</f>
        <v>64.58</v>
      </c>
      <c r="K62" s="11">
        <f>ROUND(F62*0.65%,2)</f>
        <v>13.99</v>
      </c>
      <c r="L62" s="12">
        <f>SUM(I62:K62)</f>
        <v>100.1</v>
      </c>
      <c r="M62" s="12">
        <f>F62-H62-I62-J62-K62</f>
        <v>2020.11</v>
      </c>
      <c r="N62" s="28">
        <v>1400000480</v>
      </c>
      <c r="O62" s="223">
        <v>46163</v>
      </c>
      <c r="P62" s="226" t="s">
        <v>43</v>
      </c>
      <c r="Q62" s="17" t="s">
        <v>34</v>
      </c>
      <c r="R62" s="19">
        <v>1019125108</v>
      </c>
      <c r="S62" s="19" t="s">
        <v>74</v>
      </c>
      <c r="T62" s="56">
        <v>8799020000186</v>
      </c>
      <c r="U62" s="70" t="s">
        <v>73</v>
      </c>
    </row>
    <row r="63" spans="1:21" s="2" customFormat="1" ht="16.5" hidden="1" customHeight="1">
      <c r="A63" s="25" t="s">
        <v>43</v>
      </c>
      <c r="B63" s="21">
        <v>46148</v>
      </c>
      <c r="C63" s="8" t="s">
        <v>33</v>
      </c>
      <c r="D63" s="9">
        <v>313</v>
      </c>
      <c r="E63" s="9">
        <v>1800000570</v>
      </c>
      <c r="F63" s="10">
        <v>12803.5</v>
      </c>
      <c r="G63" s="11">
        <v>0</v>
      </c>
      <c r="H63" s="11">
        <f>ROUND(F63*1.5%,2)</f>
        <v>192.05</v>
      </c>
      <c r="I63" s="11">
        <f>ROUND(F63*1%,2)</f>
        <v>128.04</v>
      </c>
      <c r="J63" s="11">
        <f>ROUND(F63*3%,2)</f>
        <v>384.11</v>
      </c>
      <c r="K63" s="11">
        <f>ROUND(F63*0.65%,2)</f>
        <v>83.22</v>
      </c>
      <c r="L63" s="12">
        <f>SUM(I63:K63)</f>
        <v>595.37</v>
      </c>
      <c r="M63" s="12">
        <f>F63-H63-I63-J63-K63</f>
        <v>12016.08</v>
      </c>
      <c r="N63" s="28">
        <v>1400000481</v>
      </c>
      <c r="O63" s="223">
        <v>46163</v>
      </c>
      <c r="P63" s="226" t="s">
        <v>43</v>
      </c>
      <c r="Q63" s="17" t="s">
        <v>34</v>
      </c>
      <c r="R63" s="19">
        <v>1001187614</v>
      </c>
      <c r="S63" s="19" t="s">
        <v>75</v>
      </c>
      <c r="T63" s="56">
        <v>9395767000131</v>
      </c>
      <c r="U63" s="70" t="s">
        <v>76</v>
      </c>
    </row>
    <row r="64" spans="1:21" s="2" customFormat="1" ht="16.5" hidden="1" customHeight="1">
      <c r="A64" s="25" t="s">
        <v>43</v>
      </c>
      <c r="B64" s="21">
        <v>46148</v>
      </c>
      <c r="C64" s="8" t="s">
        <v>33</v>
      </c>
      <c r="D64" s="9">
        <v>315</v>
      </c>
      <c r="E64" s="9">
        <v>1800000586</v>
      </c>
      <c r="F64" s="10">
        <v>7147.5</v>
      </c>
      <c r="G64" s="11">
        <v>0</v>
      </c>
      <c r="H64" s="11">
        <f>ROUND(F64*1.5%,2)</f>
        <v>107.21</v>
      </c>
      <c r="I64" s="11">
        <f>ROUND(F64*1%,2)</f>
        <v>71.48</v>
      </c>
      <c r="J64" s="11">
        <f>ROUND(F64*3%,2)</f>
        <v>214.43</v>
      </c>
      <c r="K64" s="11">
        <f>ROUND(F64*0.65%,2)</f>
        <v>46.46</v>
      </c>
      <c r="L64" s="12">
        <f>SUM(I64:K64)</f>
        <v>332.37</v>
      </c>
      <c r="M64" s="12">
        <f>F64-H64-I64-J64-K64</f>
        <v>6707.92</v>
      </c>
      <c r="N64" s="28">
        <v>1400000495</v>
      </c>
      <c r="O64" s="223">
        <v>46163</v>
      </c>
      <c r="P64" s="226" t="s">
        <v>43</v>
      </c>
      <c r="Q64" s="17" t="s">
        <v>34</v>
      </c>
      <c r="R64" s="19">
        <v>1008259405</v>
      </c>
      <c r="S64" s="19" t="s">
        <v>78</v>
      </c>
      <c r="T64" s="56">
        <v>28759933000186</v>
      </c>
      <c r="U64" s="70" t="s">
        <v>73</v>
      </c>
    </row>
    <row r="65" spans="1:22" s="2" customFormat="1" ht="16.5" hidden="1" customHeight="1">
      <c r="A65" s="25" t="s">
        <v>43</v>
      </c>
      <c r="B65" s="21">
        <v>46148</v>
      </c>
      <c r="C65" s="8" t="s">
        <v>33</v>
      </c>
      <c r="D65" s="9">
        <v>316</v>
      </c>
      <c r="E65" s="9">
        <v>1800000541</v>
      </c>
      <c r="F65" s="10">
        <v>1087</v>
      </c>
      <c r="G65" s="11">
        <v>0</v>
      </c>
      <c r="H65" s="11">
        <f>ROUND(F65*1.5%,2)</f>
        <v>16.309999999999999</v>
      </c>
      <c r="I65" s="11">
        <f>ROUND(F65*1%,2)</f>
        <v>10.87</v>
      </c>
      <c r="J65" s="11">
        <f>ROUND(F65*3%,2)</f>
        <v>32.61</v>
      </c>
      <c r="K65" s="11">
        <f>ROUND(F65*0.65%,2)</f>
        <v>7.07</v>
      </c>
      <c r="L65" s="12">
        <f>SUM(I65:K65)</f>
        <v>50.55</v>
      </c>
      <c r="M65" s="12">
        <f>F65-H65-I65-J65-K65</f>
        <v>1020.1400000000002</v>
      </c>
      <c r="N65" s="28">
        <v>1400000482</v>
      </c>
      <c r="O65" s="223">
        <v>46163</v>
      </c>
      <c r="P65" s="226" t="s">
        <v>43</v>
      </c>
      <c r="Q65" s="17" t="s">
        <v>34</v>
      </c>
      <c r="R65" s="19">
        <v>1018585294</v>
      </c>
      <c r="S65" s="19" t="s">
        <v>79</v>
      </c>
      <c r="T65" s="56">
        <v>29260142000170</v>
      </c>
      <c r="U65" s="70" t="s">
        <v>73</v>
      </c>
    </row>
    <row r="66" spans="1:22" s="2" customFormat="1" ht="16.5" hidden="1" customHeight="1">
      <c r="A66" s="25" t="s">
        <v>43</v>
      </c>
      <c r="B66" s="21">
        <v>46148</v>
      </c>
      <c r="C66" s="8" t="s">
        <v>33</v>
      </c>
      <c r="D66" s="9">
        <v>317</v>
      </c>
      <c r="E66" s="9">
        <v>1800000196</v>
      </c>
      <c r="F66" s="10">
        <v>8339.5</v>
      </c>
      <c r="G66" s="11">
        <v>0</v>
      </c>
      <c r="H66" s="11">
        <f>ROUND(F66*1.5%,2)</f>
        <v>125.09</v>
      </c>
      <c r="I66" s="11">
        <f>ROUND(F66*1%,2)</f>
        <v>83.4</v>
      </c>
      <c r="J66" s="11">
        <f>ROUND(F66*3%,2)</f>
        <v>250.19</v>
      </c>
      <c r="K66" s="11">
        <f>ROUND(F66*0.65%,2)</f>
        <v>54.21</v>
      </c>
      <c r="L66" s="12">
        <f>SUM(I66:K66)</f>
        <v>387.8</v>
      </c>
      <c r="M66" s="12">
        <f>F66-H66-I66-J66-K66</f>
        <v>7826.6100000000006</v>
      </c>
      <c r="N66" s="28">
        <v>1400000483</v>
      </c>
      <c r="O66" s="223">
        <v>46163</v>
      </c>
      <c r="P66" s="226" t="s">
        <v>43</v>
      </c>
      <c r="Q66" s="17" t="s">
        <v>34</v>
      </c>
      <c r="R66" s="19">
        <v>1016704774</v>
      </c>
      <c r="S66" s="19" t="s">
        <v>80</v>
      </c>
      <c r="T66" s="56">
        <v>29543880000124</v>
      </c>
      <c r="U66" s="70" t="s">
        <v>73</v>
      </c>
    </row>
    <row r="67" spans="1:22" s="2" customFormat="1" ht="16.5" hidden="1" customHeight="1">
      <c r="A67" s="25" t="s">
        <v>43</v>
      </c>
      <c r="B67" s="21">
        <v>46148</v>
      </c>
      <c r="C67" s="8" t="s">
        <v>33</v>
      </c>
      <c r="D67" s="9">
        <v>318</v>
      </c>
      <c r="E67" s="9">
        <v>1800000587</v>
      </c>
      <c r="F67" s="10">
        <v>3814</v>
      </c>
      <c r="G67" s="11">
        <v>0</v>
      </c>
      <c r="H67" s="11">
        <f>ROUND(F67*1.5%,2)</f>
        <v>57.21</v>
      </c>
      <c r="I67" s="11">
        <f>ROUND(F67*1%,2)</f>
        <v>38.14</v>
      </c>
      <c r="J67" s="11">
        <f>ROUND(F67*3%,2)</f>
        <v>114.42</v>
      </c>
      <c r="K67" s="11">
        <f>ROUND(F67*0.65%,2)</f>
        <v>24.79</v>
      </c>
      <c r="L67" s="12">
        <f>SUM(I67:K67)</f>
        <v>177.35</v>
      </c>
      <c r="M67" s="12">
        <f>F67-H67-I67-J67-K67</f>
        <v>3579.44</v>
      </c>
      <c r="N67" s="28">
        <v>1400000510</v>
      </c>
      <c r="O67" s="223">
        <v>46163</v>
      </c>
      <c r="P67" s="226" t="s">
        <v>43</v>
      </c>
      <c r="Q67" s="17" t="s">
        <v>34</v>
      </c>
      <c r="R67" s="19">
        <v>1018930138</v>
      </c>
      <c r="S67" s="19" t="s">
        <v>81</v>
      </c>
      <c r="T67" s="56">
        <v>30034695000193</v>
      </c>
      <c r="U67" s="70" t="s">
        <v>73</v>
      </c>
      <c r="V67" s="4"/>
    </row>
    <row r="68" spans="1:22" s="2" customFormat="1" ht="16.5" hidden="1" customHeight="1">
      <c r="A68" s="25" t="s">
        <v>43</v>
      </c>
      <c r="B68" s="21">
        <v>46148</v>
      </c>
      <c r="C68" s="8" t="s">
        <v>33</v>
      </c>
      <c r="D68" s="9">
        <v>319</v>
      </c>
      <c r="E68" s="9">
        <v>1800000197</v>
      </c>
      <c r="F68" s="10">
        <v>3385.5</v>
      </c>
      <c r="G68" s="11">
        <v>0</v>
      </c>
      <c r="H68" s="11">
        <f>ROUND(F68*1.5%,2)</f>
        <v>50.78</v>
      </c>
      <c r="I68" s="11">
        <f>ROUND(F68*1%,2)</f>
        <v>33.86</v>
      </c>
      <c r="J68" s="11">
        <f>ROUND(F68*3%,2)</f>
        <v>101.57</v>
      </c>
      <c r="K68" s="11">
        <f>ROUND(F68*0.65%,2)</f>
        <v>22.01</v>
      </c>
      <c r="L68" s="12">
        <f>SUM(I68:K68)</f>
        <v>157.44</v>
      </c>
      <c r="M68" s="12">
        <f>F68-H68-I68-J68-K68</f>
        <v>3177.2799999999993</v>
      </c>
      <c r="N68" s="28">
        <v>1400000555</v>
      </c>
      <c r="O68" s="223">
        <v>46169</v>
      </c>
      <c r="P68" s="226" t="s">
        <v>43</v>
      </c>
      <c r="Q68" s="17" t="s">
        <v>34</v>
      </c>
      <c r="R68" s="19">
        <v>1018120652</v>
      </c>
      <c r="S68" s="19" t="s">
        <v>82</v>
      </c>
      <c r="T68" s="56">
        <v>30341404000100</v>
      </c>
      <c r="U68" s="70" t="s">
        <v>73</v>
      </c>
      <c r="V68" s="4"/>
    </row>
    <row r="69" spans="1:22" s="2" customFormat="1" ht="16.5" hidden="1" customHeight="1">
      <c r="A69" s="25" t="s">
        <v>43</v>
      </c>
      <c r="B69" s="21">
        <v>46148</v>
      </c>
      <c r="C69" s="8" t="s">
        <v>33</v>
      </c>
      <c r="D69" s="9">
        <v>320</v>
      </c>
      <c r="E69" s="9">
        <v>1800000556</v>
      </c>
      <c r="F69" s="10">
        <v>3595</v>
      </c>
      <c r="G69" s="11">
        <v>0</v>
      </c>
      <c r="H69" s="11">
        <f>ROUND(F69*1.5%,2)</f>
        <v>53.93</v>
      </c>
      <c r="I69" s="11">
        <f>ROUND(F69*1%,2)</f>
        <v>35.950000000000003</v>
      </c>
      <c r="J69" s="11">
        <f>ROUND(F69*3%,2)</f>
        <v>107.85</v>
      </c>
      <c r="K69" s="11">
        <f>ROUND(F69*0.65%,2)</f>
        <v>23.37</v>
      </c>
      <c r="L69" s="12">
        <f>SUM(I69:K69)</f>
        <v>167.17000000000002</v>
      </c>
      <c r="M69" s="12">
        <f>F69-H69-I69-J69-K69</f>
        <v>3373.9000000000005</v>
      </c>
      <c r="N69" s="28">
        <v>1400000511</v>
      </c>
      <c r="O69" s="223">
        <v>46163</v>
      </c>
      <c r="P69" s="226" t="s">
        <v>43</v>
      </c>
      <c r="Q69" s="17" t="s">
        <v>34</v>
      </c>
      <c r="R69" s="19">
        <v>1019215124</v>
      </c>
      <c r="S69" s="19" t="s">
        <v>83</v>
      </c>
      <c r="T69" s="56">
        <v>31554105000116</v>
      </c>
      <c r="U69" s="70" t="s">
        <v>73</v>
      </c>
      <c r="V69" s="4"/>
    </row>
    <row r="70" spans="1:22" s="2" customFormat="1" ht="16.5" hidden="1" customHeight="1">
      <c r="A70" s="25" t="s">
        <v>43</v>
      </c>
      <c r="B70" s="21">
        <v>46148</v>
      </c>
      <c r="C70" s="8" t="s">
        <v>33</v>
      </c>
      <c r="D70" s="9">
        <v>321</v>
      </c>
      <c r="E70" s="9">
        <v>1800000600</v>
      </c>
      <c r="F70" s="10">
        <v>250</v>
      </c>
      <c r="G70" s="11">
        <v>0</v>
      </c>
      <c r="H70" s="11">
        <v>0</v>
      </c>
      <c r="I70" s="11">
        <f>ROUND(F70*1%,2)</f>
        <v>2.5</v>
      </c>
      <c r="J70" s="11">
        <f>ROUND(F70*3%,2)</f>
        <v>7.5</v>
      </c>
      <c r="K70" s="11">
        <f>ROUND(F70*0.65%,2)</f>
        <v>1.63</v>
      </c>
      <c r="L70" s="12">
        <f>SUM(I70:K70)</f>
        <v>11.629999999999999</v>
      </c>
      <c r="M70" s="12">
        <f>F70-H70-I70-J70-K70</f>
        <v>238.37</v>
      </c>
      <c r="N70" s="28">
        <v>1400000525</v>
      </c>
      <c r="O70" s="223">
        <v>46163</v>
      </c>
      <c r="P70" s="226" t="s">
        <v>43</v>
      </c>
      <c r="Q70" s="17" t="s">
        <v>34</v>
      </c>
      <c r="R70" s="19">
        <v>1018645192</v>
      </c>
      <c r="S70" s="19" t="s">
        <v>84</v>
      </c>
      <c r="T70" s="56">
        <v>32764816000188</v>
      </c>
      <c r="U70" s="70" t="s">
        <v>73</v>
      </c>
      <c r="V70" s="4"/>
    </row>
    <row r="71" spans="1:22" s="2" customFormat="1" ht="16.5" hidden="1" customHeight="1">
      <c r="A71" s="25" t="s">
        <v>43</v>
      </c>
      <c r="B71" s="21">
        <v>46148</v>
      </c>
      <c r="C71" s="8" t="s">
        <v>33</v>
      </c>
      <c r="D71" s="9">
        <v>324</v>
      </c>
      <c r="E71" s="9">
        <v>1800000616</v>
      </c>
      <c r="F71" s="10">
        <v>250</v>
      </c>
      <c r="G71" s="11">
        <v>0</v>
      </c>
      <c r="H71" s="11">
        <v>0</v>
      </c>
      <c r="I71" s="11">
        <f>ROUND(F71*1%,2)</f>
        <v>2.5</v>
      </c>
      <c r="J71" s="11">
        <f>ROUND(F71*3%,2)</f>
        <v>7.5</v>
      </c>
      <c r="K71" s="11">
        <f>ROUND(F71*0.65%,2)</f>
        <v>1.63</v>
      </c>
      <c r="L71" s="12">
        <f>SUM(I71:K71)</f>
        <v>11.629999999999999</v>
      </c>
      <c r="M71" s="12">
        <f>F71-H71-I71-J71-K71</f>
        <v>238.37</v>
      </c>
      <c r="N71" s="28">
        <v>1400000540</v>
      </c>
      <c r="O71" s="223">
        <v>46163</v>
      </c>
      <c r="P71" s="226" t="s">
        <v>43</v>
      </c>
      <c r="Q71" s="17" t="s">
        <v>34</v>
      </c>
      <c r="R71" s="19">
        <v>1002640697</v>
      </c>
      <c r="S71" s="19" t="s">
        <v>87</v>
      </c>
      <c r="T71" s="56">
        <v>5370882000109</v>
      </c>
      <c r="U71" s="70" t="s">
        <v>76</v>
      </c>
      <c r="V71" s="4"/>
    </row>
    <row r="72" spans="1:22" s="2" customFormat="1" ht="16.5" hidden="1" customHeight="1">
      <c r="A72" s="25" t="s">
        <v>43</v>
      </c>
      <c r="B72" s="21">
        <v>46148</v>
      </c>
      <c r="C72" s="8" t="s">
        <v>33</v>
      </c>
      <c r="D72" s="9">
        <v>325</v>
      </c>
      <c r="E72" s="9">
        <v>1800000617</v>
      </c>
      <c r="F72" s="10">
        <v>2117.5</v>
      </c>
      <c r="G72" s="11">
        <v>0</v>
      </c>
      <c r="H72" s="11">
        <f>ROUND(F72*1.5%,2)</f>
        <v>31.76</v>
      </c>
      <c r="I72" s="11">
        <f>ROUND(F72*1%,2)</f>
        <v>21.18</v>
      </c>
      <c r="J72" s="11">
        <f>ROUND(F72*3%,2)</f>
        <v>63.53</v>
      </c>
      <c r="K72" s="11">
        <f>ROUND(F72*0.65%,2)</f>
        <v>13.76</v>
      </c>
      <c r="L72" s="12">
        <f>SUM(I72:K72)</f>
        <v>98.470000000000013</v>
      </c>
      <c r="M72" s="12">
        <f>F72-H72-I72-J72-K72</f>
        <v>1987.27</v>
      </c>
      <c r="N72" s="28">
        <v>1400000182</v>
      </c>
      <c r="O72" s="223" t="s">
        <v>88</v>
      </c>
      <c r="P72" s="226" t="s">
        <v>43</v>
      </c>
      <c r="Q72" s="17" t="s">
        <v>34</v>
      </c>
      <c r="R72" s="19">
        <v>1005047386</v>
      </c>
      <c r="S72" s="19" t="s">
        <v>89</v>
      </c>
      <c r="T72" s="56">
        <v>47425731000142</v>
      </c>
      <c r="U72" s="70" t="s">
        <v>73</v>
      </c>
      <c r="V72" s="4"/>
    </row>
    <row r="73" spans="1:22" s="2" customFormat="1" ht="16.5" hidden="1" customHeight="1">
      <c r="A73" s="25" t="s">
        <v>43</v>
      </c>
      <c r="B73" s="21">
        <v>46148</v>
      </c>
      <c r="C73" s="8" t="s">
        <v>33</v>
      </c>
      <c r="D73" s="9">
        <v>326</v>
      </c>
      <c r="E73" s="9">
        <v>1800000198</v>
      </c>
      <c r="F73" s="10">
        <v>3266.5</v>
      </c>
      <c r="G73" s="11">
        <v>0</v>
      </c>
      <c r="H73" s="11">
        <f>ROUND(F73*1.5%,2)</f>
        <v>49</v>
      </c>
      <c r="I73" s="11">
        <f>ROUND(F73*1%,2)</f>
        <v>32.67</v>
      </c>
      <c r="J73" s="11">
        <f>ROUND(F73*3%,2)</f>
        <v>98</v>
      </c>
      <c r="K73" s="11">
        <f>ROUND(F73*0.65%,2)</f>
        <v>21.23</v>
      </c>
      <c r="L73" s="12">
        <f>SUM(I73:K73)</f>
        <v>151.9</v>
      </c>
      <c r="M73" s="12">
        <f>F73-H73-I73-J73-K73</f>
        <v>3065.6</v>
      </c>
      <c r="N73" s="28">
        <v>1400000570</v>
      </c>
      <c r="O73" s="223">
        <v>46169</v>
      </c>
      <c r="P73" s="226" t="s">
        <v>43</v>
      </c>
      <c r="Q73" s="17" t="s">
        <v>34</v>
      </c>
      <c r="R73" s="19">
        <v>1018075263</v>
      </c>
      <c r="S73" s="19" t="s">
        <v>90</v>
      </c>
      <c r="T73" s="56">
        <v>58578490000198</v>
      </c>
      <c r="U73" s="70" t="s">
        <v>76</v>
      </c>
      <c r="V73" s="4"/>
    </row>
    <row r="74" spans="1:22" s="2" customFormat="1" ht="16.5" hidden="1" customHeight="1">
      <c r="A74" s="25" t="s">
        <v>43</v>
      </c>
      <c r="B74" s="21">
        <v>46148</v>
      </c>
      <c r="C74" s="8" t="s">
        <v>33</v>
      </c>
      <c r="D74" s="9">
        <v>327</v>
      </c>
      <c r="E74" s="9">
        <v>1800000199</v>
      </c>
      <c r="F74" s="10">
        <v>250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2">
        <f>SUM(I74:K74)</f>
        <v>0</v>
      </c>
      <c r="M74" s="12">
        <f>F74-H74-I74-J74-K74</f>
        <v>250</v>
      </c>
      <c r="N74" s="28">
        <v>1400000585</v>
      </c>
      <c r="O74" s="223">
        <v>46169</v>
      </c>
      <c r="P74" s="226" t="s">
        <v>43</v>
      </c>
      <c r="Q74" s="17" t="s">
        <v>34</v>
      </c>
      <c r="R74" s="19">
        <v>1018345066</v>
      </c>
      <c r="S74" s="19" t="s">
        <v>91</v>
      </c>
      <c r="T74" s="56">
        <v>57904437000177</v>
      </c>
      <c r="U74" s="70" t="s">
        <v>92</v>
      </c>
      <c r="V74" s="4"/>
    </row>
    <row r="75" spans="1:22" s="2" customFormat="1" ht="16.5" hidden="1" customHeight="1">
      <c r="A75" s="25" t="s">
        <v>43</v>
      </c>
      <c r="B75" s="21">
        <v>46148</v>
      </c>
      <c r="C75" s="8" t="s">
        <v>33</v>
      </c>
      <c r="D75" s="9">
        <v>328</v>
      </c>
      <c r="E75" s="9">
        <v>1800000571</v>
      </c>
      <c r="F75" s="10">
        <v>2689.5</v>
      </c>
      <c r="G75" s="11">
        <v>0</v>
      </c>
      <c r="H75" s="11">
        <f>ROUND(F75*1.5%,2)</f>
        <v>40.340000000000003</v>
      </c>
      <c r="I75" s="11">
        <f>ROUND(F75*1%,2)</f>
        <v>26.9</v>
      </c>
      <c r="J75" s="11">
        <f>ROUND(F75*3%,2)</f>
        <v>80.69</v>
      </c>
      <c r="K75" s="11">
        <f>ROUND(F75*0.65%,2)</f>
        <v>17.48</v>
      </c>
      <c r="L75" s="12">
        <f>SUM(I75:K75)</f>
        <v>125.07000000000001</v>
      </c>
      <c r="M75" s="12">
        <f>F75-H75-I75-J75-K75</f>
        <v>2524.0899999999997</v>
      </c>
      <c r="N75" s="28">
        <v>1400000183</v>
      </c>
      <c r="O75" s="223">
        <v>46163</v>
      </c>
      <c r="P75" s="226" t="s">
        <v>43</v>
      </c>
      <c r="Q75" s="17" t="s">
        <v>34</v>
      </c>
      <c r="R75" s="19">
        <v>1017716043</v>
      </c>
      <c r="S75" s="19" t="s">
        <v>93</v>
      </c>
      <c r="T75" s="56">
        <v>57951895000167</v>
      </c>
      <c r="U75" s="70" t="s">
        <v>73</v>
      </c>
      <c r="V75" s="4"/>
    </row>
    <row r="76" spans="1:22" s="2" customFormat="1" ht="16.5" hidden="1" customHeight="1">
      <c r="A76" s="25" t="s">
        <v>43</v>
      </c>
      <c r="B76" s="21">
        <v>46148</v>
      </c>
      <c r="C76" s="8" t="s">
        <v>33</v>
      </c>
      <c r="D76" s="9">
        <v>330</v>
      </c>
      <c r="E76" s="9">
        <v>1800000618</v>
      </c>
      <c r="F76" s="10">
        <v>1032.5</v>
      </c>
      <c r="G76" s="11">
        <v>0</v>
      </c>
      <c r="H76" s="11">
        <f>ROUND(F76*1.5%,2)</f>
        <v>15.49</v>
      </c>
      <c r="I76" s="11">
        <f>ROUND(F76*1%,2)</f>
        <v>10.33</v>
      </c>
      <c r="J76" s="11">
        <f>ROUND(F76*3%,2)</f>
        <v>30.98</v>
      </c>
      <c r="K76" s="11">
        <f>ROUND(F76*0.65%,2)</f>
        <v>6.71</v>
      </c>
      <c r="L76" s="12">
        <f>SUM(I76:K76)</f>
        <v>48.02</v>
      </c>
      <c r="M76" s="12">
        <f>F76-H76-I76-J76-K76</f>
        <v>968.9899999999999</v>
      </c>
      <c r="N76" s="28">
        <v>1400000184</v>
      </c>
      <c r="O76" s="223">
        <v>46163</v>
      </c>
      <c r="P76" s="226" t="s">
        <v>43</v>
      </c>
      <c r="Q76" s="17" t="s">
        <v>34</v>
      </c>
      <c r="R76" s="19">
        <v>1015739477</v>
      </c>
      <c r="S76" s="19" t="s">
        <v>95</v>
      </c>
      <c r="T76" s="56">
        <v>39857410000199</v>
      </c>
      <c r="U76" s="70" t="s">
        <v>73</v>
      </c>
      <c r="V76" s="4"/>
    </row>
    <row r="77" spans="1:22" s="2" customFormat="1" ht="16.5" hidden="1" customHeight="1">
      <c r="A77" s="25" t="s">
        <v>43</v>
      </c>
      <c r="B77" s="21">
        <v>46148</v>
      </c>
      <c r="C77" s="8" t="s">
        <v>33</v>
      </c>
      <c r="D77" s="9">
        <v>332</v>
      </c>
      <c r="E77" s="9">
        <v>1800000620</v>
      </c>
      <c r="F77" s="10">
        <v>1025.5</v>
      </c>
      <c r="G77" s="11">
        <v>0</v>
      </c>
      <c r="H77" s="11">
        <f>ROUND(F77*1.5%,2)</f>
        <v>15.38</v>
      </c>
      <c r="I77" s="11">
        <f>ROUND(F77*1%,2)</f>
        <v>10.26</v>
      </c>
      <c r="J77" s="11">
        <f>ROUND(F77*3%,2)</f>
        <v>30.77</v>
      </c>
      <c r="K77" s="11">
        <f>ROUND(F77*0.65%,2)</f>
        <v>6.67</v>
      </c>
      <c r="L77" s="12">
        <f>SUM(I77:K77)</f>
        <v>47.7</v>
      </c>
      <c r="M77" s="12">
        <f>F77-H77-I77-J77-K77</f>
        <v>962.42000000000007</v>
      </c>
      <c r="N77" s="28">
        <v>1400000185</v>
      </c>
      <c r="O77" s="223">
        <v>46163</v>
      </c>
      <c r="P77" s="226" t="s">
        <v>43</v>
      </c>
      <c r="Q77" s="17" t="s">
        <v>34</v>
      </c>
      <c r="R77" s="19">
        <v>1007834227</v>
      </c>
      <c r="S77" s="19" t="s">
        <v>97</v>
      </c>
      <c r="T77" s="56">
        <v>14457026000178</v>
      </c>
      <c r="U77" s="70" t="s">
        <v>73</v>
      </c>
      <c r="V77" s="4"/>
    </row>
    <row r="78" spans="1:22" s="2" customFormat="1" ht="16.5" hidden="1" customHeight="1">
      <c r="A78" s="25" t="s">
        <v>43</v>
      </c>
      <c r="B78" s="21">
        <v>46148</v>
      </c>
      <c r="C78" s="8" t="s">
        <v>33</v>
      </c>
      <c r="D78" s="9">
        <v>333</v>
      </c>
      <c r="E78" s="9">
        <v>1800000621</v>
      </c>
      <c r="F78" s="10">
        <v>421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2">
        <f>SUM(I78:K78)</f>
        <v>0</v>
      </c>
      <c r="M78" s="12">
        <f>F78-H78-I78-J78-K78</f>
        <v>421</v>
      </c>
      <c r="N78" s="28">
        <v>1400000496</v>
      </c>
      <c r="O78" s="223">
        <v>46163</v>
      </c>
      <c r="P78" s="226" t="s">
        <v>43</v>
      </c>
      <c r="Q78" s="17" t="s">
        <v>34</v>
      </c>
      <c r="R78" s="19">
        <v>1017130541</v>
      </c>
      <c r="S78" s="19" t="s">
        <v>98</v>
      </c>
      <c r="T78" s="56">
        <v>53045500000106</v>
      </c>
      <c r="U78" s="70" t="s">
        <v>92</v>
      </c>
      <c r="V78" s="4"/>
    </row>
    <row r="79" spans="1:22" s="2" customFormat="1" ht="16.5" hidden="1" customHeight="1">
      <c r="A79" s="25" t="s">
        <v>43</v>
      </c>
      <c r="B79" s="21">
        <v>46148</v>
      </c>
      <c r="C79" s="8" t="s">
        <v>33</v>
      </c>
      <c r="D79" s="9">
        <v>334</v>
      </c>
      <c r="E79" s="9">
        <v>1800000544</v>
      </c>
      <c r="F79" s="10">
        <v>699.5</v>
      </c>
      <c r="G79" s="11">
        <v>0</v>
      </c>
      <c r="H79" s="11">
        <f>ROUND(F79*1.5%,2)</f>
        <v>10.49</v>
      </c>
      <c r="I79" s="11">
        <f>ROUND(F79*1%,2)</f>
        <v>7</v>
      </c>
      <c r="J79" s="11">
        <f>ROUND(F79*3%,2)</f>
        <v>20.99</v>
      </c>
      <c r="K79" s="11">
        <f>ROUND(F79*0.65%,2)</f>
        <v>4.55</v>
      </c>
      <c r="L79" s="12">
        <f>SUM(I79:K79)</f>
        <v>32.54</v>
      </c>
      <c r="M79" s="12">
        <f>F79-H79-I79-J79-K79</f>
        <v>656.47</v>
      </c>
      <c r="N79" s="28">
        <v>1400000301</v>
      </c>
      <c r="O79" s="223">
        <v>46163</v>
      </c>
      <c r="P79" s="226" t="s">
        <v>43</v>
      </c>
      <c r="Q79" s="17" t="s">
        <v>34</v>
      </c>
      <c r="R79" s="19">
        <v>1016411263</v>
      </c>
      <c r="S79" s="19" t="s">
        <v>99</v>
      </c>
      <c r="T79" s="56">
        <v>13214075000117</v>
      </c>
      <c r="U79" s="70" t="s">
        <v>73</v>
      </c>
      <c r="V79" s="4"/>
    </row>
    <row r="80" spans="1:22" s="2" customFormat="1" ht="16.5" hidden="1" customHeight="1">
      <c r="A80" s="25" t="s">
        <v>43</v>
      </c>
      <c r="B80" s="21">
        <v>46148</v>
      </c>
      <c r="C80" s="8" t="s">
        <v>33</v>
      </c>
      <c r="D80" s="9">
        <v>335</v>
      </c>
      <c r="E80" s="9">
        <v>1800000545</v>
      </c>
      <c r="F80" s="10">
        <v>897</v>
      </c>
      <c r="G80" s="11">
        <v>0</v>
      </c>
      <c r="H80" s="11">
        <f>ROUND(F80*1.5%,2)</f>
        <v>13.46</v>
      </c>
      <c r="I80" s="11">
        <f>ROUND(F80*1%,2)</f>
        <v>8.9700000000000006</v>
      </c>
      <c r="J80" s="11">
        <f>ROUND(F80*3%,2)</f>
        <v>26.91</v>
      </c>
      <c r="K80" s="11">
        <f>ROUND(F80*0.65%,2)</f>
        <v>5.83</v>
      </c>
      <c r="L80" s="12">
        <f>SUM(I80:K80)</f>
        <v>41.71</v>
      </c>
      <c r="M80" s="12">
        <f>F80-H80-I80-J80-K80</f>
        <v>841.82999999999993</v>
      </c>
      <c r="N80" s="28">
        <v>1400000226</v>
      </c>
      <c r="O80" s="223">
        <v>46163</v>
      </c>
      <c r="P80" s="226" t="s">
        <v>43</v>
      </c>
      <c r="Q80" s="17" t="s">
        <v>34</v>
      </c>
      <c r="R80" s="19">
        <v>1019275110</v>
      </c>
      <c r="S80" s="19" t="s">
        <v>100</v>
      </c>
      <c r="T80" s="56">
        <v>53170725000194</v>
      </c>
      <c r="U80" s="70" t="s">
        <v>73</v>
      </c>
      <c r="V80" s="4"/>
    </row>
    <row r="81" spans="1:22" s="2" customFormat="1" ht="16.5" hidden="1" customHeight="1">
      <c r="A81" s="25" t="s">
        <v>43</v>
      </c>
      <c r="B81" s="21">
        <v>46148</v>
      </c>
      <c r="C81" s="8" t="s">
        <v>33</v>
      </c>
      <c r="D81" s="9">
        <v>337</v>
      </c>
      <c r="E81" s="9">
        <v>1800000547</v>
      </c>
      <c r="F81" s="10">
        <v>511.5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2">
        <f>SUM(I81:K81)</f>
        <v>0</v>
      </c>
      <c r="M81" s="12">
        <f>F81-H81-I81-J81-K81</f>
        <v>511.5</v>
      </c>
      <c r="N81" s="28">
        <v>1400000227</v>
      </c>
      <c r="O81" s="223">
        <v>46163</v>
      </c>
      <c r="P81" s="226" t="s">
        <v>43</v>
      </c>
      <c r="Q81" s="17" t="s">
        <v>34</v>
      </c>
      <c r="R81" s="19">
        <v>1018840151</v>
      </c>
      <c r="S81" s="19" t="s">
        <v>102</v>
      </c>
      <c r="T81" s="56">
        <v>55365607000167</v>
      </c>
      <c r="U81" s="70" t="s">
        <v>92</v>
      </c>
      <c r="V81" s="4"/>
    </row>
    <row r="82" spans="1:22" s="4" customFormat="1" ht="17.100000000000001" hidden="1" customHeight="1">
      <c r="A82" s="25" t="s">
        <v>43</v>
      </c>
      <c r="B82" s="21">
        <v>46148</v>
      </c>
      <c r="C82" s="8" t="s">
        <v>33</v>
      </c>
      <c r="D82" s="9">
        <v>338</v>
      </c>
      <c r="E82" s="9">
        <v>1800000630</v>
      </c>
      <c r="F82" s="10">
        <v>250</v>
      </c>
      <c r="G82" s="11">
        <v>0</v>
      </c>
      <c r="H82" s="11">
        <v>0</v>
      </c>
      <c r="I82" s="11">
        <f>ROUND(F82*1%,2)</f>
        <v>2.5</v>
      </c>
      <c r="J82" s="11">
        <f>ROUND(F82*3%,2)</f>
        <v>7.5</v>
      </c>
      <c r="K82" s="11">
        <f>ROUND(F82*0.65%,2)</f>
        <v>1.63</v>
      </c>
      <c r="L82" s="12">
        <f>SUM(I82:K82)</f>
        <v>11.629999999999999</v>
      </c>
      <c r="M82" s="12">
        <f>F82-H82-I82-J82-K82</f>
        <v>238.37</v>
      </c>
      <c r="N82" s="28">
        <v>1400000512</v>
      </c>
      <c r="O82" s="223">
        <v>46163</v>
      </c>
      <c r="P82" s="226" t="s">
        <v>43</v>
      </c>
      <c r="Q82" s="17" t="s">
        <v>34</v>
      </c>
      <c r="R82" s="19">
        <v>1016506511</v>
      </c>
      <c r="S82" s="19" t="s">
        <v>103</v>
      </c>
      <c r="T82" s="56">
        <v>38345653000185</v>
      </c>
      <c r="U82" s="70" t="s">
        <v>73</v>
      </c>
      <c r="V82" s="18">
        <v>11132050</v>
      </c>
    </row>
    <row r="83" spans="1:22" s="2" customFormat="1" ht="16.5" hidden="1" customHeight="1">
      <c r="A83" s="25" t="s">
        <v>43</v>
      </c>
      <c r="B83" s="21">
        <v>46148</v>
      </c>
      <c r="C83" s="8" t="s">
        <v>33</v>
      </c>
      <c r="D83" s="9">
        <v>339</v>
      </c>
      <c r="E83" s="9">
        <v>1800000572</v>
      </c>
      <c r="F83" s="10">
        <v>250</v>
      </c>
      <c r="G83" s="11">
        <v>0</v>
      </c>
      <c r="H83" s="11">
        <v>0</v>
      </c>
      <c r="I83" s="11">
        <f>ROUND(F83*1%,2)</f>
        <v>2.5</v>
      </c>
      <c r="J83" s="11">
        <f>ROUND(F83*3%,2)</f>
        <v>7.5</v>
      </c>
      <c r="K83" s="11">
        <f>ROUND(F83*0.65%,2)</f>
        <v>1.63</v>
      </c>
      <c r="L83" s="12">
        <f>SUM(I83:K83)</f>
        <v>11.629999999999999</v>
      </c>
      <c r="M83" s="12">
        <f>F83-H83-I83-J83-K83</f>
        <v>238.37</v>
      </c>
      <c r="N83" s="28">
        <v>1400000513</v>
      </c>
      <c r="O83" s="223">
        <v>46163</v>
      </c>
      <c r="P83" s="226" t="s">
        <v>43</v>
      </c>
      <c r="Q83" s="17" t="s">
        <v>34</v>
      </c>
      <c r="R83" s="19">
        <v>1005618488</v>
      </c>
      <c r="S83" s="19" t="s">
        <v>104</v>
      </c>
      <c r="T83" s="56">
        <v>8152302000197</v>
      </c>
      <c r="U83" s="70" t="s">
        <v>73</v>
      </c>
      <c r="V83" s="70">
        <v>11311094</v>
      </c>
    </row>
    <row r="84" spans="1:22" s="2" customFormat="1" ht="16.5" hidden="1" customHeight="1">
      <c r="A84" s="25" t="str">
        <f>TEXT(B84,"mm/aaaa")</f>
        <v>01/2026</v>
      </c>
      <c r="B84" s="21">
        <v>46048</v>
      </c>
      <c r="C84" s="8" t="s">
        <v>33</v>
      </c>
      <c r="D84" s="9">
        <v>256</v>
      </c>
      <c r="E84" s="9">
        <v>1800000075</v>
      </c>
      <c r="F84" s="10">
        <v>7990.17</v>
      </c>
      <c r="G84" s="11">
        <v>0</v>
      </c>
      <c r="H84" s="11">
        <f>ROUND(F84*1.5%,2)</f>
        <v>119.85</v>
      </c>
      <c r="I84" s="11">
        <f>ROUND(F84*1%,2)</f>
        <v>79.900000000000006</v>
      </c>
      <c r="J84" s="11">
        <f>ROUND(F84*3%,2)</f>
        <v>239.71</v>
      </c>
      <c r="K84" s="11">
        <f>ROUND(F84*0.65%,2)</f>
        <v>51.94</v>
      </c>
      <c r="L84" s="12">
        <f>SUM(I84:K84)</f>
        <v>371.55</v>
      </c>
      <c r="M84" s="12">
        <f>F84-H84-I84-J84-K84</f>
        <v>7498.77</v>
      </c>
      <c r="N84" s="28">
        <v>1400000660</v>
      </c>
      <c r="O84" s="223">
        <v>46155</v>
      </c>
      <c r="P84" s="226" t="s">
        <v>43</v>
      </c>
      <c r="Q84" s="17" t="s">
        <v>44</v>
      </c>
      <c r="R84" s="19">
        <v>1007620183</v>
      </c>
      <c r="S84" s="19" t="s">
        <v>45</v>
      </c>
      <c r="T84" s="56">
        <v>9446817000162</v>
      </c>
      <c r="U84" s="18" t="s">
        <v>36</v>
      </c>
      <c r="V84" s="70">
        <v>11311094</v>
      </c>
    </row>
    <row r="85" spans="1:22" s="2" customFormat="1" ht="16.5" hidden="1" customHeight="1">
      <c r="A85" s="25" t="str">
        <f>TEXT(B85,"mm/aaaa")</f>
        <v>02/2026</v>
      </c>
      <c r="B85" s="21">
        <v>46079</v>
      </c>
      <c r="C85" s="8" t="s">
        <v>33</v>
      </c>
      <c r="D85" s="57">
        <v>269</v>
      </c>
      <c r="E85" s="9">
        <v>1800000165</v>
      </c>
      <c r="F85" s="12">
        <v>3906.58</v>
      </c>
      <c r="G85" s="11"/>
      <c r="H85" s="11">
        <f>ROUND(F85*1.5%,2)</f>
        <v>58.6</v>
      </c>
      <c r="I85" s="11">
        <f>ROUND(F85*1%,2)</f>
        <v>39.07</v>
      </c>
      <c r="J85" s="11">
        <f>ROUND(F85*3%,2)</f>
        <v>117.2</v>
      </c>
      <c r="K85" s="11">
        <f>ROUND(F85*0.65%,2)</f>
        <v>25.39</v>
      </c>
      <c r="L85" s="12">
        <f>SUM(I85:K85)</f>
        <v>181.66000000000003</v>
      </c>
      <c r="M85" s="12">
        <f>F85-H85-I85-J85-K85</f>
        <v>3666.32</v>
      </c>
      <c r="N85" s="28">
        <v>1400000660</v>
      </c>
      <c r="O85" s="223">
        <v>46162</v>
      </c>
      <c r="P85" s="226" t="s">
        <v>43</v>
      </c>
      <c r="Q85" s="17" t="s">
        <v>44</v>
      </c>
      <c r="R85" s="19">
        <v>1007620183</v>
      </c>
      <c r="S85" s="19" t="s">
        <v>45</v>
      </c>
      <c r="T85" s="56">
        <v>9446817000162</v>
      </c>
      <c r="U85" s="70" t="s">
        <v>36</v>
      </c>
      <c r="V85" s="70">
        <v>11311094</v>
      </c>
    </row>
    <row r="86" spans="1:22" s="2" customFormat="1" ht="16.5" hidden="1" customHeight="1">
      <c r="A86" s="25" t="str">
        <f>TEXT(B86,"mm/aaaa")</f>
        <v>03/2026</v>
      </c>
      <c r="B86" s="21">
        <v>46108</v>
      </c>
      <c r="C86" s="8" t="s">
        <v>33</v>
      </c>
      <c r="D86" s="9">
        <v>286</v>
      </c>
      <c r="E86" s="9">
        <v>1800000330</v>
      </c>
      <c r="F86" s="10">
        <v>4605.8</v>
      </c>
      <c r="G86" s="11">
        <v>0</v>
      </c>
      <c r="H86" s="11">
        <f>ROUND(F86*1.5%,2)</f>
        <v>69.09</v>
      </c>
      <c r="I86" s="11">
        <f>ROUND(F86*1%,2)</f>
        <v>46.06</v>
      </c>
      <c r="J86" s="11">
        <f>ROUND(F86*3%,2)</f>
        <v>138.16999999999999</v>
      </c>
      <c r="K86" s="11">
        <f>ROUND(F86*0.65%,2)</f>
        <v>29.94</v>
      </c>
      <c r="L86" s="12">
        <f>SUM(I86:K86)</f>
        <v>214.17</v>
      </c>
      <c r="M86" s="12">
        <f>F86-H86-I86-J86-K86</f>
        <v>4322.54</v>
      </c>
      <c r="N86" s="28">
        <v>1400000660</v>
      </c>
      <c r="O86" s="223">
        <v>46162</v>
      </c>
      <c r="P86" s="226" t="s">
        <v>43</v>
      </c>
      <c r="Q86" s="17" t="s">
        <v>44</v>
      </c>
      <c r="R86" s="19">
        <v>1007620183</v>
      </c>
      <c r="S86" s="19" t="s">
        <v>45</v>
      </c>
      <c r="T86" s="56">
        <v>9446817000162</v>
      </c>
      <c r="U86" s="70" t="s">
        <v>36</v>
      </c>
      <c r="V86" s="18">
        <v>11132050</v>
      </c>
    </row>
    <row r="87" spans="1:22" s="2" customFormat="1" ht="16.5" hidden="1" customHeight="1">
      <c r="A87" s="25" t="str">
        <f>TEXT(B87,"mm/aaaa")</f>
        <v>04/2026</v>
      </c>
      <c r="B87" s="21">
        <v>46118</v>
      </c>
      <c r="C87" s="8" t="s">
        <v>33</v>
      </c>
      <c r="D87" s="9">
        <v>297</v>
      </c>
      <c r="E87" s="9">
        <v>1800000466</v>
      </c>
      <c r="F87" s="10">
        <v>2127</v>
      </c>
      <c r="G87" s="11">
        <v>0</v>
      </c>
      <c r="H87" s="11">
        <f>ROUND(F87*1.5%,2)</f>
        <v>31.91</v>
      </c>
      <c r="I87" s="11">
        <f>ROUND(F87*1%,2)</f>
        <v>21.27</v>
      </c>
      <c r="J87" s="11">
        <f>ROUND(F87*3%,2)</f>
        <v>63.81</v>
      </c>
      <c r="K87" s="11">
        <f>ROUND(F87*0.65%,2)</f>
        <v>13.83</v>
      </c>
      <c r="L87" s="12">
        <f>SUM(I87:K87)</f>
        <v>98.91</v>
      </c>
      <c r="M87" s="12">
        <f>F87-H87-I87-J87-K87</f>
        <v>1996.1800000000003</v>
      </c>
      <c r="N87" s="28">
        <v>1400000615</v>
      </c>
      <c r="O87" s="223">
        <v>46170</v>
      </c>
      <c r="P87" s="226" t="s">
        <v>43</v>
      </c>
      <c r="Q87" s="17" t="s">
        <v>34</v>
      </c>
      <c r="R87" s="19">
        <v>1013447909</v>
      </c>
      <c r="S87" s="19" t="s">
        <v>67</v>
      </c>
      <c r="T87" s="55">
        <v>5514753000139</v>
      </c>
      <c r="U87" s="70" t="s">
        <v>36</v>
      </c>
      <c r="V87" s="70">
        <v>11311094</v>
      </c>
    </row>
    <row r="88" spans="1:22" s="2" customFormat="1" ht="16.5" hidden="1" customHeight="1">
      <c r="A88" s="25" t="str">
        <f>TEXT(B88,"mm/aaaa")</f>
        <v>04/2026</v>
      </c>
      <c r="B88" s="21">
        <v>46118</v>
      </c>
      <c r="C88" s="8" t="s">
        <v>33</v>
      </c>
      <c r="D88" s="9">
        <v>301</v>
      </c>
      <c r="E88" s="9">
        <v>1800000435</v>
      </c>
      <c r="F88" s="10">
        <v>250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2">
        <f>SUM(I88:K88)</f>
        <v>0</v>
      </c>
      <c r="M88" s="12">
        <f>F88-H88-I88-J88-K88</f>
        <v>250</v>
      </c>
      <c r="N88" s="28">
        <v>1400000465</v>
      </c>
      <c r="O88" s="223">
        <v>46156</v>
      </c>
      <c r="P88" s="226" t="s">
        <v>43</v>
      </c>
      <c r="Q88" s="17" t="s">
        <v>34</v>
      </c>
      <c r="R88" s="19">
        <v>1018840151</v>
      </c>
      <c r="S88" s="19" t="s">
        <v>55</v>
      </c>
      <c r="T88" s="55">
        <v>55365607000167</v>
      </c>
      <c r="U88" s="18" t="s">
        <v>62</v>
      </c>
      <c r="V88" s="18">
        <v>11132050</v>
      </c>
    </row>
    <row r="89" spans="1:22" s="2" customFormat="1" ht="16.5" hidden="1" customHeight="1">
      <c r="A89" s="18" t="s">
        <v>43</v>
      </c>
      <c r="B89" s="21">
        <v>46150</v>
      </c>
      <c r="C89" s="8" t="s">
        <v>33</v>
      </c>
      <c r="D89" s="9">
        <v>345</v>
      </c>
      <c r="E89" s="117"/>
      <c r="F89" s="118">
        <v>3339</v>
      </c>
      <c r="G89" s="11">
        <v>0</v>
      </c>
      <c r="H89" s="11">
        <f>ROUND(F89*1.5%,2)</f>
        <v>50.09</v>
      </c>
      <c r="I89" s="11">
        <f>ROUND(F89*1%,2)</f>
        <v>33.39</v>
      </c>
      <c r="J89" s="11">
        <f>ROUND(F89*3%,2)</f>
        <v>100.17</v>
      </c>
      <c r="K89" s="11">
        <f>ROUND(F89*0.65%,2)</f>
        <v>21.7</v>
      </c>
      <c r="L89" s="12">
        <f>SUM(I89:K89)</f>
        <v>155.26</v>
      </c>
      <c r="M89" s="12">
        <f>F89-H89-I89-J89-K89</f>
        <v>3133.65</v>
      </c>
      <c r="N89" s="28">
        <v>1400000600</v>
      </c>
      <c r="O89" s="223">
        <v>46169</v>
      </c>
      <c r="P89" s="225" t="s">
        <v>43</v>
      </c>
      <c r="Q89" s="119" t="s">
        <v>106</v>
      </c>
      <c r="R89" s="18">
        <f>VLOOKUP(T89,'[1]SOMPO RISK'!$A$1:$C$40,3,0)</f>
        <v>1013232744</v>
      </c>
      <c r="S89" s="18" t="s">
        <v>107</v>
      </c>
      <c r="T89" s="56">
        <v>14444785000104</v>
      </c>
      <c r="U89" s="139" t="s">
        <v>36</v>
      </c>
      <c r="V89" s="70">
        <v>11311094</v>
      </c>
    </row>
    <row r="90" spans="1:22" s="2" customFormat="1" ht="16.5" hidden="1" customHeight="1">
      <c r="A90" s="18" t="s">
        <v>43</v>
      </c>
      <c r="B90" s="21">
        <v>46150</v>
      </c>
      <c r="C90" s="8" t="s">
        <v>33</v>
      </c>
      <c r="D90" s="9">
        <v>348</v>
      </c>
      <c r="E90" s="117"/>
      <c r="F90" s="118">
        <v>9993</v>
      </c>
      <c r="G90" s="11">
        <v>0</v>
      </c>
      <c r="H90" s="11">
        <f>ROUND(F90*1.5%,2)</f>
        <v>149.9</v>
      </c>
      <c r="I90" s="11">
        <f>ROUND(F90*1%,2)</f>
        <v>99.93</v>
      </c>
      <c r="J90" s="11">
        <f>ROUND(F90*3%,2)</f>
        <v>299.79000000000002</v>
      </c>
      <c r="K90" s="11">
        <f>ROUND(F90*0.65%,2)</f>
        <v>64.95</v>
      </c>
      <c r="L90" s="12">
        <f>SUM(I90:K90)</f>
        <v>464.67</v>
      </c>
      <c r="M90" s="12">
        <f>F90-H90-I90-J90-K90</f>
        <v>9378.4299999999985</v>
      </c>
      <c r="N90" s="28">
        <v>1400000334</v>
      </c>
      <c r="O90" s="223">
        <v>46171</v>
      </c>
      <c r="P90" s="225" t="s">
        <v>43</v>
      </c>
      <c r="Q90" s="119" t="s">
        <v>106</v>
      </c>
      <c r="R90" s="18">
        <f>VLOOKUP(T90,'[1]SOMPO RISK'!$A$1:$C$40,3,0)</f>
        <v>1019275110</v>
      </c>
      <c r="S90" s="18" t="s">
        <v>109</v>
      </c>
      <c r="T90" s="56">
        <v>26822980000100</v>
      </c>
      <c r="U90" s="220" t="s">
        <v>36</v>
      </c>
      <c r="V90" s="70">
        <v>11311094</v>
      </c>
    </row>
    <row r="91" spans="1:22" s="2" customFormat="1" ht="16.5" hidden="1" customHeight="1">
      <c r="A91" s="109" t="s">
        <v>43</v>
      </c>
      <c r="B91" s="21">
        <v>46150</v>
      </c>
      <c r="C91" s="8" t="s">
        <v>33</v>
      </c>
      <c r="D91" s="9">
        <v>350</v>
      </c>
      <c r="E91" s="111"/>
      <c r="F91" s="112">
        <v>4650.5</v>
      </c>
      <c r="G91" s="11">
        <v>0</v>
      </c>
      <c r="H91" s="11">
        <f>ROUND(F91*1.5%,2)</f>
        <v>69.760000000000005</v>
      </c>
      <c r="I91" s="11">
        <f>ROUND(F91*1%,2)</f>
        <v>46.51</v>
      </c>
      <c r="J91" s="11">
        <f>ROUND(F91*3%,2)</f>
        <v>139.52000000000001</v>
      </c>
      <c r="K91" s="11">
        <f>ROUND(F91*0.65%,2)</f>
        <v>30.23</v>
      </c>
      <c r="L91" s="12">
        <f>SUM(I91:K91)</f>
        <v>216.26</v>
      </c>
      <c r="M91" s="12">
        <f>F91-H91-I91-J91-K91</f>
        <v>4364.4799999999996</v>
      </c>
      <c r="N91" s="28">
        <v>1400000286</v>
      </c>
      <c r="O91" s="223">
        <v>46171</v>
      </c>
      <c r="P91" s="225" t="s">
        <v>43</v>
      </c>
      <c r="Q91" s="107" t="s">
        <v>106</v>
      </c>
      <c r="R91" s="110">
        <f>VLOOKUP(T91,'[1]SOMPO RISK'!$A$1:$C$40,3,0)</f>
        <v>1001187614</v>
      </c>
      <c r="S91" s="110" t="s">
        <v>111</v>
      </c>
      <c r="T91" s="56">
        <v>7881225000143</v>
      </c>
      <c r="U91" s="137" t="s">
        <v>36</v>
      </c>
      <c r="V91" s="70">
        <v>11311094</v>
      </c>
    </row>
    <row r="92" spans="1:22" s="2" customFormat="1" ht="16.5" customHeight="1">
      <c r="A92" s="25" t="s">
        <v>43</v>
      </c>
      <c r="B92" s="21">
        <v>46148</v>
      </c>
      <c r="C92" s="8" t="s">
        <v>33</v>
      </c>
      <c r="D92" s="9">
        <v>322</v>
      </c>
      <c r="E92" s="9">
        <v>1800000615</v>
      </c>
      <c r="F92" s="10">
        <v>250</v>
      </c>
      <c r="G92" s="11">
        <v>0</v>
      </c>
      <c r="H92" s="11">
        <v>0</v>
      </c>
      <c r="I92" s="11">
        <f>ROUND(F92*1%,2)</f>
        <v>2.5</v>
      </c>
      <c r="J92" s="11">
        <f>ROUND(F92*3%,2)</f>
        <v>7.5</v>
      </c>
      <c r="K92" s="11">
        <f>ROUND(F92*0.65%,2)</f>
        <v>1.63</v>
      </c>
      <c r="L92" s="12">
        <f>SUM(I92:K92)</f>
        <v>11.629999999999999</v>
      </c>
      <c r="M92" s="12">
        <f>F92-H92-I92-J92-K92</f>
        <v>238.37</v>
      </c>
      <c r="N92" s="28">
        <v>1400000645</v>
      </c>
      <c r="O92" s="223">
        <v>46174</v>
      </c>
      <c r="P92" s="227" t="s">
        <v>54</v>
      </c>
      <c r="Q92" s="17" t="s">
        <v>34</v>
      </c>
      <c r="R92" s="19">
        <v>1016771816</v>
      </c>
      <c r="S92" s="19" t="s">
        <v>85</v>
      </c>
      <c r="T92" s="56">
        <v>41607658000143</v>
      </c>
      <c r="U92" s="70" t="s">
        <v>73</v>
      </c>
      <c r="V92" s="70">
        <v>11311094</v>
      </c>
    </row>
    <row r="93" spans="1:22" s="2" customFormat="1" ht="16.5" customHeight="1">
      <c r="A93" s="25" t="s">
        <v>174</v>
      </c>
      <c r="B93" s="21">
        <v>46062</v>
      </c>
      <c r="C93" s="8" t="s">
        <v>33</v>
      </c>
      <c r="D93" s="9">
        <v>268</v>
      </c>
      <c r="E93" s="9">
        <v>1800000106</v>
      </c>
      <c r="F93" s="10">
        <v>69</v>
      </c>
      <c r="G93" s="11"/>
      <c r="H93" s="11">
        <v>0</v>
      </c>
      <c r="I93" s="11">
        <v>0</v>
      </c>
      <c r="J93" s="11">
        <v>0</v>
      </c>
      <c r="K93" s="11">
        <v>0</v>
      </c>
      <c r="L93" s="12">
        <v>0</v>
      </c>
      <c r="M93" s="12">
        <v>69</v>
      </c>
      <c r="N93" s="28">
        <v>1400000750</v>
      </c>
      <c r="O93" s="223">
        <v>46198</v>
      </c>
      <c r="P93" s="223" t="s">
        <v>54</v>
      </c>
      <c r="Q93" s="17" t="s">
        <v>34</v>
      </c>
      <c r="R93" s="19">
        <v>1018840151</v>
      </c>
      <c r="S93" s="19" t="s">
        <v>55</v>
      </c>
      <c r="T93" s="55">
        <v>55365607000167</v>
      </c>
      <c r="U93" s="18" t="s">
        <v>56</v>
      </c>
      <c r="V93" s="70">
        <v>11311094</v>
      </c>
    </row>
    <row r="94" spans="1:22" s="2" customFormat="1" ht="16.5" customHeight="1">
      <c r="A94" s="25" t="s">
        <v>65</v>
      </c>
      <c r="B94" s="21">
        <v>46118</v>
      </c>
      <c r="C94" s="8" t="s">
        <v>33</v>
      </c>
      <c r="D94" s="9">
        <v>289</v>
      </c>
      <c r="E94" s="9">
        <v>1800000422</v>
      </c>
      <c r="F94" s="10">
        <v>333</v>
      </c>
      <c r="G94" s="11">
        <v>0</v>
      </c>
      <c r="H94" s="11">
        <v>0</v>
      </c>
      <c r="I94" s="11">
        <f>ROUND(F94*1%,2)</f>
        <v>3.33</v>
      </c>
      <c r="J94" s="11">
        <f>ROUND(F94*3%,2)</f>
        <v>9.99</v>
      </c>
      <c r="K94" s="11">
        <f>ROUND(F94*0.65%,2)</f>
        <v>2.16</v>
      </c>
      <c r="L94" s="12">
        <f>SUM(I94:K94)</f>
        <v>15.48</v>
      </c>
      <c r="M94" s="12">
        <v>317.52</v>
      </c>
      <c r="N94" s="28">
        <v>1400000766</v>
      </c>
      <c r="O94" s="223">
        <v>46198</v>
      </c>
      <c r="P94" s="223" t="s">
        <v>54</v>
      </c>
      <c r="Q94" s="17" t="s">
        <v>34</v>
      </c>
      <c r="R94" s="19">
        <v>1013068932</v>
      </c>
      <c r="S94" s="19" t="s">
        <v>63</v>
      </c>
      <c r="T94" s="55">
        <v>27562235000123</v>
      </c>
      <c r="U94" s="70" t="s">
        <v>36</v>
      </c>
      <c r="V94" s="70">
        <v>11311094</v>
      </c>
    </row>
    <row r="95" spans="1:22" s="2" customFormat="1" ht="16.5" customHeight="1">
      <c r="A95" s="25" t="s">
        <v>54</v>
      </c>
      <c r="B95" s="21">
        <v>46182</v>
      </c>
      <c r="C95" s="8" t="s">
        <v>33</v>
      </c>
      <c r="D95" s="9">
        <v>384</v>
      </c>
      <c r="E95" s="9">
        <v>1800000844</v>
      </c>
      <c r="F95" s="10">
        <v>690</v>
      </c>
      <c r="G95" s="11">
        <v>0</v>
      </c>
      <c r="H95" s="11">
        <v>10.35</v>
      </c>
      <c r="I95" s="11">
        <f>ROUND(F95*1%,2)</f>
        <v>6.9</v>
      </c>
      <c r="J95" s="11">
        <f>ROUND(F95*3%,2)</f>
        <v>20.7</v>
      </c>
      <c r="K95" s="11">
        <f>ROUND(F95*0.65%,2)</f>
        <v>4.49</v>
      </c>
      <c r="L95" s="12">
        <f>SUM(I95:K95)</f>
        <v>32.090000000000003</v>
      </c>
      <c r="M95" s="12">
        <v>647.55999999999995</v>
      </c>
      <c r="N95" s="28">
        <v>1400000697</v>
      </c>
      <c r="O95" s="223">
        <v>46182</v>
      </c>
      <c r="P95" s="227" t="s">
        <v>54</v>
      </c>
      <c r="Q95" s="17" t="s">
        <v>34</v>
      </c>
      <c r="R95" s="19">
        <v>1015739477</v>
      </c>
      <c r="S95" s="19" t="s">
        <v>95</v>
      </c>
      <c r="T95" s="56">
        <v>39857410000199</v>
      </c>
      <c r="U95" s="70" t="s">
        <v>36</v>
      </c>
      <c r="V95" s="70">
        <v>11311094</v>
      </c>
    </row>
    <row r="96" spans="1:22" s="2" customFormat="1" ht="16.5" customHeight="1">
      <c r="A96" s="25" t="s">
        <v>54</v>
      </c>
      <c r="B96" s="21">
        <v>46182</v>
      </c>
      <c r="C96" s="8" t="s">
        <v>33</v>
      </c>
      <c r="D96" s="9">
        <v>365</v>
      </c>
      <c r="E96" s="9">
        <v>1800000782</v>
      </c>
      <c r="F96" s="10">
        <v>930</v>
      </c>
      <c r="G96" s="11">
        <v>0</v>
      </c>
      <c r="H96" s="11">
        <v>13.95</v>
      </c>
      <c r="I96" s="11">
        <f>ROUND(F96*1%,2)</f>
        <v>9.3000000000000007</v>
      </c>
      <c r="J96" s="11">
        <f>ROUND(F96*3%,2)</f>
        <v>27.9</v>
      </c>
      <c r="K96" s="11">
        <f>ROUND(F96*0.65%,2)</f>
        <v>6.05</v>
      </c>
      <c r="L96" s="12">
        <f>SUM(I96:K96)</f>
        <v>43.25</v>
      </c>
      <c r="M96" s="12">
        <v>872.80000000000007</v>
      </c>
      <c r="N96" s="28">
        <v>1400000720</v>
      </c>
      <c r="O96" s="223">
        <v>46182</v>
      </c>
      <c r="P96" s="227" t="s">
        <v>54</v>
      </c>
      <c r="Q96" s="17" t="s">
        <v>34</v>
      </c>
      <c r="R96" s="19">
        <v>1019125108</v>
      </c>
      <c r="S96" s="19" t="s">
        <v>117</v>
      </c>
      <c r="T96" s="56">
        <v>8799020000186</v>
      </c>
      <c r="U96" s="70" t="s">
        <v>36</v>
      </c>
      <c r="V96" s="70">
        <v>11311094</v>
      </c>
    </row>
    <row r="97" spans="1:22" s="2" customFormat="1" ht="16.5" customHeight="1">
      <c r="A97" s="25" t="s">
        <v>54</v>
      </c>
      <c r="B97" s="21">
        <v>46182</v>
      </c>
      <c r="C97" s="8" t="s">
        <v>33</v>
      </c>
      <c r="D97" s="9">
        <v>364</v>
      </c>
      <c r="E97" s="9">
        <v>1800000781</v>
      </c>
      <c r="F97" s="10">
        <v>966</v>
      </c>
      <c r="G97" s="11">
        <v>0</v>
      </c>
      <c r="H97" s="11">
        <v>14.49</v>
      </c>
      <c r="I97" s="11">
        <f>ROUND(F97*1%,2)</f>
        <v>9.66</v>
      </c>
      <c r="J97" s="11">
        <f>ROUND(F97*3%,2)</f>
        <v>28.98</v>
      </c>
      <c r="K97" s="11">
        <f>ROUND(F97*0.65%,2)</f>
        <v>6.28</v>
      </c>
      <c r="L97" s="12">
        <f>SUM(I97:K97)</f>
        <v>44.92</v>
      </c>
      <c r="M97" s="12">
        <v>906.59</v>
      </c>
      <c r="N97" s="28">
        <v>1400000705</v>
      </c>
      <c r="O97" s="223">
        <v>46182</v>
      </c>
      <c r="P97" s="227" t="s">
        <v>54</v>
      </c>
      <c r="Q97" s="17" t="s">
        <v>34</v>
      </c>
      <c r="R97" s="19">
        <v>1015741186</v>
      </c>
      <c r="S97" s="19" t="s">
        <v>116</v>
      </c>
      <c r="T97" s="56">
        <v>8208384000225</v>
      </c>
      <c r="U97" s="127" t="s">
        <v>36</v>
      </c>
      <c r="V97" s="70">
        <v>11311094</v>
      </c>
    </row>
    <row r="98" spans="1:22" s="2" customFormat="1" ht="16.5" customHeight="1">
      <c r="A98" s="25" t="s">
        <v>43</v>
      </c>
      <c r="B98" s="21">
        <v>46148</v>
      </c>
      <c r="C98" s="8" t="s">
        <v>33</v>
      </c>
      <c r="D98" s="9">
        <v>323</v>
      </c>
      <c r="E98" s="9">
        <v>1800000601</v>
      </c>
      <c r="F98" s="10">
        <v>69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2">
        <v>0</v>
      </c>
      <c r="M98" s="12">
        <v>69</v>
      </c>
      <c r="N98" s="28">
        <v>1400000691</v>
      </c>
      <c r="O98" s="223">
        <v>46198</v>
      </c>
      <c r="P98" s="226" t="s">
        <v>54</v>
      </c>
      <c r="Q98" s="17" t="s">
        <v>34</v>
      </c>
      <c r="R98" s="19">
        <v>1019230094</v>
      </c>
      <c r="S98" s="19" t="s">
        <v>86</v>
      </c>
      <c r="T98" s="56">
        <v>46923661000190</v>
      </c>
      <c r="U98" s="127" t="s">
        <v>56</v>
      </c>
      <c r="V98" s="70">
        <v>11311094</v>
      </c>
    </row>
    <row r="99" spans="1:22" s="2" customFormat="1" ht="16.5" customHeight="1">
      <c r="A99" s="25" t="s">
        <v>65</v>
      </c>
      <c r="B99" s="21">
        <v>46118</v>
      </c>
      <c r="C99" s="8" t="s">
        <v>33</v>
      </c>
      <c r="D99" s="9">
        <v>309</v>
      </c>
      <c r="E99" s="9">
        <v>1800000137</v>
      </c>
      <c r="F99" s="10">
        <v>975</v>
      </c>
      <c r="G99" s="11">
        <v>0</v>
      </c>
      <c r="H99" s="11">
        <v>14.63</v>
      </c>
      <c r="I99" s="11">
        <f>ROUND(F99*1%,2)</f>
        <v>9.75</v>
      </c>
      <c r="J99" s="11">
        <f>ROUND(F99*3%,2)</f>
        <v>29.25</v>
      </c>
      <c r="K99" s="11">
        <f>ROUND(F99*0.65%,2)</f>
        <v>6.34</v>
      </c>
      <c r="L99" s="12">
        <f>SUM(I99:K99)</f>
        <v>45.34</v>
      </c>
      <c r="M99" s="12">
        <v>915.03</v>
      </c>
      <c r="N99" s="28">
        <v>1400000196</v>
      </c>
      <c r="O99" s="223">
        <v>46198</v>
      </c>
      <c r="P99" s="223" t="s">
        <v>54</v>
      </c>
      <c r="Q99" s="17" t="s">
        <v>34</v>
      </c>
      <c r="R99" s="19">
        <v>1019200174</v>
      </c>
      <c r="S99" s="19" t="s">
        <v>71</v>
      </c>
      <c r="T99" s="55">
        <v>32817557000106</v>
      </c>
      <c r="U99" s="127" t="s">
        <v>36</v>
      </c>
      <c r="V99" s="70">
        <v>11132091</v>
      </c>
    </row>
    <row r="100" spans="1:22" s="2" customFormat="1" ht="16.5" customHeight="1">
      <c r="A100" s="25" t="s">
        <v>54</v>
      </c>
      <c r="B100" s="21">
        <v>46182</v>
      </c>
      <c r="C100" s="8" t="s">
        <v>33</v>
      </c>
      <c r="D100" s="9">
        <v>371</v>
      </c>
      <c r="E100" s="9">
        <v>1800000783</v>
      </c>
      <c r="F100" s="10">
        <v>1299</v>
      </c>
      <c r="G100" s="11">
        <v>0</v>
      </c>
      <c r="H100" s="11">
        <v>19.489999999999998</v>
      </c>
      <c r="I100" s="11">
        <f>ROUND(F100*1%,2)</f>
        <v>12.99</v>
      </c>
      <c r="J100" s="11">
        <f>ROUND(F100*3%,2)</f>
        <v>38.97</v>
      </c>
      <c r="K100" s="11">
        <f>ROUND(F100*0.65%,2)</f>
        <v>8.44</v>
      </c>
      <c r="L100" s="12">
        <f>SUM(I100:K100)</f>
        <v>60.4</v>
      </c>
      <c r="M100" s="12">
        <v>1219.1099999999999</v>
      </c>
      <c r="N100" s="28">
        <v>1400000695</v>
      </c>
      <c r="O100" s="223">
        <v>46182</v>
      </c>
      <c r="P100" s="227" t="s">
        <v>54</v>
      </c>
      <c r="Q100" s="17" t="s">
        <v>34</v>
      </c>
      <c r="R100" s="19">
        <v>1013068932</v>
      </c>
      <c r="S100" s="19" t="s">
        <v>119</v>
      </c>
      <c r="T100" s="56">
        <v>27562235000123</v>
      </c>
      <c r="U100" s="127" t="s">
        <v>36</v>
      </c>
      <c r="V100" s="70">
        <v>11311094</v>
      </c>
    </row>
    <row r="101" spans="1:22" s="4" customFormat="1" ht="16.5" customHeight="1">
      <c r="A101" s="129" t="s">
        <v>54</v>
      </c>
      <c r="B101" s="113">
        <v>46182</v>
      </c>
      <c r="C101" s="8" t="s">
        <v>33</v>
      </c>
      <c r="D101" s="9">
        <v>361</v>
      </c>
      <c r="E101" s="130">
        <v>1800000227</v>
      </c>
      <c r="F101" s="131">
        <v>250</v>
      </c>
      <c r="G101" s="108">
        <v>0</v>
      </c>
      <c r="H101" s="108">
        <v>0</v>
      </c>
      <c r="I101" s="11">
        <f>ROUND(F101*1%,2)</f>
        <v>2.5</v>
      </c>
      <c r="J101" s="11">
        <f>ROUND(F101*3%,2)</f>
        <v>7.5</v>
      </c>
      <c r="K101" s="11">
        <f>ROUND(F101*0.65%,2)</f>
        <v>1.63</v>
      </c>
      <c r="L101" s="12">
        <f>SUM(I101:K101)</f>
        <v>11.629999999999999</v>
      </c>
      <c r="M101" s="114">
        <v>238.37</v>
      </c>
      <c r="N101" s="28">
        <v>1400000287</v>
      </c>
      <c r="O101" s="223">
        <v>46182</v>
      </c>
      <c r="P101" s="227" t="s">
        <v>54</v>
      </c>
      <c r="Q101" s="132" t="s">
        <v>34</v>
      </c>
      <c r="R101" s="133">
        <v>1002640697</v>
      </c>
      <c r="S101" s="133" t="s">
        <v>87</v>
      </c>
      <c r="T101" s="116">
        <v>5370882000109</v>
      </c>
      <c r="U101" s="2" t="s">
        <v>36</v>
      </c>
      <c r="V101" s="70">
        <v>11311094</v>
      </c>
    </row>
    <row r="102" spans="1:22" s="2" customFormat="1" ht="16.5" customHeight="1">
      <c r="A102" s="25" t="s">
        <v>54</v>
      </c>
      <c r="B102" s="21">
        <v>46182</v>
      </c>
      <c r="C102" s="8" t="s">
        <v>33</v>
      </c>
      <c r="D102" s="9">
        <v>363</v>
      </c>
      <c r="E102" s="9">
        <v>1800000751</v>
      </c>
      <c r="F102" s="10">
        <v>250</v>
      </c>
      <c r="G102" s="11">
        <v>0</v>
      </c>
      <c r="H102" s="11">
        <v>0</v>
      </c>
      <c r="I102" s="11">
        <f>ROUND(F102*1%,2)</f>
        <v>2.5</v>
      </c>
      <c r="J102" s="11">
        <f>ROUND(F102*3%,2)</f>
        <v>7.5</v>
      </c>
      <c r="K102" s="11">
        <f>ROUND(F102*0.65%,2)</f>
        <v>1.63</v>
      </c>
      <c r="L102" s="12">
        <f>SUM(I102:K102)</f>
        <v>11.629999999999999</v>
      </c>
      <c r="M102" s="12">
        <v>238.37</v>
      </c>
      <c r="N102" s="28">
        <v>1400000288</v>
      </c>
      <c r="O102" s="223">
        <v>46182</v>
      </c>
      <c r="P102" s="227" t="s">
        <v>54</v>
      </c>
      <c r="Q102" s="17" t="s">
        <v>34</v>
      </c>
      <c r="R102" s="19">
        <v>1005618488</v>
      </c>
      <c r="S102" s="19" t="s">
        <v>115</v>
      </c>
      <c r="T102" s="56">
        <v>8152302000197</v>
      </c>
      <c r="U102" s="127" t="s">
        <v>36</v>
      </c>
      <c r="V102" s="70">
        <v>11132091</v>
      </c>
    </row>
    <row r="103" spans="1:22" s="4" customFormat="1" ht="14.1" customHeight="1">
      <c r="A103" s="25" t="s">
        <v>54</v>
      </c>
      <c r="B103" s="21">
        <v>46182</v>
      </c>
      <c r="C103" s="8" t="s">
        <v>33</v>
      </c>
      <c r="D103" s="9">
        <v>372</v>
      </c>
      <c r="E103" s="9">
        <v>1800000825</v>
      </c>
      <c r="F103" s="10">
        <v>1434</v>
      </c>
      <c r="G103" s="11">
        <v>0</v>
      </c>
      <c r="H103" s="11">
        <v>21.51</v>
      </c>
      <c r="I103" s="11">
        <f>ROUND(F103*1%,2)</f>
        <v>14.34</v>
      </c>
      <c r="J103" s="11">
        <f>ROUND(F103*3%,2)</f>
        <v>43.02</v>
      </c>
      <c r="K103" s="11">
        <f>ROUND(F103*0.65%,2)</f>
        <v>9.32</v>
      </c>
      <c r="L103" s="12">
        <f>SUM(I103:K103)</f>
        <v>66.680000000000007</v>
      </c>
      <c r="M103" s="12">
        <v>1345.8100000000002</v>
      </c>
      <c r="N103" s="28">
        <v>1400000696</v>
      </c>
      <c r="O103" s="223">
        <v>46182</v>
      </c>
      <c r="P103" s="227" t="s">
        <v>54</v>
      </c>
      <c r="Q103" s="17" t="s">
        <v>34</v>
      </c>
      <c r="R103" s="19">
        <v>1018585294</v>
      </c>
      <c r="S103" s="19" t="s">
        <v>120</v>
      </c>
      <c r="T103" s="116">
        <v>29260142000170</v>
      </c>
      <c r="U103" s="127" t="s">
        <v>36</v>
      </c>
      <c r="V103" s="70">
        <v>11132091</v>
      </c>
    </row>
    <row r="104" spans="1:22" s="4" customFormat="1" ht="14.1" customHeight="1">
      <c r="A104" s="25" t="s">
        <v>54</v>
      </c>
      <c r="B104" s="21">
        <v>46182</v>
      </c>
      <c r="C104" s="8" t="s">
        <v>33</v>
      </c>
      <c r="D104" s="9">
        <v>368</v>
      </c>
      <c r="E104" s="9">
        <v>1800000810</v>
      </c>
      <c r="F104" s="10">
        <v>2151</v>
      </c>
      <c r="G104" s="11">
        <v>0</v>
      </c>
      <c r="H104" s="11">
        <v>32.270000000000003</v>
      </c>
      <c r="I104" s="11">
        <f>ROUND(F104*1%,2)</f>
        <v>21.51</v>
      </c>
      <c r="J104" s="11">
        <f>ROUND(F104*3%,2)</f>
        <v>64.53</v>
      </c>
      <c r="K104" s="11">
        <f>ROUND(F104*0.65%,2)</f>
        <v>13.98</v>
      </c>
      <c r="L104" s="12">
        <f>SUM(I104:K104)</f>
        <v>100.02000000000001</v>
      </c>
      <c r="M104" s="12">
        <v>2018.71</v>
      </c>
      <c r="N104" s="28">
        <v>1400000693</v>
      </c>
      <c r="O104" s="223">
        <v>46182</v>
      </c>
      <c r="P104" s="227" t="s">
        <v>54</v>
      </c>
      <c r="Q104" s="17" t="s">
        <v>34</v>
      </c>
      <c r="R104" s="19">
        <v>1016411263</v>
      </c>
      <c r="S104" s="19" t="s">
        <v>99</v>
      </c>
      <c r="T104" s="116">
        <v>13214075000117</v>
      </c>
      <c r="U104" s="127" t="s">
        <v>36</v>
      </c>
      <c r="V104" s="70">
        <v>11132091</v>
      </c>
    </row>
    <row r="105" spans="1:22" s="4" customFormat="1" ht="14.1" customHeight="1">
      <c r="A105" s="25" t="s">
        <v>43</v>
      </c>
      <c r="B105" s="21">
        <v>46148</v>
      </c>
      <c r="C105" s="8" t="s">
        <v>33</v>
      </c>
      <c r="D105" s="9">
        <v>314</v>
      </c>
      <c r="E105" s="9">
        <v>1800000585</v>
      </c>
      <c r="F105" s="10">
        <v>2474.5</v>
      </c>
      <c r="G105" s="11">
        <v>0</v>
      </c>
      <c r="H105" s="11">
        <v>37.119999999999997</v>
      </c>
      <c r="I105" s="11">
        <f>ROUND(F105*1%,2)</f>
        <v>24.75</v>
      </c>
      <c r="J105" s="11">
        <f>ROUND(F105*3%,2)</f>
        <v>74.239999999999995</v>
      </c>
      <c r="K105" s="11">
        <f>ROUND(F105*0.65%,2)</f>
        <v>16.079999999999998</v>
      </c>
      <c r="L105" s="12">
        <f>SUM(I105:K105)</f>
        <v>115.07</v>
      </c>
      <c r="M105" s="12">
        <v>2322.3100000000004</v>
      </c>
      <c r="N105" s="28">
        <v>1400000690</v>
      </c>
      <c r="O105" s="223">
        <v>46198</v>
      </c>
      <c r="P105" s="226" t="s">
        <v>54</v>
      </c>
      <c r="Q105" s="17" t="s">
        <v>34</v>
      </c>
      <c r="R105" s="19">
        <v>1013068932</v>
      </c>
      <c r="S105" s="19" t="s">
        <v>77</v>
      </c>
      <c r="T105" s="116">
        <v>27562235000123</v>
      </c>
      <c r="U105" s="127" t="s">
        <v>36</v>
      </c>
      <c r="V105" s="70">
        <v>11132091</v>
      </c>
    </row>
    <row r="106" spans="1:22" s="106" customFormat="1" ht="14.1" customHeight="1">
      <c r="A106" s="25" t="s">
        <v>54</v>
      </c>
      <c r="B106" s="21">
        <v>46182</v>
      </c>
      <c r="C106" s="8" t="s">
        <v>33</v>
      </c>
      <c r="D106" s="9">
        <v>367</v>
      </c>
      <c r="E106" s="9">
        <v>1800000795</v>
      </c>
      <c r="F106" s="10">
        <v>250</v>
      </c>
      <c r="G106" s="11">
        <v>0</v>
      </c>
      <c r="H106" s="11">
        <v>0</v>
      </c>
      <c r="I106" s="11">
        <f>ROUND(F106*1%,2)</f>
        <v>2.5</v>
      </c>
      <c r="J106" s="11">
        <f>ROUND(F106*3%,2)</f>
        <v>7.5</v>
      </c>
      <c r="K106" s="11">
        <f>ROUND(F106*0.65%,2)</f>
        <v>1.63</v>
      </c>
      <c r="L106" s="12">
        <f>SUM(I106:K106)</f>
        <v>11.629999999999999</v>
      </c>
      <c r="M106" s="12">
        <v>238.37</v>
      </c>
      <c r="N106" s="28">
        <v>1400000692</v>
      </c>
      <c r="O106" s="223">
        <v>46182</v>
      </c>
      <c r="P106" s="227" t="s">
        <v>54</v>
      </c>
      <c r="Q106" s="17" t="s">
        <v>34</v>
      </c>
      <c r="R106" s="19">
        <v>1018225255</v>
      </c>
      <c r="S106" s="19" t="s">
        <v>118</v>
      </c>
      <c r="T106" s="116">
        <v>13187864000106</v>
      </c>
      <c r="U106" s="127" t="s">
        <v>36</v>
      </c>
      <c r="V106" s="70">
        <v>11132091</v>
      </c>
    </row>
    <row r="107" spans="1:22" ht="14.1" customHeight="1">
      <c r="A107" s="25" t="s">
        <v>54</v>
      </c>
      <c r="B107" s="21">
        <v>46182</v>
      </c>
      <c r="C107" s="8" t="s">
        <v>33</v>
      </c>
      <c r="D107" s="9">
        <v>382</v>
      </c>
      <c r="E107" s="9">
        <v>1800000843</v>
      </c>
      <c r="F107" s="10">
        <v>2856.5</v>
      </c>
      <c r="G107" s="11">
        <v>0</v>
      </c>
      <c r="H107" s="11">
        <v>42.85</v>
      </c>
      <c r="I107" s="11">
        <f>ROUND(F107*1%,2)</f>
        <v>28.57</v>
      </c>
      <c r="J107" s="11">
        <f>ROUND(F107*3%,2)</f>
        <v>85.7</v>
      </c>
      <c r="K107" s="11">
        <f>ROUND(F107*0.65%,2)</f>
        <v>18.57</v>
      </c>
      <c r="L107" s="12">
        <f>SUM(I107:K107)</f>
        <v>132.84</v>
      </c>
      <c r="M107" s="12">
        <v>2680.81</v>
      </c>
      <c r="N107" s="28">
        <v>1400000167</v>
      </c>
      <c r="O107" s="223">
        <v>46182</v>
      </c>
      <c r="P107" s="227" t="s">
        <v>54</v>
      </c>
      <c r="Q107" s="17" t="s">
        <v>34</v>
      </c>
      <c r="R107" s="19">
        <v>1013232744</v>
      </c>
      <c r="S107" s="19" t="s">
        <v>125</v>
      </c>
      <c r="T107" s="56">
        <v>32951947000174</v>
      </c>
      <c r="U107" s="127" t="s">
        <v>36</v>
      </c>
      <c r="V107" s="70">
        <v>11132091</v>
      </c>
    </row>
    <row r="108" spans="1:22" ht="14.1" customHeight="1">
      <c r="A108" s="25" t="s">
        <v>54</v>
      </c>
      <c r="B108" s="21">
        <v>46182</v>
      </c>
      <c r="C108" s="8" t="s">
        <v>33</v>
      </c>
      <c r="D108" s="9">
        <v>369</v>
      </c>
      <c r="E108" s="9">
        <v>1800000796</v>
      </c>
      <c r="F108" s="10">
        <v>542.5</v>
      </c>
      <c r="G108" s="11">
        <v>0</v>
      </c>
      <c r="H108" s="11">
        <v>0</v>
      </c>
      <c r="I108" s="11">
        <f>ROUND(F108*1%,2)</f>
        <v>5.43</v>
      </c>
      <c r="J108" s="11">
        <f>ROUND(F108*3%,2)</f>
        <v>16.28</v>
      </c>
      <c r="K108" s="11">
        <f>ROUND(F108*0.65%,2)</f>
        <v>3.53</v>
      </c>
      <c r="L108" s="12">
        <f>SUM(I108:K108)</f>
        <v>25.240000000000002</v>
      </c>
      <c r="M108" s="12">
        <v>517.2600000000001</v>
      </c>
      <c r="N108" s="28">
        <v>1400000694</v>
      </c>
      <c r="O108" s="223">
        <v>46182</v>
      </c>
      <c r="P108" s="227" t="s">
        <v>54</v>
      </c>
      <c r="Q108" s="17" t="s">
        <v>34</v>
      </c>
      <c r="R108" s="19">
        <v>1007834227</v>
      </c>
      <c r="S108" s="19" t="s">
        <v>40</v>
      </c>
      <c r="T108" s="56">
        <v>14457026000178</v>
      </c>
      <c r="U108" s="70" t="s">
        <v>36</v>
      </c>
      <c r="V108" s="18">
        <v>11132050</v>
      </c>
    </row>
    <row r="109" spans="1:22" s="2" customFormat="1" ht="16.5" customHeight="1">
      <c r="A109" s="25" t="s">
        <v>54</v>
      </c>
      <c r="B109" s="21">
        <v>46182</v>
      </c>
      <c r="C109" s="8" t="s">
        <v>33</v>
      </c>
      <c r="D109" s="9">
        <v>397</v>
      </c>
      <c r="E109" s="9">
        <v>1800000820</v>
      </c>
      <c r="F109" s="10">
        <v>3113</v>
      </c>
      <c r="G109" s="11">
        <v>0</v>
      </c>
      <c r="H109" s="11">
        <v>46.7</v>
      </c>
      <c r="I109" s="11">
        <f>ROUND(F109*1%,2)</f>
        <v>31.13</v>
      </c>
      <c r="J109" s="11">
        <f>ROUND(F109*3%,2)</f>
        <v>93.39</v>
      </c>
      <c r="K109" s="11">
        <f>ROUND(F109*0.65%,2)</f>
        <v>20.23</v>
      </c>
      <c r="L109" s="12">
        <f>SUM(I109:K109)</f>
        <v>144.75</v>
      </c>
      <c r="M109" s="12">
        <v>2921.55</v>
      </c>
      <c r="N109" s="28">
        <v>1400000701</v>
      </c>
      <c r="O109" s="223">
        <v>46182</v>
      </c>
      <c r="P109" s="227" t="s">
        <v>54</v>
      </c>
      <c r="Q109" s="17" t="s">
        <v>34</v>
      </c>
      <c r="R109" s="19">
        <v>1017716043</v>
      </c>
      <c r="S109" s="19" t="s">
        <v>50</v>
      </c>
      <c r="T109" s="56">
        <v>57951895000167</v>
      </c>
      <c r="U109" s="70" t="s">
        <v>36</v>
      </c>
      <c r="V109" s="70">
        <v>11132091</v>
      </c>
    </row>
    <row r="110" spans="1:22" s="2" customFormat="1" ht="16.5" customHeight="1">
      <c r="A110" s="25" t="s">
        <v>54</v>
      </c>
      <c r="B110" s="21">
        <v>46182</v>
      </c>
      <c r="C110" s="8" t="s">
        <v>33</v>
      </c>
      <c r="D110" s="9">
        <v>374</v>
      </c>
      <c r="E110" s="9">
        <v>1800000840</v>
      </c>
      <c r="F110" s="10">
        <v>3402</v>
      </c>
      <c r="G110" s="11">
        <v>0</v>
      </c>
      <c r="H110" s="11">
        <v>51.03</v>
      </c>
      <c r="I110" s="11">
        <f>ROUND(F110*1%,2)</f>
        <v>34.020000000000003</v>
      </c>
      <c r="J110" s="11">
        <f>ROUND(F110*3%,2)</f>
        <v>102.06</v>
      </c>
      <c r="K110" s="11">
        <f>ROUND(F110*0.65%,2)</f>
        <v>22.11</v>
      </c>
      <c r="L110" s="12">
        <f>SUM(I110:K110)</f>
        <v>158.19</v>
      </c>
      <c r="M110" s="12">
        <v>3192.7799999999997</v>
      </c>
      <c r="N110" s="28">
        <v>1400000707</v>
      </c>
      <c r="O110" s="223">
        <v>46182</v>
      </c>
      <c r="P110" s="227" t="s">
        <v>54</v>
      </c>
      <c r="Q110" s="17" t="s">
        <v>34</v>
      </c>
      <c r="R110" s="19">
        <v>1018930138</v>
      </c>
      <c r="S110" s="19" t="s">
        <v>81</v>
      </c>
      <c r="T110" s="56">
        <v>30034695000193</v>
      </c>
      <c r="U110" s="70" t="s">
        <v>36</v>
      </c>
      <c r="V110" s="70">
        <v>11132091</v>
      </c>
    </row>
    <row r="111" spans="1:22" s="2" customFormat="1" ht="16.5" customHeight="1">
      <c r="A111" s="25" t="s">
        <v>54</v>
      </c>
      <c r="B111" s="21">
        <v>46182</v>
      </c>
      <c r="C111" s="8" t="s">
        <v>33</v>
      </c>
      <c r="D111" s="9">
        <v>359</v>
      </c>
      <c r="E111" s="9">
        <v>1800000549</v>
      </c>
      <c r="F111" s="10">
        <v>3534</v>
      </c>
      <c r="G111" s="11" t="s">
        <v>112</v>
      </c>
      <c r="H111" s="11">
        <v>53.01</v>
      </c>
      <c r="I111" s="11">
        <f>ROUND(F111*1%,2)</f>
        <v>35.340000000000003</v>
      </c>
      <c r="J111" s="11">
        <f>ROUND(F111*3%,2)</f>
        <v>106.02</v>
      </c>
      <c r="K111" s="11">
        <f>ROUND(F111*0.65%,2)</f>
        <v>22.97</v>
      </c>
      <c r="L111" s="12">
        <f>SUM(I111:K111)</f>
        <v>164.33</v>
      </c>
      <c r="M111" s="12">
        <v>3316.66</v>
      </c>
      <c r="N111" s="28">
        <v>1400000137</v>
      </c>
      <c r="O111" s="223">
        <v>46203</v>
      </c>
      <c r="P111" s="227" t="s">
        <v>54</v>
      </c>
      <c r="Q111" s="17" t="s">
        <v>106</v>
      </c>
      <c r="R111" s="19">
        <v>1018615408</v>
      </c>
      <c r="S111" s="19" t="s">
        <v>107</v>
      </c>
      <c r="T111" s="56">
        <v>14444785000104</v>
      </c>
      <c r="U111" s="70" t="s">
        <v>36</v>
      </c>
      <c r="V111" s="70">
        <v>11132091</v>
      </c>
    </row>
    <row r="112" spans="1:22" s="2" customFormat="1" ht="16.5" customHeight="1">
      <c r="A112" s="25" t="s">
        <v>54</v>
      </c>
      <c r="B112" s="21">
        <v>46182</v>
      </c>
      <c r="C112" s="8" t="s">
        <v>33</v>
      </c>
      <c r="D112" s="9">
        <v>378</v>
      </c>
      <c r="E112" s="9">
        <v>1800000842</v>
      </c>
      <c r="F112" s="10">
        <v>4594.5</v>
      </c>
      <c r="G112" s="11">
        <v>0</v>
      </c>
      <c r="H112" s="11">
        <v>68.92</v>
      </c>
      <c r="I112" s="11">
        <f>ROUND(F112*1%,2)</f>
        <v>45.95</v>
      </c>
      <c r="J112" s="11">
        <f>ROUND(F112*3%,2)</f>
        <v>137.84</v>
      </c>
      <c r="K112" s="11">
        <f>ROUND(F112*0.65%,2)</f>
        <v>29.86</v>
      </c>
      <c r="L112" s="12">
        <f>SUM(I112:K112)</f>
        <v>213.65000000000003</v>
      </c>
      <c r="M112" s="12">
        <v>4311.93</v>
      </c>
      <c r="N112" s="28">
        <v>1400000710</v>
      </c>
      <c r="O112" s="223">
        <v>46182</v>
      </c>
      <c r="P112" s="227" t="s">
        <v>54</v>
      </c>
      <c r="Q112" s="17" t="s">
        <v>34</v>
      </c>
      <c r="R112" s="19">
        <v>1008259405</v>
      </c>
      <c r="S112" s="19" t="s">
        <v>122</v>
      </c>
      <c r="T112" s="56">
        <v>28759933000186</v>
      </c>
      <c r="U112" s="70" t="s">
        <v>36</v>
      </c>
      <c r="V112" s="70">
        <v>11311094</v>
      </c>
    </row>
    <row r="113" spans="1:22" s="2" customFormat="1" ht="16.5" customHeight="1">
      <c r="A113" s="25" t="s">
        <v>54</v>
      </c>
      <c r="B113" s="21">
        <v>46182</v>
      </c>
      <c r="C113" s="8" t="s">
        <v>33</v>
      </c>
      <c r="D113" s="9">
        <v>373</v>
      </c>
      <c r="E113" s="9">
        <v>1800000228</v>
      </c>
      <c r="F113" s="10">
        <v>5313</v>
      </c>
      <c r="G113" s="11">
        <v>0</v>
      </c>
      <c r="H113" s="11">
        <v>79.7</v>
      </c>
      <c r="I113" s="11">
        <f>ROUND(F113*1%,2)</f>
        <v>53.13</v>
      </c>
      <c r="J113" s="11">
        <f>ROUND(F113*3%,2)</f>
        <v>159.38999999999999</v>
      </c>
      <c r="K113" s="11">
        <f>ROUND(F113*0.65%,2)</f>
        <v>34.53</v>
      </c>
      <c r="L113" s="12">
        <f>SUM(I113:K113)</f>
        <v>247.04999999999998</v>
      </c>
      <c r="M113" s="12">
        <v>4986.25</v>
      </c>
      <c r="N113" s="28">
        <v>1400000706</v>
      </c>
      <c r="O113" s="223">
        <v>46182</v>
      </c>
      <c r="P113" s="227" t="s">
        <v>54</v>
      </c>
      <c r="Q113" s="17" t="s">
        <v>34</v>
      </c>
      <c r="R113" s="19">
        <v>1016704774</v>
      </c>
      <c r="S113" s="19" t="s">
        <v>80</v>
      </c>
      <c r="T113" s="56">
        <v>29543880000124</v>
      </c>
      <c r="U113" s="70" t="s">
        <v>36</v>
      </c>
      <c r="V113" s="70">
        <v>11132091</v>
      </c>
    </row>
    <row r="114" spans="1:22" s="2" customFormat="1" ht="16.5" customHeight="1">
      <c r="A114" s="25" t="s">
        <v>54</v>
      </c>
      <c r="B114" s="21">
        <v>46182</v>
      </c>
      <c r="C114" s="8" t="s">
        <v>33</v>
      </c>
      <c r="D114" s="9">
        <v>376</v>
      </c>
      <c r="E114" s="9">
        <v>1800000826</v>
      </c>
      <c r="F114" s="10">
        <v>264</v>
      </c>
      <c r="G114" s="11">
        <v>0</v>
      </c>
      <c r="H114" s="11">
        <v>0</v>
      </c>
      <c r="I114" s="11">
        <f>ROUND(F114*1%,2)</f>
        <v>2.64</v>
      </c>
      <c r="J114" s="11">
        <f>ROUND(F114*3%,2)</f>
        <v>7.92</v>
      </c>
      <c r="K114" s="11">
        <f>ROUND(F114*0.65%,2)</f>
        <v>1.72</v>
      </c>
      <c r="L114" s="12">
        <f>SUM(I114:K114)</f>
        <v>12.280000000000001</v>
      </c>
      <c r="M114" s="12">
        <v>251.72</v>
      </c>
      <c r="N114" s="28">
        <v>1400000708</v>
      </c>
      <c r="O114" s="223">
        <v>46182</v>
      </c>
      <c r="P114" s="227" t="s">
        <v>54</v>
      </c>
      <c r="Q114" s="17" t="s">
        <v>34</v>
      </c>
      <c r="R114" s="19">
        <v>1014634217</v>
      </c>
      <c r="S114" s="19" t="s">
        <v>121</v>
      </c>
      <c r="T114" s="56">
        <v>30416371000110</v>
      </c>
      <c r="U114" s="70" t="s">
        <v>36</v>
      </c>
      <c r="V114" s="70">
        <v>11132091</v>
      </c>
    </row>
    <row r="115" spans="1:22" s="2" customFormat="1" ht="16.5" customHeight="1">
      <c r="A115" s="25" t="s">
        <v>65</v>
      </c>
      <c r="B115" s="21">
        <v>46118</v>
      </c>
      <c r="C115" s="8" t="s">
        <v>33</v>
      </c>
      <c r="D115" s="9">
        <v>308</v>
      </c>
      <c r="E115" s="9">
        <v>1800000154</v>
      </c>
      <c r="F115" s="10">
        <v>5658</v>
      </c>
      <c r="G115" s="11">
        <v>0</v>
      </c>
      <c r="H115" s="11">
        <v>84.87</v>
      </c>
      <c r="I115" s="11">
        <f>ROUND(F115*1%,2)</f>
        <v>56.58</v>
      </c>
      <c r="J115" s="11">
        <f>ROUND(F115*3%,2)</f>
        <v>169.74</v>
      </c>
      <c r="K115" s="11">
        <f>ROUND(F115*0.65%,2)</f>
        <v>36.78</v>
      </c>
      <c r="L115" s="12">
        <f>SUM(I115:K115)</f>
        <v>263.10000000000002</v>
      </c>
      <c r="M115" s="12">
        <v>5310.0300000000007</v>
      </c>
      <c r="N115" s="28">
        <v>1400000765</v>
      </c>
      <c r="O115" s="223">
        <v>46198</v>
      </c>
      <c r="P115" s="223" t="s">
        <v>54</v>
      </c>
      <c r="Q115" s="17" t="s">
        <v>34</v>
      </c>
      <c r="R115" s="19">
        <v>1016704774</v>
      </c>
      <c r="S115" s="19" t="s">
        <v>70</v>
      </c>
      <c r="T115" s="55">
        <v>29543880000124</v>
      </c>
      <c r="U115" s="70" t="s">
        <v>36</v>
      </c>
      <c r="V115" s="70">
        <v>11132091</v>
      </c>
    </row>
    <row r="116" spans="1:22" s="2" customFormat="1" ht="16.5" customHeight="1">
      <c r="A116" s="25" t="s">
        <v>54</v>
      </c>
      <c r="B116" s="21">
        <v>46182</v>
      </c>
      <c r="C116" s="8" t="s">
        <v>33</v>
      </c>
      <c r="D116" s="9">
        <v>377</v>
      </c>
      <c r="E116" s="9">
        <v>1800000752</v>
      </c>
      <c r="F116" s="10">
        <v>5974</v>
      </c>
      <c r="G116" s="11">
        <v>0</v>
      </c>
      <c r="H116" s="11">
        <v>89.61</v>
      </c>
      <c r="I116" s="11">
        <f>ROUND(F116*1%,2)</f>
        <v>59.74</v>
      </c>
      <c r="J116" s="11">
        <f>ROUND(F116*3%,2)</f>
        <v>179.22</v>
      </c>
      <c r="K116" s="11">
        <f>ROUND(F116*0.65%,2)</f>
        <v>38.83</v>
      </c>
      <c r="L116" s="12">
        <f>SUM(I116:K116)</f>
        <v>277.79000000000002</v>
      </c>
      <c r="M116" s="12">
        <v>5606.6</v>
      </c>
      <c r="N116" s="28">
        <v>1400000709</v>
      </c>
      <c r="O116" s="223">
        <v>46182</v>
      </c>
      <c r="P116" s="227" t="s">
        <v>54</v>
      </c>
      <c r="Q116" s="17" t="s">
        <v>34</v>
      </c>
      <c r="R116" s="19">
        <v>1019215124</v>
      </c>
      <c r="S116" s="19" t="s">
        <v>83</v>
      </c>
      <c r="T116" s="56">
        <v>31554105000116</v>
      </c>
      <c r="U116" s="70" t="s">
        <v>36</v>
      </c>
      <c r="V116" s="70">
        <v>11311094</v>
      </c>
    </row>
    <row r="117" spans="1:22" s="2" customFormat="1" ht="16.5" customHeight="1">
      <c r="A117" s="25" t="s">
        <v>54</v>
      </c>
      <c r="B117" s="21">
        <v>46182</v>
      </c>
      <c r="C117" s="8" t="s">
        <v>33</v>
      </c>
      <c r="D117" s="9">
        <v>381</v>
      </c>
      <c r="E117" s="9">
        <v>1800000797</v>
      </c>
      <c r="F117" s="10">
        <v>250</v>
      </c>
      <c r="G117" s="11">
        <v>0</v>
      </c>
      <c r="H117" s="11">
        <v>0</v>
      </c>
      <c r="I117" s="11">
        <f>ROUND(F117*1%,2)</f>
        <v>2.5</v>
      </c>
      <c r="J117" s="11">
        <f>ROUND(F117*3%,2)</f>
        <v>7.5</v>
      </c>
      <c r="K117" s="11">
        <f>ROUND(F117*0.65%,2)</f>
        <v>1.63</v>
      </c>
      <c r="L117" s="12">
        <f>SUM(I117:K117)</f>
        <v>11.629999999999999</v>
      </c>
      <c r="M117" s="12">
        <v>238.37</v>
      </c>
      <c r="N117" s="28">
        <v>1400000711</v>
      </c>
      <c r="O117" s="223">
        <v>46182</v>
      </c>
      <c r="P117" s="227" t="s">
        <v>54</v>
      </c>
      <c r="Q117" s="17" t="s">
        <v>34</v>
      </c>
      <c r="R117" s="19">
        <v>1018645192</v>
      </c>
      <c r="S117" s="19" t="s">
        <v>124</v>
      </c>
      <c r="T117" s="56">
        <v>32764816000188</v>
      </c>
      <c r="U117" s="70" t="s">
        <v>36</v>
      </c>
      <c r="V117" s="70">
        <v>11311094</v>
      </c>
    </row>
    <row r="118" spans="1:22" s="2" customFormat="1" ht="16.5" customHeight="1">
      <c r="A118" s="25" t="s">
        <v>54</v>
      </c>
      <c r="B118" s="21">
        <v>46182</v>
      </c>
      <c r="C118" s="8" t="s">
        <v>33</v>
      </c>
      <c r="D118" s="9">
        <v>375</v>
      </c>
      <c r="E118" s="9">
        <v>1800000841</v>
      </c>
      <c r="F118" s="10">
        <v>6735.5</v>
      </c>
      <c r="G118" s="11">
        <v>0</v>
      </c>
      <c r="H118" s="11">
        <v>101.03</v>
      </c>
      <c r="I118" s="11">
        <f>ROUND(F118*1%,2)</f>
        <v>67.36</v>
      </c>
      <c r="J118" s="11">
        <f>ROUND(F118*3%,2)</f>
        <v>202.07</v>
      </c>
      <c r="K118" s="11">
        <f>ROUND(F118*0.65%,2)</f>
        <v>43.78</v>
      </c>
      <c r="L118" s="12">
        <f>SUM(I118:K118)</f>
        <v>313.21000000000004</v>
      </c>
      <c r="M118" s="12">
        <v>6321.2600000000011</v>
      </c>
      <c r="N118" s="28">
        <v>1400000722</v>
      </c>
      <c r="O118" s="223">
        <v>46182</v>
      </c>
      <c r="P118" s="227" t="s">
        <v>54</v>
      </c>
      <c r="Q118" s="17" t="s">
        <v>34</v>
      </c>
      <c r="R118" s="19">
        <v>1018120652</v>
      </c>
      <c r="S118" s="19" t="s">
        <v>82</v>
      </c>
      <c r="T118" s="56">
        <v>30341404000100</v>
      </c>
      <c r="U118" s="70" t="s">
        <v>36</v>
      </c>
      <c r="V118" s="70">
        <v>11311094</v>
      </c>
    </row>
    <row r="119" spans="1:22" s="2" customFormat="1" ht="16.5" customHeight="1">
      <c r="A119" s="25" t="s">
        <v>54</v>
      </c>
      <c r="B119" s="21">
        <v>46182</v>
      </c>
      <c r="C119" s="8" t="s">
        <v>33</v>
      </c>
      <c r="D119" s="9">
        <v>383</v>
      </c>
      <c r="E119" s="9">
        <v>1800000827</v>
      </c>
      <c r="F119" s="10">
        <v>250</v>
      </c>
      <c r="G119" s="11">
        <v>0</v>
      </c>
      <c r="H119" s="11">
        <v>0</v>
      </c>
      <c r="I119" s="11">
        <f>ROUND(F119*1%,2)</f>
        <v>2.5</v>
      </c>
      <c r="J119" s="11">
        <f>ROUND(F119*3%,2)</f>
        <v>7.5</v>
      </c>
      <c r="K119" s="11">
        <f>ROUND(F119*0.65%,2)</f>
        <v>1.63</v>
      </c>
      <c r="L119" s="12">
        <f>SUM(I119:K119)</f>
        <v>11.629999999999999</v>
      </c>
      <c r="M119" s="12">
        <v>238.37</v>
      </c>
      <c r="N119" s="28">
        <v>1400000712</v>
      </c>
      <c r="O119" s="223">
        <v>46182</v>
      </c>
      <c r="P119" s="227" t="s">
        <v>54</v>
      </c>
      <c r="Q119" s="17" t="s">
        <v>34</v>
      </c>
      <c r="R119" s="19">
        <v>1016506511</v>
      </c>
      <c r="S119" s="19" t="s">
        <v>126</v>
      </c>
      <c r="T119" s="56">
        <v>38345653000185</v>
      </c>
      <c r="U119" s="70" t="s">
        <v>36</v>
      </c>
      <c r="V119" s="70">
        <v>11311094</v>
      </c>
    </row>
    <row r="120" spans="1:22" s="2" customFormat="1" ht="16.5" customHeight="1">
      <c r="A120" s="25" t="s">
        <v>54</v>
      </c>
      <c r="B120" s="21">
        <v>46182</v>
      </c>
      <c r="C120" s="8" t="s">
        <v>33</v>
      </c>
      <c r="D120" s="9">
        <v>356</v>
      </c>
      <c r="E120" s="9">
        <v>1800000735</v>
      </c>
      <c r="F120" s="10">
        <v>8032.5</v>
      </c>
      <c r="G120" s="11" t="s">
        <v>112</v>
      </c>
      <c r="H120" s="11">
        <v>120.49</v>
      </c>
      <c r="I120" s="11">
        <f>ROUND(F120*1%,2)</f>
        <v>80.33</v>
      </c>
      <c r="J120" s="11">
        <f>ROUND(F120*3%,2)</f>
        <v>240.98</v>
      </c>
      <c r="K120" s="11">
        <f>ROUND(F120*0.65%,2)</f>
        <v>52.21</v>
      </c>
      <c r="L120" s="12">
        <f>SUM(I120:K120)</f>
        <v>373.52</v>
      </c>
      <c r="M120" s="12">
        <v>7538.49</v>
      </c>
      <c r="N120" s="28">
        <v>1400000795</v>
      </c>
      <c r="O120" s="223">
        <v>46203</v>
      </c>
      <c r="P120" s="227" t="s">
        <v>54</v>
      </c>
      <c r="Q120" s="17" t="s">
        <v>106</v>
      </c>
      <c r="R120" s="19">
        <v>1004511610</v>
      </c>
      <c r="S120" s="19" t="s">
        <v>111</v>
      </c>
      <c r="T120" s="56">
        <v>7881225000143</v>
      </c>
      <c r="U120" s="70" t="s">
        <v>36</v>
      </c>
      <c r="V120" s="70">
        <v>11311094</v>
      </c>
    </row>
    <row r="121" spans="1:22" s="2" customFormat="1" ht="16.5" customHeight="1">
      <c r="A121" s="25" t="s">
        <v>54</v>
      </c>
      <c r="B121" s="21">
        <v>46182</v>
      </c>
      <c r="C121" s="8" t="s">
        <v>33</v>
      </c>
      <c r="D121" s="9">
        <v>386</v>
      </c>
      <c r="E121" s="9">
        <v>1800000755</v>
      </c>
      <c r="F121" s="10">
        <v>69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2">
        <v>0</v>
      </c>
      <c r="M121" s="12">
        <v>69</v>
      </c>
      <c r="N121" s="28">
        <v>1400000091</v>
      </c>
      <c r="O121" s="223">
        <v>46198</v>
      </c>
      <c r="P121" s="227" t="s">
        <v>54</v>
      </c>
      <c r="Q121" s="17" t="s">
        <v>34</v>
      </c>
      <c r="R121" s="19">
        <v>1017130600</v>
      </c>
      <c r="S121" s="19" t="s">
        <v>127</v>
      </c>
      <c r="T121" s="56">
        <v>41455064000164</v>
      </c>
      <c r="U121" s="70" t="s">
        <v>56</v>
      </c>
      <c r="V121" s="70">
        <v>11311094</v>
      </c>
    </row>
    <row r="122" spans="1:22" s="2" customFormat="1" ht="16.5" customHeight="1">
      <c r="A122" s="25" t="s">
        <v>54</v>
      </c>
      <c r="B122" s="21">
        <v>46182</v>
      </c>
      <c r="C122" s="8" t="s">
        <v>33</v>
      </c>
      <c r="D122" s="9">
        <v>387</v>
      </c>
      <c r="E122" s="9">
        <v>1800000756</v>
      </c>
      <c r="F122" s="10">
        <v>530.5</v>
      </c>
      <c r="G122" s="11">
        <v>0</v>
      </c>
      <c r="H122" s="11">
        <v>0</v>
      </c>
      <c r="I122" s="11">
        <f>ROUND(F122*1%,2)</f>
        <v>5.31</v>
      </c>
      <c r="J122" s="11">
        <f>ROUND(F122*3%,2)</f>
        <v>15.92</v>
      </c>
      <c r="K122" s="11">
        <f>ROUND(F122*0.65%,2)</f>
        <v>3.45</v>
      </c>
      <c r="L122" s="12">
        <f>SUM(I122:K122)</f>
        <v>24.68</v>
      </c>
      <c r="M122" s="12">
        <v>505.81999999999994</v>
      </c>
      <c r="N122" s="28">
        <v>1400000735</v>
      </c>
      <c r="O122" s="223">
        <v>46182</v>
      </c>
      <c r="P122" s="227" t="s">
        <v>54</v>
      </c>
      <c r="Q122" s="17" t="s">
        <v>34</v>
      </c>
      <c r="R122" s="19">
        <v>1016771816</v>
      </c>
      <c r="S122" s="19" t="s">
        <v>85</v>
      </c>
      <c r="T122" s="56">
        <v>41607658000143</v>
      </c>
      <c r="U122" s="70" t="s">
        <v>36</v>
      </c>
      <c r="V122" s="70">
        <v>11311094</v>
      </c>
    </row>
    <row r="123" spans="1:22" s="2" customFormat="1" ht="16.5" customHeight="1">
      <c r="A123" s="25" t="s">
        <v>54</v>
      </c>
      <c r="B123" s="21">
        <v>46182</v>
      </c>
      <c r="C123" s="8" t="s">
        <v>33</v>
      </c>
      <c r="D123" s="9">
        <v>388</v>
      </c>
      <c r="E123" s="9">
        <v>1800000812</v>
      </c>
      <c r="F123" s="10">
        <v>250</v>
      </c>
      <c r="G123" s="11">
        <v>0</v>
      </c>
      <c r="H123" s="11">
        <v>0</v>
      </c>
      <c r="I123" s="11">
        <f>ROUND(F123*1%,2)</f>
        <v>2.5</v>
      </c>
      <c r="J123" s="11">
        <f>ROUND(F123*3%,2)</f>
        <v>7.5</v>
      </c>
      <c r="K123" s="11">
        <f>ROUND(F123*0.65%,2)</f>
        <v>1.63</v>
      </c>
      <c r="L123" s="12">
        <f>SUM(I123:K123)</f>
        <v>11.629999999999999</v>
      </c>
      <c r="M123" s="12">
        <v>238.37</v>
      </c>
      <c r="N123" s="28">
        <v>1400000698</v>
      </c>
      <c r="O123" s="223">
        <v>46182</v>
      </c>
      <c r="P123" s="227" t="s">
        <v>54</v>
      </c>
      <c r="Q123" s="17" t="s">
        <v>34</v>
      </c>
      <c r="R123" s="19">
        <v>1015241181</v>
      </c>
      <c r="S123" s="19" t="s">
        <v>128</v>
      </c>
      <c r="T123" s="56">
        <v>45586423000173</v>
      </c>
      <c r="U123" s="70" t="s">
        <v>36</v>
      </c>
      <c r="V123" s="70">
        <v>11311094</v>
      </c>
    </row>
    <row r="124" spans="1:22" s="2" customFormat="1" ht="16.5" customHeight="1">
      <c r="A124" s="25" t="s">
        <v>54</v>
      </c>
      <c r="B124" s="21">
        <v>46182</v>
      </c>
      <c r="C124" s="8" t="s">
        <v>33</v>
      </c>
      <c r="D124" s="9">
        <v>390</v>
      </c>
      <c r="E124" s="9">
        <v>1800000814</v>
      </c>
      <c r="F124" s="10">
        <v>295</v>
      </c>
      <c r="G124" s="11">
        <v>0</v>
      </c>
      <c r="H124" s="11">
        <v>0</v>
      </c>
      <c r="I124" s="11">
        <f>ROUND(F124*1%,2)</f>
        <v>2.95</v>
      </c>
      <c r="J124" s="11">
        <f>ROUND(F124*3%,2)</f>
        <v>8.85</v>
      </c>
      <c r="K124" s="11">
        <f>ROUND(F124*0.65%,2)</f>
        <v>1.92</v>
      </c>
      <c r="L124" s="12">
        <f>SUM(I124:K124)</f>
        <v>13.72</v>
      </c>
      <c r="M124" s="12">
        <v>281.27999999999997</v>
      </c>
      <c r="N124" s="28">
        <v>1400000289</v>
      </c>
      <c r="O124" s="223">
        <v>46182</v>
      </c>
      <c r="P124" s="227" t="s">
        <v>54</v>
      </c>
      <c r="Q124" s="17" t="s">
        <v>34</v>
      </c>
      <c r="R124" s="19">
        <v>1005047386</v>
      </c>
      <c r="S124" s="19" t="s">
        <v>129</v>
      </c>
      <c r="T124" s="56">
        <v>47425731000142</v>
      </c>
      <c r="U124" s="70" t="s">
        <v>36</v>
      </c>
      <c r="V124" s="70">
        <v>11311094</v>
      </c>
    </row>
    <row r="125" spans="1:22" s="2" customFormat="1" ht="16.5" customHeight="1">
      <c r="A125" s="25" t="s">
        <v>54</v>
      </c>
      <c r="B125" s="21">
        <v>46182</v>
      </c>
      <c r="C125" s="8" t="s">
        <v>33</v>
      </c>
      <c r="D125" s="9">
        <v>391</v>
      </c>
      <c r="E125" s="9">
        <v>1800000815</v>
      </c>
      <c r="F125" s="10">
        <v>628</v>
      </c>
      <c r="G125" s="11">
        <v>0</v>
      </c>
      <c r="H125" s="11">
        <v>0</v>
      </c>
      <c r="I125" s="11">
        <f>ROUND(F125*1%,2)</f>
        <v>6.28</v>
      </c>
      <c r="J125" s="11">
        <f>ROUND(F125*3%,2)</f>
        <v>18.84</v>
      </c>
      <c r="K125" s="11">
        <f>ROUND(F125*0.65%,2)</f>
        <v>4.08</v>
      </c>
      <c r="L125" s="12">
        <f>SUM(I125:K125)</f>
        <v>29.200000000000003</v>
      </c>
      <c r="M125" s="12">
        <v>598.79999999999995</v>
      </c>
      <c r="N125" s="28">
        <v>1400000699</v>
      </c>
      <c r="O125" s="223">
        <v>46182</v>
      </c>
      <c r="P125" s="227" t="s">
        <v>54</v>
      </c>
      <c r="Q125" s="17" t="s">
        <v>34</v>
      </c>
      <c r="R125" s="19">
        <v>1015723163</v>
      </c>
      <c r="S125" s="19" t="s">
        <v>130</v>
      </c>
      <c r="T125" s="56">
        <v>49034984000110</v>
      </c>
      <c r="U125" s="70" t="s">
        <v>36</v>
      </c>
      <c r="V125" s="70">
        <v>11311094</v>
      </c>
    </row>
    <row r="126" spans="1:22" s="2" customFormat="1" ht="16.5" customHeight="1">
      <c r="A126" s="25" t="s">
        <v>54</v>
      </c>
      <c r="B126" s="21">
        <v>46182</v>
      </c>
      <c r="C126" s="8" t="s">
        <v>33</v>
      </c>
      <c r="D126" s="9">
        <v>392</v>
      </c>
      <c r="E126" s="9">
        <v>1800000816</v>
      </c>
      <c r="F126" s="10">
        <v>250</v>
      </c>
      <c r="G126" s="11">
        <v>0</v>
      </c>
      <c r="H126" s="11">
        <v>0</v>
      </c>
      <c r="I126" s="11">
        <f>ROUND(F126*1%,2)</f>
        <v>2.5</v>
      </c>
      <c r="J126" s="11">
        <f>ROUND(F126*3%,2)</f>
        <v>7.5</v>
      </c>
      <c r="K126" s="11">
        <f>ROUND(F126*0.65%,2)</f>
        <v>1.63</v>
      </c>
      <c r="L126" s="12">
        <f>SUM(I126:K126)</f>
        <v>11.629999999999999</v>
      </c>
      <c r="M126" s="12">
        <v>238.37</v>
      </c>
      <c r="N126" s="28">
        <v>1400000700</v>
      </c>
      <c r="O126" s="223">
        <v>46182</v>
      </c>
      <c r="P126" s="227" t="s">
        <v>54</v>
      </c>
      <c r="Q126" s="17" t="s">
        <v>34</v>
      </c>
      <c r="R126" s="19">
        <v>1016696369</v>
      </c>
      <c r="S126" s="19" t="s">
        <v>131</v>
      </c>
      <c r="T126" s="56">
        <v>52866579000173</v>
      </c>
      <c r="U126" s="70" t="s">
        <v>36</v>
      </c>
      <c r="V126" s="70">
        <v>11311094</v>
      </c>
    </row>
    <row r="127" spans="1:22" s="2" customFormat="1" ht="16.5" customHeight="1">
      <c r="A127" s="25" t="s">
        <v>54</v>
      </c>
      <c r="B127" s="21">
        <v>46182</v>
      </c>
      <c r="C127" s="8" t="s">
        <v>33</v>
      </c>
      <c r="D127" s="9">
        <v>393</v>
      </c>
      <c r="E127" s="9">
        <v>1800000798</v>
      </c>
      <c r="F127" s="10">
        <v>442.5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2">
        <v>0</v>
      </c>
      <c r="M127" s="12">
        <v>442.5</v>
      </c>
      <c r="N127" s="28">
        <v>1400000290</v>
      </c>
      <c r="O127" s="223">
        <v>46182</v>
      </c>
      <c r="P127" s="227" t="s">
        <v>54</v>
      </c>
      <c r="Q127" s="17" t="s">
        <v>34</v>
      </c>
      <c r="R127" s="19">
        <v>1017130541</v>
      </c>
      <c r="S127" s="19" t="s">
        <v>98</v>
      </c>
      <c r="T127" s="56">
        <v>53045500000106</v>
      </c>
      <c r="U127" s="70" t="s">
        <v>56</v>
      </c>
      <c r="V127" s="70">
        <v>11311094</v>
      </c>
    </row>
    <row r="128" spans="1:22" s="2" customFormat="1" ht="16.5" customHeight="1">
      <c r="A128" s="25" t="s">
        <v>54</v>
      </c>
      <c r="B128" s="21">
        <v>46182</v>
      </c>
      <c r="C128" s="8" t="s">
        <v>33</v>
      </c>
      <c r="D128" s="9">
        <v>394</v>
      </c>
      <c r="E128" s="9">
        <v>1800000817</v>
      </c>
      <c r="F128" s="10">
        <v>552</v>
      </c>
      <c r="G128" s="11">
        <v>0</v>
      </c>
      <c r="H128" s="11">
        <v>0</v>
      </c>
      <c r="I128" s="11">
        <f>ROUND(F128*1%,2)</f>
        <v>5.52</v>
      </c>
      <c r="J128" s="11">
        <f>ROUND(F128*3%,2)</f>
        <v>16.559999999999999</v>
      </c>
      <c r="K128" s="11">
        <f>ROUND(F128*0.65%,2)</f>
        <v>3.59</v>
      </c>
      <c r="L128" s="12">
        <f>SUM(I128:K128)</f>
        <v>25.669999999999998</v>
      </c>
      <c r="M128" s="12">
        <v>526.33000000000004</v>
      </c>
      <c r="N128" s="28">
        <v>1400000713</v>
      </c>
      <c r="O128" s="223">
        <v>46182</v>
      </c>
      <c r="P128" s="227" t="s">
        <v>54</v>
      </c>
      <c r="Q128" s="17" t="s">
        <v>34</v>
      </c>
      <c r="R128" s="19">
        <v>1019275110</v>
      </c>
      <c r="S128" s="19" t="s">
        <v>100</v>
      </c>
      <c r="T128" s="56">
        <v>53170725000194</v>
      </c>
      <c r="U128" s="70" t="s">
        <v>36</v>
      </c>
      <c r="V128" s="70">
        <v>11311094</v>
      </c>
    </row>
    <row r="129" spans="1:22" s="2" customFormat="1" ht="16.5" customHeight="1">
      <c r="A129" s="25" t="s">
        <v>54</v>
      </c>
      <c r="B129" s="21">
        <v>46182</v>
      </c>
      <c r="C129" s="8" t="s">
        <v>33</v>
      </c>
      <c r="D129" s="9">
        <v>395</v>
      </c>
      <c r="E129" s="9">
        <v>1800000818</v>
      </c>
      <c r="F129" s="10">
        <v>295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2">
        <v>0</v>
      </c>
      <c r="M129" s="12">
        <v>295</v>
      </c>
      <c r="N129" s="28">
        <v>1400000394</v>
      </c>
      <c r="O129" s="223">
        <v>46182</v>
      </c>
      <c r="P129" s="227" t="s">
        <v>54</v>
      </c>
      <c r="Q129" s="17" t="s">
        <v>34</v>
      </c>
      <c r="R129" s="19">
        <v>1018840151</v>
      </c>
      <c r="S129" s="19" t="s">
        <v>102</v>
      </c>
      <c r="T129" s="56">
        <v>55365607000167</v>
      </c>
      <c r="U129" s="70" t="s">
        <v>56</v>
      </c>
      <c r="V129" s="70">
        <v>11311094</v>
      </c>
    </row>
    <row r="130" spans="1:22" s="2" customFormat="1" ht="16.5" customHeight="1">
      <c r="A130" s="25" t="s">
        <v>54</v>
      </c>
      <c r="B130" s="21">
        <v>46182</v>
      </c>
      <c r="C130" s="8" t="s">
        <v>33</v>
      </c>
      <c r="D130" s="9">
        <v>396</v>
      </c>
      <c r="E130" s="9">
        <v>1800000819</v>
      </c>
      <c r="F130" s="10">
        <v>250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2">
        <v>0</v>
      </c>
      <c r="M130" s="12">
        <v>250</v>
      </c>
      <c r="N130" s="28">
        <v>1400000723</v>
      </c>
      <c r="O130" s="223">
        <v>46182</v>
      </c>
      <c r="P130" s="227" t="s">
        <v>54</v>
      </c>
      <c r="Q130" s="17" t="s">
        <v>34</v>
      </c>
      <c r="R130" s="19">
        <v>1018345066</v>
      </c>
      <c r="S130" s="19" t="s">
        <v>46</v>
      </c>
      <c r="T130" s="56">
        <v>57904437000177</v>
      </c>
      <c r="U130" s="70" t="s">
        <v>56</v>
      </c>
      <c r="V130" s="70">
        <v>11311094</v>
      </c>
    </row>
    <row r="131" spans="1:22" s="2" customFormat="1" ht="16.5" customHeight="1">
      <c r="A131" s="25" t="s">
        <v>54</v>
      </c>
      <c r="B131" s="21">
        <v>46182</v>
      </c>
      <c r="C131" s="8" t="s">
        <v>33</v>
      </c>
      <c r="D131" s="9">
        <v>366</v>
      </c>
      <c r="E131" s="9">
        <v>1800000766</v>
      </c>
      <c r="F131" s="10">
        <v>12398</v>
      </c>
      <c r="G131" s="11">
        <v>0</v>
      </c>
      <c r="H131" s="11">
        <v>185.97</v>
      </c>
      <c r="I131" s="11">
        <f>ROUND(F131*1%,2)</f>
        <v>123.98</v>
      </c>
      <c r="J131" s="11">
        <f>ROUND(F131*3%,2)</f>
        <v>371.94</v>
      </c>
      <c r="K131" s="11">
        <f>ROUND(F131*0.65%,2)</f>
        <v>80.59</v>
      </c>
      <c r="L131" s="12">
        <f>SUM(I131:K131)</f>
        <v>576.51</v>
      </c>
      <c r="M131" s="12">
        <v>11635.52</v>
      </c>
      <c r="N131" s="28">
        <v>1400000721</v>
      </c>
      <c r="O131" s="223">
        <v>46182</v>
      </c>
      <c r="P131" s="227" t="s">
        <v>54</v>
      </c>
      <c r="Q131" s="17" t="s">
        <v>34</v>
      </c>
      <c r="R131" s="19">
        <v>1001187614</v>
      </c>
      <c r="S131" s="19" t="s">
        <v>75</v>
      </c>
      <c r="T131" s="56">
        <v>9395767000131</v>
      </c>
      <c r="U131" s="70" t="s">
        <v>36</v>
      </c>
      <c r="V131" s="70">
        <v>11311094</v>
      </c>
    </row>
    <row r="132" spans="1:22" s="2" customFormat="1" ht="16.5" customHeight="1">
      <c r="A132" s="25" t="str">
        <f>TEXT(B132,"mm/aaaa")</f>
        <v>04/2026</v>
      </c>
      <c r="B132" s="21">
        <v>46134</v>
      </c>
      <c r="C132" s="8" t="s">
        <v>33</v>
      </c>
      <c r="D132" s="9">
        <v>310</v>
      </c>
      <c r="E132" s="9">
        <v>1800000480</v>
      </c>
      <c r="F132" s="10">
        <v>2559.73</v>
      </c>
      <c r="G132" s="11">
        <v>0</v>
      </c>
      <c r="H132" s="11">
        <f>ROUND(F132*1.5%,2)</f>
        <v>38.4</v>
      </c>
      <c r="I132" s="11">
        <f>ROUND(F132*1%,2)</f>
        <v>25.6</v>
      </c>
      <c r="J132" s="11">
        <f>ROUND(F132*3%,2)</f>
        <v>76.790000000000006</v>
      </c>
      <c r="K132" s="11">
        <f>ROUND(F132*0.65%,2)</f>
        <v>16.64</v>
      </c>
      <c r="L132" s="12">
        <f>SUM(I132:K132)</f>
        <v>119.03000000000002</v>
      </c>
      <c r="M132" s="12">
        <f>F132-H132-I132-J132-K132</f>
        <v>2402.3000000000002</v>
      </c>
      <c r="N132" s="28">
        <v>1400000675</v>
      </c>
      <c r="O132" s="223">
        <v>46197</v>
      </c>
      <c r="P132" s="225" t="s">
        <v>54</v>
      </c>
      <c r="Q132" s="17" t="s">
        <v>44</v>
      </c>
      <c r="R132" s="19">
        <v>1007620183</v>
      </c>
      <c r="S132" s="19" t="s">
        <v>45</v>
      </c>
      <c r="T132" s="56">
        <v>9446817000162</v>
      </c>
      <c r="U132" s="70" t="s">
        <v>36</v>
      </c>
      <c r="V132" s="70">
        <v>11311094</v>
      </c>
    </row>
    <row r="133" spans="1:22" s="2" customFormat="1" ht="16.5" customHeight="1">
      <c r="A133" s="25" t="str">
        <f>TEXT(B133,"mm/aaaa")</f>
        <v>05/2026</v>
      </c>
      <c r="B133" s="21">
        <v>46170</v>
      </c>
      <c r="C133" s="8" t="s">
        <v>33</v>
      </c>
      <c r="D133" s="9">
        <v>352</v>
      </c>
      <c r="E133" s="9">
        <v>1800000720</v>
      </c>
      <c r="F133" s="112">
        <v>6624.52</v>
      </c>
      <c r="G133" s="11">
        <v>0</v>
      </c>
      <c r="H133" s="11">
        <f>ROUND(F133*1.5%,2)</f>
        <v>99.37</v>
      </c>
      <c r="I133" s="11">
        <f>ROUND(F133*1%,2)</f>
        <v>66.25</v>
      </c>
      <c r="J133" s="11">
        <f>ROUND(F133*3%,2)</f>
        <v>198.74</v>
      </c>
      <c r="K133" s="11">
        <f>ROUND(F133*0.65%,2)</f>
        <v>43.06</v>
      </c>
      <c r="L133" s="12">
        <f>SUM(I133:K133)</f>
        <v>308.05</v>
      </c>
      <c r="M133" s="12">
        <f>F133-H133-I133-J133-K133</f>
        <v>6217.1</v>
      </c>
      <c r="N133" s="28">
        <v>1400000780</v>
      </c>
      <c r="O133" s="223">
        <v>46202</v>
      </c>
      <c r="P133" s="225" t="s">
        <v>54</v>
      </c>
      <c r="Q133" s="17" t="s">
        <v>44</v>
      </c>
      <c r="R133" s="19">
        <v>1007620183</v>
      </c>
      <c r="S133" s="19" t="s">
        <v>45</v>
      </c>
      <c r="T133" s="56">
        <v>9446817000162</v>
      </c>
      <c r="U133" s="70" t="s">
        <v>36</v>
      </c>
      <c r="V133" s="70">
        <v>11311094</v>
      </c>
    </row>
    <row r="134" spans="1:22" s="2" customFormat="1" ht="16.5" customHeight="1">
      <c r="A134" s="18" t="s">
        <v>43</v>
      </c>
      <c r="B134" s="21">
        <v>46150</v>
      </c>
      <c r="C134" s="8" t="s">
        <v>33</v>
      </c>
      <c r="D134" s="9">
        <v>347</v>
      </c>
      <c r="E134" s="53">
        <v>1800000660</v>
      </c>
      <c r="F134" s="118">
        <v>250</v>
      </c>
      <c r="G134" s="11">
        <v>0</v>
      </c>
      <c r="H134" s="11">
        <v>0</v>
      </c>
      <c r="I134" s="11">
        <f>ROUND(F134*1%,2)</f>
        <v>2.5</v>
      </c>
      <c r="J134" s="11">
        <f>ROUND(F134*3%,2)</f>
        <v>7.5</v>
      </c>
      <c r="K134" s="11">
        <f>ROUND(F134*0.65%,2)</f>
        <v>1.63</v>
      </c>
      <c r="L134" s="12">
        <f>SUM(I134:K134)</f>
        <v>11.629999999999999</v>
      </c>
      <c r="M134" s="12">
        <f>F134-H134-I134-J134-K134</f>
        <v>238.37</v>
      </c>
      <c r="N134" s="28">
        <v>1400000810</v>
      </c>
      <c r="O134" s="223">
        <v>46202</v>
      </c>
      <c r="P134" s="223" t="s">
        <v>54</v>
      </c>
      <c r="Q134" s="119" t="s">
        <v>106</v>
      </c>
      <c r="R134" s="18">
        <f>VLOOKUP(T134,'[1]SOMPO RISK'!$A$1:$C$40,3,0)</f>
        <v>1018930052</v>
      </c>
      <c r="S134" s="18" t="s">
        <v>108</v>
      </c>
      <c r="T134" s="56">
        <v>56963806000130</v>
      </c>
      <c r="U134" s="139" t="s">
        <v>36</v>
      </c>
      <c r="V134" s="70">
        <v>11311094</v>
      </c>
    </row>
    <row r="135" spans="1:22" s="2" customFormat="1" ht="16.5" hidden="1" customHeight="1">
      <c r="A135" s="25" t="str">
        <f>TEXT(B135,"mm/aaaa")</f>
        <v>02/2026</v>
      </c>
      <c r="B135" s="21">
        <v>46062</v>
      </c>
      <c r="C135" s="8" t="s">
        <v>33</v>
      </c>
      <c r="D135" s="9">
        <v>261</v>
      </c>
      <c r="E135" s="9">
        <v>1800000120</v>
      </c>
      <c r="F135" s="10">
        <v>15850</v>
      </c>
      <c r="G135" s="11"/>
      <c r="H135" s="11">
        <f>ROUND(F135*1.5%,2)</f>
        <v>237.75</v>
      </c>
      <c r="I135" s="11">
        <f>ROUND(F135*1%,2)</f>
        <v>158.5</v>
      </c>
      <c r="J135" s="11">
        <f>ROUND(F135*3%,2)</f>
        <v>475.5</v>
      </c>
      <c r="K135" s="11">
        <f>ROUND(F135*0.65%,2)</f>
        <v>103.03</v>
      </c>
      <c r="L135" s="12">
        <f>SUM(I135:K135)</f>
        <v>737.03</v>
      </c>
      <c r="M135" s="12">
        <f>F135-H135-I135-J135-K135+0.01</f>
        <v>14875.23</v>
      </c>
      <c r="N135" s="29"/>
      <c r="O135" s="29" t="s">
        <v>48</v>
      </c>
      <c r="P135" s="29"/>
      <c r="Q135" s="17" t="s">
        <v>34</v>
      </c>
      <c r="R135" s="19">
        <v>1018075263</v>
      </c>
      <c r="S135" s="19" t="s">
        <v>49</v>
      </c>
      <c r="T135" s="55">
        <v>58578490000198</v>
      </c>
      <c r="U135" s="18" t="s">
        <v>36</v>
      </c>
      <c r="V135" s="70">
        <v>11311094</v>
      </c>
    </row>
    <row r="136" spans="1:22" s="2" customFormat="1" ht="16.5" hidden="1" customHeight="1">
      <c r="A136" s="25" t="str">
        <f>TEXT(B136,"mm/aaaa")</f>
        <v>02/2026</v>
      </c>
      <c r="B136" s="21">
        <v>46062</v>
      </c>
      <c r="C136" s="8" t="s">
        <v>33</v>
      </c>
      <c r="D136" s="9">
        <v>262</v>
      </c>
      <c r="E136" s="9">
        <v>1800000121</v>
      </c>
      <c r="F136" s="10">
        <v>2424.5</v>
      </c>
      <c r="G136" s="11"/>
      <c r="H136" s="11">
        <f>ROUND(F136*1.5%,2)</f>
        <v>36.369999999999997</v>
      </c>
      <c r="I136" s="11">
        <f>ROUND(F136*1%,2)</f>
        <v>24.25</v>
      </c>
      <c r="J136" s="11">
        <f>ROUND(F136*3%,2)</f>
        <v>72.739999999999995</v>
      </c>
      <c r="K136" s="11">
        <f>ROUND(F136*0.65%,2)</f>
        <v>15.76</v>
      </c>
      <c r="L136" s="12">
        <f>SUM(I136:K136)</f>
        <v>112.75</v>
      </c>
      <c r="M136" s="12">
        <f>F136-H136-I136-J136-K136</f>
        <v>2275.38</v>
      </c>
      <c r="N136" s="29"/>
      <c r="O136" s="29" t="s">
        <v>48</v>
      </c>
      <c r="P136" s="29"/>
      <c r="Q136" s="17" t="s">
        <v>34</v>
      </c>
      <c r="R136" s="19">
        <v>1014825740</v>
      </c>
      <c r="S136" s="19" t="s">
        <v>38</v>
      </c>
      <c r="T136" s="55">
        <v>44120318000181</v>
      </c>
      <c r="U136" s="18" t="s">
        <v>36</v>
      </c>
      <c r="V136" s="70">
        <v>11311094</v>
      </c>
    </row>
    <row r="137" spans="1:22" s="2" customFormat="1" ht="16.5" hidden="1" customHeight="1">
      <c r="A137" s="25" t="str">
        <f>TEXT(B137,"mm/aaaa")</f>
        <v>03/2026</v>
      </c>
      <c r="B137" s="21">
        <v>46086</v>
      </c>
      <c r="C137" s="8" t="s">
        <v>33</v>
      </c>
      <c r="D137" s="57">
        <v>277</v>
      </c>
      <c r="E137" s="9">
        <v>1800000285</v>
      </c>
      <c r="F137" s="12">
        <v>2907.5</v>
      </c>
      <c r="G137" s="11"/>
      <c r="H137" s="11">
        <f>ROUND(F137*1.5%,2)</f>
        <v>43.61</v>
      </c>
      <c r="I137" s="11">
        <f>ROUND(F137*1%,2)</f>
        <v>29.08</v>
      </c>
      <c r="J137" s="11">
        <f>ROUND(F137*3%,2)</f>
        <v>87.23</v>
      </c>
      <c r="K137" s="11">
        <f>ROUND(F137*0.65%,2)</f>
        <v>18.899999999999999</v>
      </c>
      <c r="L137" s="12">
        <f>SUM(I137:K137)</f>
        <v>135.21</v>
      </c>
      <c r="M137" s="12">
        <f>F137-H137-I137-J137-K137</f>
        <v>2728.68</v>
      </c>
      <c r="N137" s="128"/>
      <c r="O137" s="29" t="s">
        <v>48</v>
      </c>
      <c r="P137" s="29"/>
      <c r="Q137" s="17" t="s">
        <v>34</v>
      </c>
      <c r="R137" s="19">
        <v>1014825740</v>
      </c>
      <c r="S137" s="19" t="s">
        <v>38</v>
      </c>
      <c r="T137" s="55">
        <v>44120318000181</v>
      </c>
      <c r="U137" s="70" t="s">
        <v>36</v>
      </c>
      <c r="V137" s="70">
        <v>11311094</v>
      </c>
    </row>
    <row r="138" spans="1:22" s="2" customFormat="1" ht="16.5" hidden="1" customHeight="1">
      <c r="A138" s="25" t="str">
        <f>TEXT(B138,"mm/aaaa")</f>
        <v>04/2026</v>
      </c>
      <c r="B138" s="21">
        <v>46118</v>
      </c>
      <c r="C138" s="8" t="s">
        <v>33</v>
      </c>
      <c r="D138" s="9">
        <v>299</v>
      </c>
      <c r="E138" s="9">
        <v>1800000405</v>
      </c>
      <c r="F138" s="10">
        <v>2020</v>
      </c>
      <c r="G138" s="11"/>
      <c r="H138" s="11">
        <f>ROUND(F138*1.5%,2)</f>
        <v>30.3</v>
      </c>
      <c r="I138" s="11">
        <f>ROUND(F138*1%,2)</f>
        <v>20.2</v>
      </c>
      <c r="J138" s="11">
        <f>ROUND(F138*3%,2)</f>
        <v>60.6</v>
      </c>
      <c r="K138" s="11">
        <f>ROUND(F138*0.65%,2)</f>
        <v>13.13</v>
      </c>
      <c r="L138" s="12">
        <f>SUM(I138:K138)</f>
        <v>93.929999999999993</v>
      </c>
      <c r="M138" s="12">
        <f>F138-H138-I138-J138-K138</f>
        <v>1895.77</v>
      </c>
      <c r="N138" s="128"/>
      <c r="O138" s="29" t="s">
        <v>48</v>
      </c>
      <c r="P138" s="29"/>
      <c r="Q138" s="17" t="s">
        <v>34</v>
      </c>
      <c r="R138" s="19">
        <v>1014825740</v>
      </c>
      <c r="S138" s="19" t="s">
        <v>38</v>
      </c>
      <c r="T138" s="55">
        <v>44120318000181</v>
      </c>
      <c r="U138" s="70" t="s">
        <v>36</v>
      </c>
      <c r="V138" s="70">
        <v>11311094</v>
      </c>
    </row>
    <row r="139" spans="1:22" s="2" customFormat="1" ht="16.5" hidden="1" customHeight="1">
      <c r="A139" s="25" t="str">
        <f>TEXT(B139,"mm/aaaa")</f>
        <v>04/2026</v>
      </c>
      <c r="B139" s="21">
        <v>46118</v>
      </c>
      <c r="C139" s="8" t="s">
        <v>33</v>
      </c>
      <c r="D139" s="9">
        <v>302</v>
      </c>
      <c r="E139" s="9">
        <v>1800000421</v>
      </c>
      <c r="F139" s="10">
        <v>250</v>
      </c>
      <c r="G139" s="11"/>
      <c r="H139" s="11">
        <v>0</v>
      </c>
      <c r="I139" s="11">
        <v>0</v>
      </c>
      <c r="J139" s="11">
        <v>0</v>
      </c>
      <c r="K139" s="11">
        <v>0</v>
      </c>
      <c r="L139" s="12">
        <f>SUM(I139:K139)</f>
        <v>0</v>
      </c>
      <c r="M139" s="12">
        <f>F139-H139-I139-J139-K139</f>
        <v>250</v>
      </c>
      <c r="N139" s="128"/>
      <c r="O139" s="29" t="s">
        <v>48</v>
      </c>
      <c r="P139" s="29"/>
      <c r="Q139" s="17" t="s">
        <v>34</v>
      </c>
      <c r="R139" s="19">
        <v>1018345066</v>
      </c>
      <c r="S139" s="19" t="s">
        <v>46</v>
      </c>
      <c r="T139" s="55">
        <v>57904437000177</v>
      </c>
      <c r="U139" s="18" t="s">
        <v>47</v>
      </c>
      <c r="V139" s="70">
        <v>11311094</v>
      </c>
    </row>
    <row r="140" spans="1:22" s="2" customFormat="1" ht="16.5" hidden="1" customHeight="1">
      <c r="A140" s="25" t="s">
        <v>43</v>
      </c>
      <c r="B140" s="21">
        <v>46148</v>
      </c>
      <c r="C140" s="8" t="s">
        <v>33</v>
      </c>
      <c r="D140" s="9">
        <v>329</v>
      </c>
      <c r="E140" s="9">
        <v>1800000542</v>
      </c>
      <c r="F140" s="10">
        <v>2469.5</v>
      </c>
      <c r="G140" s="11">
        <v>0</v>
      </c>
      <c r="H140" s="11">
        <f>ROUND(F140*1.5%,2)</f>
        <v>37.04</v>
      </c>
      <c r="I140" s="11">
        <f>ROUND(F140*1%,2)</f>
        <v>24.7</v>
      </c>
      <c r="J140" s="11">
        <f>ROUND(F140*3%,2)</f>
        <v>74.09</v>
      </c>
      <c r="K140" s="11">
        <f>ROUND(F140*0.65%,2)</f>
        <v>16.05</v>
      </c>
      <c r="L140" s="12">
        <f>SUM(I140:K140)</f>
        <v>114.84</v>
      </c>
      <c r="M140" s="12">
        <f>F140-H140-I140-J140-K140</f>
        <v>2317.62</v>
      </c>
      <c r="N140" s="128"/>
      <c r="O140" s="29" t="s">
        <v>48</v>
      </c>
      <c r="P140" s="136"/>
      <c r="Q140" s="17" t="s">
        <v>34</v>
      </c>
      <c r="R140" s="19">
        <v>1014825740</v>
      </c>
      <c r="S140" s="19" t="s">
        <v>94</v>
      </c>
      <c r="T140" s="56">
        <v>44120318000181</v>
      </c>
      <c r="U140" s="70" t="s">
        <v>76</v>
      </c>
      <c r="V140" s="70">
        <v>11311094</v>
      </c>
    </row>
    <row r="141" spans="1:22" s="2" customFormat="1" ht="16.5" hidden="1" customHeight="1">
      <c r="A141" s="25" t="s">
        <v>43</v>
      </c>
      <c r="B141" s="21">
        <v>46148</v>
      </c>
      <c r="C141" s="8" t="s">
        <v>33</v>
      </c>
      <c r="D141" s="9">
        <v>331</v>
      </c>
      <c r="E141" s="9">
        <v>1800000543</v>
      </c>
      <c r="F141" s="10">
        <v>250</v>
      </c>
      <c r="G141" s="11">
        <v>0</v>
      </c>
      <c r="H141" s="11">
        <v>0</v>
      </c>
      <c r="I141" s="11">
        <f>ROUND(F141*1%,2)</f>
        <v>2.5</v>
      </c>
      <c r="J141" s="11">
        <f>ROUND(F141*3%,2)</f>
        <v>7.5</v>
      </c>
      <c r="K141" s="11">
        <f>ROUND(F141*0.65%,2)</f>
        <v>1.63</v>
      </c>
      <c r="L141" s="12">
        <f>SUM(I141:K141)</f>
        <v>11.629999999999999</v>
      </c>
      <c r="M141" s="12">
        <f>F141-H141-I141-J141-K141</f>
        <v>238.37</v>
      </c>
      <c r="N141" s="128"/>
      <c r="O141" s="29" t="s">
        <v>48</v>
      </c>
      <c r="P141" s="136"/>
      <c r="Q141" s="17" t="s">
        <v>34</v>
      </c>
      <c r="R141" s="19">
        <v>1008761672</v>
      </c>
      <c r="S141" s="19" t="s">
        <v>96</v>
      </c>
      <c r="T141" s="56">
        <v>18408486000167</v>
      </c>
      <c r="U141" s="70" t="s">
        <v>73</v>
      </c>
      <c r="V141" s="70">
        <v>11311094</v>
      </c>
    </row>
    <row r="142" spans="1:22" s="2" customFormat="1" ht="16.5" hidden="1" customHeight="1">
      <c r="A142" s="25" t="s">
        <v>43</v>
      </c>
      <c r="B142" s="21">
        <v>46148</v>
      </c>
      <c r="C142" s="8" t="s">
        <v>33</v>
      </c>
      <c r="D142" s="9">
        <v>336</v>
      </c>
      <c r="E142" s="9">
        <v>1800000546</v>
      </c>
      <c r="F142" s="10">
        <v>250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2">
        <f>SUM(I142:K142)</f>
        <v>0</v>
      </c>
      <c r="M142" s="12">
        <f>F142-H142-I142-J142-K142</f>
        <v>250</v>
      </c>
      <c r="N142" s="128"/>
      <c r="O142" s="29" t="s">
        <v>48</v>
      </c>
      <c r="P142" s="136"/>
      <c r="Q142" s="17" t="s">
        <v>34</v>
      </c>
      <c r="R142" s="19">
        <v>1019080116</v>
      </c>
      <c r="S142" s="19" t="s">
        <v>101</v>
      </c>
      <c r="T142" s="56">
        <v>40969554000116</v>
      </c>
      <c r="U142" s="70" t="s">
        <v>92</v>
      </c>
      <c r="V142" s="70">
        <v>11311094</v>
      </c>
    </row>
    <row r="143" spans="1:22" s="2" customFormat="1" ht="16.5" hidden="1" customHeight="1">
      <c r="A143" s="25" t="s">
        <v>43</v>
      </c>
      <c r="B143" s="21">
        <v>46148</v>
      </c>
      <c r="C143" s="8" t="s">
        <v>33</v>
      </c>
      <c r="D143" s="9">
        <v>340</v>
      </c>
      <c r="E143" s="9">
        <v>1800000619</v>
      </c>
      <c r="F143" s="10">
        <v>1665.5</v>
      </c>
      <c r="G143" s="11">
        <v>0</v>
      </c>
      <c r="H143" s="11">
        <f>ROUND(F143*1.5%,2)</f>
        <v>24.98</v>
      </c>
      <c r="I143" s="11">
        <f>ROUND(F143*1%,2)</f>
        <v>16.66</v>
      </c>
      <c r="J143" s="11">
        <f>ROUND(F143*3%,2)</f>
        <v>49.97</v>
      </c>
      <c r="K143" s="11">
        <f>ROUND(F143*0.65%,2)</f>
        <v>10.83</v>
      </c>
      <c r="L143" s="12">
        <f>SUM(I143:K143)</f>
        <v>77.459999999999994</v>
      </c>
      <c r="M143" s="12">
        <f>F143-H143-I143-J143-K143</f>
        <v>1563.06</v>
      </c>
      <c r="N143" s="128"/>
      <c r="O143" s="29" t="s">
        <v>48</v>
      </c>
      <c r="P143" s="29"/>
      <c r="Q143" s="17" t="s">
        <v>34</v>
      </c>
      <c r="R143" s="19">
        <v>1019200174</v>
      </c>
      <c r="S143" s="19" t="s">
        <v>105</v>
      </c>
      <c r="T143" s="56">
        <v>32817557000106</v>
      </c>
      <c r="U143" s="70" t="s">
        <v>73</v>
      </c>
      <c r="V143" s="70">
        <v>11311094</v>
      </c>
    </row>
    <row r="144" spans="1:22" s="2" customFormat="1" ht="16.5" hidden="1" customHeight="1">
      <c r="A144" s="18" t="s">
        <v>43</v>
      </c>
      <c r="B144" s="21">
        <v>46150</v>
      </c>
      <c r="C144" s="8" t="s">
        <v>33</v>
      </c>
      <c r="D144" s="9">
        <v>349</v>
      </c>
      <c r="E144" s="53">
        <v>1800000675</v>
      </c>
      <c r="F144" s="118">
        <v>3476.5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2">
        <f>SUM(I144:K144)</f>
        <v>0</v>
      </c>
      <c r="M144" s="12">
        <f>F144-H144-I144-J144-K144</f>
        <v>3476.5</v>
      </c>
      <c r="N144" s="128"/>
      <c r="O144" s="29" t="s">
        <v>48</v>
      </c>
      <c r="P144" s="29"/>
      <c r="Q144" s="119" t="s">
        <v>106</v>
      </c>
      <c r="R144" s="18">
        <f>VLOOKUP(T144,'[1]SOMPO RISK'!$A$1:$C$40,3,0)</f>
        <v>1019470169</v>
      </c>
      <c r="S144" s="18" t="s">
        <v>110</v>
      </c>
      <c r="T144" s="56">
        <v>63361086000106</v>
      </c>
      <c r="U144" s="139" t="s">
        <v>56</v>
      </c>
      <c r="V144" s="70">
        <v>11311094</v>
      </c>
    </row>
    <row r="145" spans="1:22" s="2" customFormat="1" ht="16.5" hidden="1" customHeight="1">
      <c r="A145" s="25" t="s">
        <v>54</v>
      </c>
      <c r="B145" s="21">
        <v>46182</v>
      </c>
      <c r="C145" s="8" t="s">
        <v>33</v>
      </c>
      <c r="D145" s="9">
        <v>357</v>
      </c>
      <c r="E145" s="9">
        <v>1800000548</v>
      </c>
      <c r="F145" s="10">
        <v>683</v>
      </c>
      <c r="G145" s="11" t="s">
        <v>112</v>
      </c>
      <c r="H145" s="11">
        <v>10.25</v>
      </c>
      <c r="I145" s="11">
        <v>6.83</v>
      </c>
      <c r="J145" s="11">
        <v>20.49</v>
      </c>
      <c r="K145" s="11">
        <v>4.4400000000000004</v>
      </c>
      <c r="L145" s="12">
        <v>31.76</v>
      </c>
      <c r="M145" s="12">
        <v>640.99</v>
      </c>
      <c r="N145" s="128"/>
      <c r="O145" s="29" t="s">
        <v>48</v>
      </c>
      <c r="P145" s="230"/>
      <c r="Q145" s="17" t="s">
        <v>106</v>
      </c>
      <c r="R145" s="19">
        <v>1017580153</v>
      </c>
      <c r="S145" s="19" t="s">
        <v>108</v>
      </c>
      <c r="T145" s="56">
        <v>56963806000130</v>
      </c>
      <c r="U145" s="70" t="s">
        <v>36</v>
      </c>
      <c r="V145" s="70">
        <v>11311094</v>
      </c>
    </row>
    <row r="146" spans="1:22" s="2" customFormat="1" ht="16.5" hidden="1" customHeight="1">
      <c r="A146" s="25" t="s">
        <v>54</v>
      </c>
      <c r="B146" s="21">
        <v>46182</v>
      </c>
      <c r="C146" s="8" t="s">
        <v>33</v>
      </c>
      <c r="D146" s="9">
        <v>358</v>
      </c>
      <c r="E146" s="9">
        <v>1800000750</v>
      </c>
      <c r="F146" s="10">
        <v>1972.5</v>
      </c>
      <c r="G146" s="11" t="s">
        <v>112</v>
      </c>
      <c r="H146" s="11" t="s">
        <v>112</v>
      </c>
      <c r="I146" s="11" t="s">
        <v>112</v>
      </c>
      <c r="J146" s="11" t="s">
        <v>112</v>
      </c>
      <c r="K146" s="11" t="s">
        <v>112</v>
      </c>
      <c r="L146" s="12" t="s">
        <v>112</v>
      </c>
      <c r="M146" s="12">
        <v>1972.5</v>
      </c>
      <c r="N146" s="128"/>
      <c r="O146" s="29" t="s">
        <v>48</v>
      </c>
      <c r="P146" s="230"/>
      <c r="Q146" s="17" t="s">
        <v>106</v>
      </c>
      <c r="R146" s="19">
        <v>1018840156</v>
      </c>
      <c r="S146" s="19" t="s">
        <v>110</v>
      </c>
      <c r="T146" s="56">
        <v>63361086000106</v>
      </c>
      <c r="U146" s="70" t="s">
        <v>56</v>
      </c>
      <c r="V146" s="70">
        <v>11311094</v>
      </c>
    </row>
    <row r="147" spans="1:22" s="2" customFormat="1" ht="16.5" hidden="1" customHeight="1">
      <c r="A147" s="25" t="s">
        <v>54</v>
      </c>
      <c r="B147" s="21">
        <v>46182</v>
      </c>
      <c r="C147" s="8" t="s">
        <v>33</v>
      </c>
      <c r="D147" s="9">
        <v>360</v>
      </c>
      <c r="E147" s="9">
        <v>1800000765</v>
      </c>
      <c r="F147" s="10">
        <v>250</v>
      </c>
      <c r="G147" s="11">
        <v>0</v>
      </c>
      <c r="H147" s="11">
        <v>0</v>
      </c>
      <c r="I147" s="11">
        <v>1.63</v>
      </c>
      <c r="J147" s="11">
        <v>7.5</v>
      </c>
      <c r="K147" s="11">
        <v>2.5</v>
      </c>
      <c r="L147" s="12">
        <v>11.629999999999999</v>
      </c>
      <c r="M147" s="12">
        <v>238.37</v>
      </c>
      <c r="N147" s="128"/>
      <c r="O147" s="29" t="s">
        <v>48</v>
      </c>
      <c r="P147" s="230"/>
      <c r="Q147" s="17" t="s">
        <v>34</v>
      </c>
      <c r="R147" s="19">
        <v>1000539921</v>
      </c>
      <c r="S147" s="19" t="s">
        <v>113</v>
      </c>
      <c r="T147" s="56">
        <v>702501000110</v>
      </c>
      <c r="U147" s="70" t="s">
        <v>114</v>
      </c>
      <c r="V147" s="70">
        <v>11311094</v>
      </c>
    </row>
    <row r="148" spans="1:22" s="2" customFormat="1" ht="16.5" hidden="1" customHeight="1">
      <c r="A148" s="25" t="s">
        <v>54</v>
      </c>
      <c r="B148" s="21">
        <v>46182</v>
      </c>
      <c r="C148" s="8" t="s">
        <v>33</v>
      </c>
      <c r="D148" s="9">
        <v>362</v>
      </c>
      <c r="E148" s="9">
        <v>1800000780</v>
      </c>
      <c r="F148" s="10">
        <v>2622</v>
      </c>
      <c r="G148" s="11">
        <v>0</v>
      </c>
      <c r="H148" s="11">
        <v>39.33</v>
      </c>
      <c r="I148" s="11">
        <v>17.04</v>
      </c>
      <c r="J148" s="11">
        <v>78.66</v>
      </c>
      <c r="K148" s="11">
        <v>26.22</v>
      </c>
      <c r="L148" s="12">
        <v>121.91999999999999</v>
      </c>
      <c r="M148" s="12">
        <v>2460.7500000000005</v>
      </c>
      <c r="N148" s="128"/>
      <c r="O148" s="29" t="s">
        <v>48</v>
      </c>
      <c r="P148" s="230"/>
      <c r="Q148" s="17" t="s">
        <v>34</v>
      </c>
      <c r="R148" s="19">
        <v>1013447909</v>
      </c>
      <c r="S148" s="19" t="s">
        <v>72</v>
      </c>
      <c r="T148" s="56">
        <v>5514753000139</v>
      </c>
      <c r="U148" s="70" t="s">
        <v>36</v>
      </c>
      <c r="V148" s="70">
        <v>11311094</v>
      </c>
    </row>
    <row r="149" spans="1:22" s="2" customFormat="1" ht="16.5" hidden="1" customHeight="1">
      <c r="A149" s="25" t="s">
        <v>54</v>
      </c>
      <c r="B149" s="21">
        <v>46182</v>
      </c>
      <c r="C149" s="8" t="s">
        <v>33</v>
      </c>
      <c r="D149" s="9">
        <v>370</v>
      </c>
      <c r="E149" s="9">
        <v>1800000811</v>
      </c>
      <c r="F149" s="10">
        <v>250</v>
      </c>
      <c r="G149" s="11">
        <v>0</v>
      </c>
      <c r="H149" s="11">
        <v>0</v>
      </c>
      <c r="I149" s="11">
        <v>1.63</v>
      </c>
      <c r="J149" s="11">
        <v>7.5</v>
      </c>
      <c r="K149" s="11">
        <v>2.5</v>
      </c>
      <c r="L149" s="12">
        <v>11.629999999999999</v>
      </c>
      <c r="M149" s="12">
        <v>238.37</v>
      </c>
      <c r="N149" s="128"/>
      <c r="O149" s="29" t="s">
        <v>48</v>
      </c>
      <c r="P149" s="230"/>
      <c r="Q149" s="17" t="s">
        <v>34</v>
      </c>
      <c r="R149" s="19">
        <v>1008761672</v>
      </c>
      <c r="S149" s="19" t="s">
        <v>96</v>
      </c>
      <c r="T149" s="56">
        <v>18408486000167</v>
      </c>
      <c r="U149" s="70" t="s">
        <v>73</v>
      </c>
      <c r="V149" s="70">
        <v>11311094</v>
      </c>
    </row>
    <row r="150" spans="1:22" s="2" customFormat="1" ht="16.5" hidden="1" customHeight="1">
      <c r="A150" s="25" t="s">
        <v>54</v>
      </c>
      <c r="B150" s="21">
        <v>46182</v>
      </c>
      <c r="C150" s="8" t="s">
        <v>33</v>
      </c>
      <c r="D150" s="9">
        <v>379</v>
      </c>
      <c r="E150" s="9">
        <v>1800000753</v>
      </c>
      <c r="F150" s="10">
        <v>250</v>
      </c>
      <c r="G150" s="11">
        <v>0</v>
      </c>
      <c r="H150" s="11">
        <v>0</v>
      </c>
      <c r="I150" s="11">
        <v>1.63</v>
      </c>
      <c r="J150" s="11">
        <v>7.5</v>
      </c>
      <c r="K150" s="11">
        <v>2.5</v>
      </c>
      <c r="L150" s="12">
        <v>11.629999999999999</v>
      </c>
      <c r="M150" s="12">
        <v>238.37</v>
      </c>
      <c r="N150" s="128"/>
      <c r="O150" s="29" t="s">
        <v>48</v>
      </c>
      <c r="P150" s="230"/>
      <c r="Q150" s="17" t="s">
        <v>34</v>
      </c>
      <c r="R150" s="19">
        <v>1015720944</v>
      </c>
      <c r="S150" s="19" t="s">
        <v>123</v>
      </c>
      <c r="T150" s="56">
        <v>31648443000117</v>
      </c>
      <c r="U150" s="70" t="s">
        <v>36</v>
      </c>
      <c r="V150" s="70">
        <v>11311094</v>
      </c>
    </row>
    <row r="151" spans="1:22" s="2" customFormat="1" ht="16.5" hidden="1" customHeight="1">
      <c r="A151" s="25" t="s">
        <v>54</v>
      </c>
      <c r="B151" s="21">
        <v>46182</v>
      </c>
      <c r="C151" s="8" t="s">
        <v>33</v>
      </c>
      <c r="D151" s="9">
        <v>380</v>
      </c>
      <c r="E151" s="9">
        <v>1800000767</v>
      </c>
      <c r="F151" s="10">
        <v>3390.5</v>
      </c>
      <c r="G151" s="11">
        <v>0</v>
      </c>
      <c r="H151" s="11">
        <v>50.86</v>
      </c>
      <c r="I151" s="11">
        <v>22.04</v>
      </c>
      <c r="J151" s="11">
        <v>101.72</v>
      </c>
      <c r="K151" s="11">
        <v>33.909999999999997</v>
      </c>
      <c r="L151" s="12">
        <v>157.66999999999999</v>
      </c>
      <c r="M151" s="12">
        <v>3181.9700000000003</v>
      </c>
      <c r="N151" s="128"/>
      <c r="O151" s="29" t="s">
        <v>48</v>
      </c>
      <c r="P151" s="230"/>
      <c r="Q151" s="17" t="s">
        <v>34</v>
      </c>
      <c r="R151" s="19">
        <v>1018075263</v>
      </c>
      <c r="S151" s="19" t="s">
        <v>49</v>
      </c>
      <c r="T151" s="56">
        <v>58578490000198</v>
      </c>
      <c r="U151" s="70" t="s">
        <v>36</v>
      </c>
      <c r="V151" s="70">
        <v>11311094</v>
      </c>
    </row>
    <row r="152" spans="1:22" s="2" customFormat="1" ht="16.5" hidden="1" customHeight="1">
      <c r="A152" s="25" t="s">
        <v>54</v>
      </c>
      <c r="B152" s="21">
        <v>46182</v>
      </c>
      <c r="C152" s="8" t="s">
        <v>33</v>
      </c>
      <c r="D152" s="9">
        <v>385</v>
      </c>
      <c r="E152" s="9">
        <v>1800000754</v>
      </c>
      <c r="F152" s="10">
        <v>250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2">
        <v>0</v>
      </c>
      <c r="M152" s="12">
        <v>250</v>
      </c>
      <c r="N152" s="128"/>
      <c r="O152" s="29" t="s">
        <v>48</v>
      </c>
      <c r="P152" s="230"/>
      <c r="Q152" s="17" t="s">
        <v>34</v>
      </c>
      <c r="R152" s="19">
        <v>1019080116</v>
      </c>
      <c r="S152" s="19" t="s">
        <v>101</v>
      </c>
      <c r="T152" s="56">
        <v>40969554000116</v>
      </c>
      <c r="U152" s="70" t="s">
        <v>92</v>
      </c>
      <c r="V152" s="70">
        <v>11311094</v>
      </c>
    </row>
    <row r="153" spans="1:22" s="2" customFormat="1" ht="16.5" hidden="1" customHeight="1">
      <c r="A153" s="25" t="s">
        <v>54</v>
      </c>
      <c r="B153" s="21">
        <v>46182</v>
      </c>
      <c r="C153" s="8" t="s">
        <v>33</v>
      </c>
      <c r="D153" s="9">
        <v>389</v>
      </c>
      <c r="E153" s="9">
        <v>1800000813</v>
      </c>
      <c r="F153" s="10">
        <v>250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2">
        <v>0</v>
      </c>
      <c r="M153" s="12">
        <v>250</v>
      </c>
      <c r="N153" s="128"/>
      <c r="O153" s="29" t="s">
        <v>48</v>
      </c>
      <c r="P153" s="230"/>
      <c r="Q153" s="17" t="s">
        <v>34</v>
      </c>
      <c r="R153" s="19">
        <v>1019230094</v>
      </c>
      <c r="S153" s="19" t="s">
        <v>86</v>
      </c>
      <c r="T153" s="56">
        <v>46923661000190</v>
      </c>
      <c r="U153" s="70" t="s">
        <v>92</v>
      </c>
      <c r="V153" s="70">
        <v>11311094</v>
      </c>
    </row>
    <row r="154" spans="1:22" s="2" customFormat="1" ht="16.5" hidden="1" customHeight="1">
      <c r="A154" s="25" t="s">
        <v>54</v>
      </c>
      <c r="B154" s="21">
        <v>46182</v>
      </c>
      <c r="C154" s="8" t="s">
        <v>33</v>
      </c>
      <c r="D154" s="9">
        <v>398</v>
      </c>
      <c r="E154" s="9">
        <v>1800000768</v>
      </c>
      <c r="F154" s="10">
        <v>9.5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2">
        <v>0</v>
      </c>
      <c r="M154" s="12">
        <v>9.5</v>
      </c>
      <c r="N154" s="128"/>
      <c r="O154" s="29" t="s">
        <v>48</v>
      </c>
      <c r="P154" s="230"/>
      <c r="Q154" s="17" t="s">
        <v>34</v>
      </c>
      <c r="R154" s="19">
        <v>1019380203</v>
      </c>
      <c r="S154" s="19" t="s">
        <v>132</v>
      </c>
      <c r="T154" s="56">
        <v>58285892000102</v>
      </c>
      <c r="U154" s="70" t="s">
        <v>36</v>
      </c>
      <c r="V154" s="70">
        <v>11311094</v>
      </c>
    </row>
    <row r="155" spans="1:22" s="2" customFormat="1" ht="16.5" hidden="1" customHeight="1">
      <c r="A155" s="25" t="s">
        <v>54</v>
      </c>
      <c r="B155" s="21">
        <v>46182</v>
      </c>
      <c r="C155" s="8" t="s">
        <v>33</v>
      </c>
      <c r="D155" s="9">
        <v>399</v>
      </c>
      <c r="E155" s="9">
        <v>1800000757</v>
      </c>
      <c r="F155" s="10">
        <v>250</v>
      </c>
      <c r="G155" s="11">
        <v>0</v>
      </c>
      <c r="H155" s="11">
        <v>0</v>
      </c>
      <c r="I155" s="11">
        <v>1.63</v>
      </c>
      <c r="J155" s="11">
        <v>7.5</v>
      </c>
      <c r="K155" s="11">
        <v>2.5</v>
      </c>
      <c r="L155" s="12">
        <v>11.629999999999999</v>
      </c>
      <c r="M155" s="12">
        <v>238.37</v>
      </c>
      <c r="N155" s="128"/>
      <c r="O155" s="29" t="s">
        <v>48</v>
      </c>
      <c r="P155" s="230"/>
      <c r="Q155" s="17" t="s">
        <v>34</v>
      </c>
      <c r="R155" s="19">
        <v>1019200174</v>
      </c>
      <c r="S155" s="19" t="s">
        <v>71</v>
      </c>
      <c r="T155" s="56">
        <v>32817557000106</v>
      </c>
      <c r="U155" s="70" t="s">
        <v>36</v>
      </c>
      <c r="V155" s="70">
        <v>11311094</v>
      </c>
    </row>
    <row r="156" spans="1:22" s="2" customFormat="1" ht="16.5" hidden="1" customHeight="1">
      <c r="A156" s="25" t="s">
        <v>54</v>
      </c>
      <c r="B156" s="21">
        <v>46196</v>
      </c>
      <c r="C156" s="8" t="s">
        <v>33</v>
      </c>
      <c r="D156" s="9">
        <v>400</v>
      </c>
      <c r="E156" s="9">
        <v>1800000855</v>
      </c>
      <c r="F156" s="10">
        <v>7391.75</v>
      </c>
      <c r="G156" s="11">
        <v>0</v>
      </c>
      <c r="H156" s="11">
        <v>110.88</v>
      </c>
      <c r="I156" s="11">
        <v>73.917500000000004</v>
      </c>
      <c r="J156" s="11">
        <v>221.75</v>
      </c>
      <c r="K156" s="11">
        <v>48.05</v>
      </c>
      <c r="L156" s="12">
        <v>343.71750000000003</v>
      </c>
      <c r="M156" s="12">
        <v>6937.1525000000001</v>
      </c>
      <c r="N156" s="128"/>
      <c r="O156" s="29" t="s">
        <v>48</v>
      </c>
      <c r="P156" s="230"/>
      <c r="Q156" s="17" t="s">
        <v>44</v>
      </c>
      <c r="R156" s="19">
        <v>1007620183</v>
      </c>
      <c r="S156" s="19" t="s">
        <v>45</v>
      </c>
      <c r="T156" s="56">
        <v>9446817000162</v>
      </c>
      <c r="U156" s="70" t="s">
        <v>36</v>
      </c>
      <c r="V156" s="70">
        <v>11132050</v>
      </c>
    </row>
  </sheetData>
  <autoFilter ref="A4:U156" xr:uid="{B912EDE2-CCBA-4994-A4C8-E97A41A3EE20}">
    <filterColumn colId="15">
      <filters>
        <filter val="06/2026"/>
      </filters>
    </filterColumn>
    <sortState xmlns:xlrd2="http://schemas.microsoft.com/office/spreadsheetml/2017/richdata2" ref="A5:U156">
      <sortCondition ref="P4:P156"/>
    </sortState>
  </autoFilter>
  <mergeCells count="1">
    <mergeCell ref="A1:T1"/>
  </mergeCells>
  <conditionalFormatting sqref="E3:E66 D2 E110:E1048576">
    <cfRule type="duplicateValues" dxfId="18" priority="21"/>
  </conditionalFormatting>
  <conditionalFormatting sqref="E67:E81 E91 E89 E87 E83:E85 E93:E156">
    <cfRule type="duplicateValues" dxfId="17" priority="20"/>
  </conditionalFormatting>
  <conditionalFormatting sqref="E82">
    <cfRule type="duplicateValues" dxfId="16" priority="5"/>
  </conditionalFormatting>
  <conditionalFormatting sqref="E86">
    <cfRule type="duplicateValues" dxfId="15" priority="8"/>
  </conditionalFormatting>
  <conditionalFormatting sqref="E88">
    <cfRule type="duplicateValues" dxfId="14" priority="11"/>
  </conditionalFormatting>
  <conditionalFormatting sqref="E90">
    <cfRule type="duplicateValues" dxfId="13" priority="17"/>
  </conditionalFormatting>
  <conditionalFormatting sqref="E92">
    <cfRule type="duplicateValues" dxfId="12" priority="14"/>
  </conditionalFormatting>
  <conditionalFormatting sqref="N67:N81 N89 N87 N83:N85 N91:N156">
    <cfRule type="duplicateValues" dxfId="11" priority="22"/>
    <cfRule type="duplicateValues" dxfId="10" priority="23"/>
  </conditionalFormatting>
  <conditionalFormatting sqref="N82">
    <cfRule type="duplicateValues" dxfId="9" priority="3"/>
    <cfRule type="duplicateValues" dxfId="8" priority="4"/>
  </conditionalFormatting>
  <conditionalFormatting sqref="N86">
    <cfRule type="duplicateValues" dxfId="7" priority="6"/>
    <cfRule type="duplicateValues" dxfId="6" priority="7"/>
  </conditionalFormatting>
  <conditionalFormatting sqref="N88">
    <cfRule type="duplicateValues" dxfId="5" priority="38"/>
    <cfRule type="duplicateValues" dxfId="4" priority="39"/>
  </conditionalFormatting>
  <conditionalFormatting sqref="N90">
    <cfRule type="duplicateValues" dxfId="3" priority="34"/>
    <cfRule type="duplicateValues" dxfId="2" priority="35"/>
  </conditionalFormatting>
  <conditionalFormatting sqref="O109:P111">
    <cfRule type="duplicateValues" dxfId="1" priority="1"/>
    <cfRule type="duplicateValues" dxfId="0" priority="2"/>
  </conditionalFormatting>
  <printOptions horizontalCentered="1"/>
  <pageMargins left="0.59055118110236227" right="0.59055118110236227" top="0.35433070866141736" bottom="0.39370078740157483" header="0.23622047244094491" footer="0.51181102362204722"/>
  <pageSetup scale="73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D3C4-696C-48AF-AE12-B3D34BE88EE0}">
  <dimension ref="A1:Z16"/>
  <sheetViews>
    <sheetView showGridLines="0" zoomScale="90" zoomScaleNormal="90" workbookViewId="0">
      <selection activeCell="Z9" sqref="Z9"/>
    </sheetView>
  </sheetViews>
  <sheetFormatPr defaultColWidth="8.7109375" defaultRowHeight="12"/>
  <cols>
    <col min="1" max="1" width="8.85546875" style="78" customWidth="1"/>
    <col min="2" max="2" width="10.28515625" style="78" customWidth="1"/>
    <col min="3" max="3" width="8.7109375" style="78"/>
    <col min="4" max="4" width="11.140625" style="78" customWidth="1"/>
    <col min="5" max="5" width="2" style="78" customWidth="1"/>
    <col min="6" max="8" width="8.7109375" style="78"/>
    <col min="9" max="9" width="1.85546875" style="78" customWidth="1"/>
    <col min="10" max="10" width="8.7109375" style="78"/>
    <col min="11" max="11" width="9.28515625" style="78" bestFit="1" customWidth="1"/>
    <col min="12" max="12" width="8.7109375" style="78"/>
    <col min="13" max="13" width="2.140625" style="78" customWidth="1"/>
    <col min="14" max="14" width="11.140625" style="78" customWidth="1"/>
    <col min="15" max="15" width="8.7109375" style="78"/>
    <col min="16" max="16" width="12.7109375" style="78" customWidth="1"/>
    <col min="17" max="18" width="8.7109375" style="78"/>
    <col min="19" max="19" width="32.140625" style="78" customWidth="1"/>
    <col min="20" max="20" width="21.7109375" style="78" bestFit="1" customWidth="1"/>
    <col min="21" max="25" width="11.140625" style="78" bestFit="1" customWidth="1"/>
    <col min="26" max="26" width="10.28515625" style="78" bestFit="1" customWidth="1"/>
    <col min="27" max="16384" width="8.7109375" style="78"/>
  </cols>
  <sheetData>
    <row r="1" spans="1:26">
      <c r="B1" s="233" t="s">
        <v>175</v>
      </c>
      <c r="C1" s="233"/>
      <c r="D1" s="233"/>
      <c r="E1" s="93"/>
      <c r="F1" s="233" t="s">
        <v>176</v>
      </c>
      <c r="G1" s="233"/>
      <c r="H1" s="233"/>
      <c r="I1" s="93"/>
      <c r="J1" s="233" t="s">
        <v>177</v>
      </c>
      <c r="K1" s="233"/>
      <c r="L1" s="233"/>
      <c r="M1" s="93"/>
      <c r="N1" s="233" t="s">
        <v>178</v>
      </c>
      <c r="O1" s="233"/>
      <c r="P1" s="233"/>
      <c r="U1" s="78">
        <v>3</v>
      </c>
      <c r="V1" s="78">
        <v>4</v>
      </c>
      <c r="W1" s="78">
        <v>5</v>
      </c>
      <c r="X1" s="78">
        <v>6</v>
      </c>
      <c r="Y1" s="78">
        <v>7</v>
      </c>
      <c r="Z1" s="78">
        <v>8</v>
      </c>
    </row>
    <row r="2" spans="1:26">
      <c r="B2" s="234">
        <v>11641009</v>
      </c>
      <c r="C2" s="235"/>
      <c r="D2" s="236"/>
      <c r="E2" s="92"/>
      <c r="F2" s="234">
        <v>11644004</v>
      </c>
      <c r="G2" s="235"/>
      <c r="H2" s="236"/>
      <c r="I2" s="92"/>
      <c r="J2" s="234">
        <v>11644005</v>
      </c>
      <c r="K2" s="235"/>
      <c r="L2" s="236"/>
      <c r="M2" s="92"/>
      <c r="N2" s="234">
        <v>11642005</v>
      </c>
      <c r="O2" s="235"/>
      <c r="P2" s="236"/>
      <c r="S2" s="79" t="s">
        <v>179</v>
      </c>
      <c r="T2" s="79"/>
      <c r="U2" s="79"/>
      <c r="V2" s="79"/>
      <c r="W2" s="79"/>
      <c r="X2" s="79"/>
    </row>
    <row r="3" spans="1:26">
      <c r="A3" s="89" t="s">
        <v>2</v>
      </c>
      <c r="B3" s="100" t="s">
        <v>180</v>
      </c>
      <c r="C3" s="101" t="s">
        <v>181</v>
      </c>
      <c r="D3" s="102" t="s">
        <v>182</v>
      </c>
      <c r="E3" s="103"/>
      <c r="F3" s="102" t="s">
        <v>183</v>
      </c>
      <c r="G3" s="101" t="s">
        <v>181</v>
      </c>
      <c r="H3" s="104" t="s">
        <v>182</v>
      </c>
      <c r="I3" s="103"/>
      <c r="J3" s="102" t="s">
        <v>183</v>
      </c>
      <c r="K3" s="101" t="s">
        <v>181</v>
      </c>
      <c r="L3" s="104" t="s">
        <v>182</v>
      </c>
      <c r="M3" s="103"/>
      <c r="N3" s="102" t="s">
        <v>183</v>
      </c>
      <c r="O3" s="101" t="s">
        <v>181</v>
      </c>
      <c r="P3" s="104" t="s">
        <v>182</v>
      </c>
      <c r="S3" s="80"/>
      <c r="T3" s="80" t="s">
        <v>184</v>
      </c>
      <c r="U3" s="81" t="s">
        <v>185</v>
      </c>
      <c r="V3" s="81" t="s">
        <v>186</v>
      </c>
      <c r="W3" s="81" t="s">
        <v>187</v>
      </c>
      <c r="X3" s="81" t="s">
        <v>188</v>
      </c>
      <c r="Y3" s="81" t="s">
        <v>189</v>
      </c>
      <c r="Z3" s="81" t="s">
        <v>190</v>
      </c>
    </row>
    <row r="4" spans="1:26">
      <c r="A4" s="82">
        <v>46023</v>
      </c>
      <c r="B4" s="138">
        <f>VLOOKUP(B2,S2:AF10,3,0)</f>
        <v>676.02</v>
      </c>
      <c r="C4" s="94">
        <f>SUMIF(RECEBIMENTO!$P$5:$P$202,Conciliação!A4,RECEBIMENTO!$H$5:$H$202)</f>
        <v>676.02</v>
      </c>
      <c r="D4" s="90">
        <f>B4-C4</f>
        <v>0</v>
      </c>
      <c r="E4" s="95"/>
      <c r="F4" s="138">
        <f>VLOOKUP(F2,$S$3:$AA$10,3,0)</f>
        <v>362.69</v>
      </c>
      <c r="G4" s="94">
        <f>SUMIF(RECEBIMENTO!$P$5:$P$202,$A$4,RECEBIMENTO!$K$5:$K$202)</f>
        <v>296.5</v>
      </c>
      <c r="H4" s="96">
        <f>F4-G4</f>
        <v>66.19</v>
      </c>
      <c r="I4" s="95"/>
      <c r="J4" s="90">
        <f>VLOOKUP(J2,$S$3:$AA$10,3,0)</f>
        <v>1775.79</v>
      </c>
      <c r="K4" s="94">
        <f>SUMIF(RECEBIMENTO!$P$5:$P$202,$A$4,RECEBIMENTO!$J$5:$J$202)</f>
        <v>1368.48</v>
      </c>
      <c r="L4" s="96">
        <f>J4-K4</f>
        <v>407.30999999999995</v>
      </c>
      <c r="M4" s="95"/>
      <c r="N4" s="90">
        <f>VLOOKUP(N2,$S$3:$AA$10,3,0)</f>
        <v>456.17</v>
      </c>
      <c r="O4" s="94">
        <f>SUMIF(RECEBIMENTO!$P$5:$P$202,$A$4,RECEBIMENTO!$I$5:$I$202)</f>
        <v>456.17000000000007</v>
      </c>
      <c r="P4" s="96">
        <f>N4-O4</f>
        <v>0</v>
      </c>
      <c r="S4" s="80" t="s">
        <v>191</v>
      </c>
      <c r="T4" s="80" t="s">
        <v>192</v>
      </c>
      <c r="U4" s="81" t="s">
        <v>193</v>
      </c>
      <c r="V4" s="81" t="s">
        <v>193</v>
      </c>
      <c r="W4" s="81" t="s">
        <v>193</v>
      </c>
      <c r="X4" s="81" t="s">
        <v>193</v>
      </c>
      <c r="Y4" s="81" t="s">
        <v>193</v>
      </c>
      <c r="Z4" s="81" t="s">
        <v>193</v>
      </c>
    </row>
    <row r="5" spans="1:26">
      <c r="A5" s="82">
        <v>46054</v>
      </c>
      <c r="B5" s="94">
        <f>VLOOKUP($B$2,$S$2:$AF$11,4,0)</f>
        <v>33142.17</v>
      </c>
      <c r="C5" s="94">
        <f>SUMIF(RECEBIMENTO!$P$5:$P$202,Conciliação!A5,RECEBIMENTO!$H$5:$H$202)</f>
        <v>609.49</v>
      </c>
      <c r="D5" s="90">
        <f>B5-C5</f>
        <v>32532.679999999997</v>
      </c>
      <c r="E5" s="95"/>
      <c r="F5" s="94">
        <f>VLOOKUP($F$2,$S$2:$X$11,4,0)</f>
        <v>270.98</v>
      </c>
      <c r="G5" s="94">
        <f>SUMIF(RECEBIMENTO!$P$5:$P$202,Conciliação!$A$5,RECEBIMENTO!$K$5:$K$202)</f>
        <v>270.97999999999996</v>
      </c>
      <c r="H5" s="96">
        <f>F5-G5</f>
        <v>0</v>
      </c>
      <c r="I5" s="95"/>
      <c r="J5" s="90">
        <f>VLOOKUP($J$2,$S$2:$X$11,4,0)</f>
        <v>1250.7</v>
      </c>
      <c r="K5" s="94">
        <f>SUMIF(RECEBIMENTO!$P$5:$P$202,Conciliação!$A$5,RECEBIMENTO!$J$5:$J$202)</f>
        <v>1250.7</v>
      </c>
      <c r="L5" s="96">
        <f>J5-K5</f>
        <v>0</v>
      </c>
      <c r="M5" s="95"/>
      <c r="N5" s="90">
        <f>VLOOKUP($N$2,$S$2:$X$11,4,0)</f>
        <v>11762.82</v>
      </c>
      <c r="O5" s="94">
        <f>SUMIF(RECEBIMENTO!$P$5:$P$202,Conciliação!$A$5,RECEBIMENTO!$I$5:$I$202)</f>
        <v>416.90999999999997</v>
      </c>
      <c r="P5" s="96">
        <f>N5-O5</f>
        <v>11345.91</v>
      </c>
      <c r="S5" s="83">
        <v>11311011</v>
      </c>
      <c r="T5" s="84" t="s">
        <v>194</v>
      </c>
      <c r="U5" s="85">
        <v>7990.17</v>
      </c>
      <c r="V5" s="85">
        <v>23534.95</v>
      </c>
      <c r="W5" s="85">
        <v>4605.8</v>
      </c>
      <c r="X5" s="86">
        <v>2559.73</v>
      </c>
      <c r="Y5" s="86">
        <v>23127.07</v>
      </c>
      <c r="Z5" s="86">
        <v>17447.3</v>
      </c>
    </row>
    <row r="6" spans="1:26">
      <c r="A6" s="82">
        <v>46082</v>
      </c>
      <c r="B6" s="94">
        <f>VLOOKUP($B$2,$S$2:$AF$11,5,0)</f>
        <v>370.8</v>
      </c>
      <c r="C6" s="94">
        <f>SUMIF(RECEBIMENTO!$P$5:$P$202,Conciliação!A6,RECEBIMENTO!$H$5:$H$202)</f>
        <v>370.8</v>
      </c>
      <c r="D6" s="90">
        <f>B6-C6</f>
        <v>0</v>
      </c>
      <c r="E6" s="95"/>
      <c r="F6" s="94">
        <f>VLOOKUP($F$2,$S$2:$X$11,5,0)</f>
        <v>166.18</v>
      </c>
      <c r="G6" s="94">
        <f>SUMIF(RECEBIMENTO!$P$5:$P$202,Conciliação!$A$6,RECEBIMENTO!$K$5:$K$202)</f>
        <v>166.17999999999998</v>
      </c>
      <c r="H6" s="96">
        <f>F6-G6</f>
        <v>0</v>
      </c>
      <c r="I6" s="95"/>
      <c r="J6" s="90">
        <f>VLOOKUP($J$2,$S$2:$X$11,5,0)</f>
        <v>766.94</v>
      </c>
      <c r="K6" s="94">
        <f>SUMIF(RECEBIMENTO!$P$5:$P$202,Conciliação!$A$6,RECEBIMENTO!$J$5:$J$202)</f>
        <v>766.94</v>
      </c>
      <c r="L6" s="96">
        <f>J6-K6</f>
        <v>0</v>
      </c>
      <c r="M6" s="95"/>
      <c r="N6" s="90">
        <f>VLOOKUP($N$2,$S$2:$X$11,5,0)</f>
        <v>255.65</v>
      </c>
      <c r="O6" s="94">
        <f>SUMIF(RECEBIMENTO!$P$5:$P$202,Conciliação!$A$6,RECEBIMENTO!$I$5:$I$202)</f>
        <v>255.64999999999998</v>
      </c>
      <c r="P6" s="96">
        <f>N6-O6</f>
        <v>0</v>
      </c>
      <c r="S6" s="83">
        <v>11311094</v>
      </c>
      <c r="T6" s="84" t="s">
        <v>195</v>
      </c>
      <c r="U6" s="86">
        <v>40381</v>
      </c>
      <c r="V6" s="86">
        <v>41289.5</v>
      </c>
      <c r="W6" s="86">
        <v>33783</v>
      </c>
      <c r="X6" s="86">
        <v>54959.5</v>
      </c>
      <c r="Y6" s="86">
        <v>64549.5</v>
      </c>
      <c r="Z6" s="86">
        <v>79288</v>
      </c>
    </row>
    <row r="7" spans="1:26">
      <c r="A7" s="82">
        <v>46113</v>
      </c>
      <c r="B7" s="94">
        <f>VLOOKUP($B$2,$S$2:$AF$11,6,0)</f>
        <v>626.91</v>
      </c>
      <c r="C7" s="94">
        <f>SUMIF(RECEBIMENTO!$P$5:$P$202,Conciliação!A7,RECEBIMENTO!$H$5:$H$202)</f>
        <v>676.59</v>
      </c>
      <c r="D7" s="90">
        <f>B7-C7</f>
        <v>-49.680000000000064</v>
      </c>
      <c r="E7" s="95"/>
      <c r="F7" s="94">
        <f>VLOOKUP($F$2,$S$2:$AF$11,6,0)</f>
        <v>947.28</v>
      </c>
      <c r="G7" s="94">
        <f>SUMIF(RECEBIMENTO!$P$5:$P$202,Conciliação!$A$7,RECEBIMENTO!$K$5:$K$202)</f>
        <v>301.33999999999992</v>
      </c>
      <c r="H7" s="96">
        <f>F7-G7</f>
        <v>645.94000000000005</v>
      </c>
      <c r="I7" s="95"/>
      <c r="J7" s="90">
        <f>VLOOKUP($J$2,$S$2:$X$11,6,0)</f>
        <v>4365.8</v>
      </c>
      <c r="K7" s="94">
        <f>SUMIF(RECEBIMENTO!$P$5:$P$202,Conciliação!$A$7,RECEBIMENTO!$J$5:$J$202)</f>
        <v>1390.6999999999998</v>
      </c>
      <c r="L7" s="96">
        <f>J7-K7</f>
        <v>2975.1000000000004</v>
      </c>
      <c r="M7" s="95"/>
      <c r="N7" s="90">
        <f>VLOOKUP($N$2,$S$2:$X$11,6,0)</f>
        <v>427.96</v>
      </c>
      <c r="O7" s="94">
        <f>SUMIF(RECEBIMENTO!$P$5:$P$202,Conciliação!$A$7,RECEBIMENTO!$I$5:$I$202)</f>
        <v>463.58000000000004</v>
      </c>
      <c r="P7" s="96">
        <f>N7-O7</f>
        <v>-35.620000000000061</v>
      </c>
      <c r="S7" s="83">
        <v>11642005</v>
      </c>
      <c r="T7" s="84" t="s">
        <v>196</v>
      </c>
      <c r="U7" s="86">
        <v>456.17</v>
      </c>
      <c r="V7" s="86">
        <v>11762.82</v>
      </c>
      <c r="W7" s="86">
        <v>255.65</v>
      </c>
      <c r="X7" s="86">
        <v>427.96</v>
      </c>
      <c r="Y7" s="86">
        <v>919.21</v>
      </c>
      <c r="Z7" s="86">
        <v>871.14</v>
      </c>
    </row>
    <row r="8" spans="1:26">
      <c r="A8" s="82">
        <v>46143</v>
      </c>
      <c r="B8" s="94">
        <f>VLOOKUP($B$2,$S$2:$AF$11,7,0)</f>
        <v>1359.99</v>
      </c>
      <c r="C8" s="94">
        <f>SUMIF(RECEBIMENTO!$P$5:$P$202,Conciliação!A8,RECEBIMENTO!$H$5:$H$202)</f>
        <v>1359.9900000000002</v>
      </c>
      <c r="D8" s="90">
        <f t="shared" ref="D8:D15" si="0">B8-C8</f>
        <v>0</v>
      </c>
      <c r="E8" s="95"/>
      <c r="F8" s="94">
        <f>VLOOKUP($F$2,$S$2:$AF$11,7,0)</f>
        <v>597.48</v>
      </c>
      <c r="G8" s="94">
        <f>SUMIF(RECEBIMENTO!$P$5:$P$202,Conciliação!A8,RECEBIMENTO!$K$5:$K$202)</f>
        <v>597.48</v>
      </c>
      <c r="H8" s="96">
        <f t="shared" ref="H8:H15" si="1">F8-G8</f>
        <v>0</v>
      </c>
      <c r="I8" s="95"/>
      <c r="J8" s="90">
        <f>VLOOKUP($J$2,$S$2:$AF$11,7,0)</f>
        <v>2757.5</v>
      </c>
      <c r="K8" s="94">
        <f>SUMIF(RECEBIMENTO!$P$5:$P$202,Conciliação!A8,RECEBIMENTO!$J$5:$J$202)</f>
        <v>2757.5</v>
      </c>
      <c r="L8" s="96">
        <f t="shared" ref="L8:L15" si="2">J8-K8</f>
        <v>0</v>
      </c>
      <c r="M8" s="95"/>
      <c r="N8" s="90">
        <f>VLOOKUP($N$2,$S$2:$AF$11,7,0)</f>
        <v>919.21</v>
      </c>
      <c r="O8" s="94">
        <f>SUMIF(RECEBIMENTO!$P$5:$P$202,Conciliação!A8,RECEBIMENTO!$I$5:$I$202)</f>
        <v>919.21</v>
      </c>
      <c r="P8" s="96">
        <f t="shared" ref="P8:P15" si="3">N8-O8</f>
        <v>0</v>
      </c>
      <c r="S8" s="83">
        <v>11644005</v>
      </c>
      <c r="T8" s="84" t="s">
        <v>197</v>
      </c>
      <c r="U8" s="86">
        <v>1775.79</v>
      </c>
      <c r="V8" s="86">
        <v>1250.7</v>
      </c>
      <c r="W8" s="86">
        <v>766.94</v>
      </c>
      <c r="X8" s="86">
        <v>4365.8</v>
      </c>
      <c r="Y8" s="86">
        <v>2757.5</v>
      </c>
      <c r="Z8" s="86">
        <v>2613.33</v>
      </c>
    </row>
    <row r="9" spans="1:26">
      <c r="A9" s="82">
        <v>46174</v>
      </c>
      <c r="B9" s="94">
        <f>VLOOKUP($B$2,$S$2:$AF$11,8,0)</f>
        <v>1225.76</v>
      </c>
      <c r="C9" s="94">
        <f>SUMIF(RECEBIMENTO!$P$5:$P$202,Conciliação!A9,RECEBIMENTO!$H$5:$H$202)</f>
        <v>1225.7600000000002</v>
      </c>
      <c r="D9" s="90">
        <f t="shared" si="0"/>
        <v>0</v>
      </c>
      <c r="E9" s="95"/>
      <c r="F9" s="94">
        <f>VLOOKUP($F$2,$S$2:$AF$11,8,0)</f>
        <v>566.26</v>
      </c>
      <c r="G9" s="94">
        <f>SUMIF(RECEBIMENTO!$P$5:$P$202,Conciliação!A9,RECEBIMENTO!$K$5:$K$202)</f>
        <v>566.25999999999988</v>
      </c>
      <c r="H9" s="96">
        <f t="shared" si="1"/>
        <v>0</v>
      </c>
      <c r="I9" s="95"/>
      <c r="J9" s="90">
        <f>VLOOKUP($J$2,$S$2:$AF$11,8,0)</f>
        <v>2613.33</v>
      </c>
      <c r="K9" s="94">
        <f>SUMIF(RECEBIMENTO!$P$5:$P$202,Conciliação!A9,RECEBIMENTO!$J$5:$J$202)</f>
        <v>2613.33</v>
      </c>
      <c r="L9" s="96">
        <f t="shared" si="2"/>
        <v>0</v>
      </c>
      <c r="M9" s="95"/>
      <c r="N9" s="90">
        <f>VLOOKUP($N$2,$S$2:$AF$11,8,0)</f>
        <v>871.14</v>
      </c>
      <c r="O9" s="94">
        <f>SUMIF(RECEBIMENTO!$P$5:$P$202,Conciliação!A9,RECEBIMENTO!$I$5:$I$202)</f>
        <v>871.14</v>
      </c>
      <c r="P9" s="96">
        <f t="shared" si="3"/>
        <v>0</v>
      </c>
      <c r="S9" s="83">
        <v>11644004</v>
      </c>
      <c r="T9" s="84" t="s">
        <v>198</v>
      </c>
      <c r="U9" s="86">
        <v>362.69</v>
      </c>
      <c r="V9" s="86">
        <v>270.98</v>
      </c>
      <c r="W9" s="86">
        <v>166.18</v>
      </c>
      <c r="X9" s="86">
        <v>947.28</v>
      </c>
      <c r="Y9" s="86">
        <v>597.48</v>
      </c>
      <c r="Z9" s="86">
        <v>566.26</v>
      </c>
    </row>
    <row r="10" spans="1:26">
      <c r="A10" s="82">
        <v>46204</v>
      </c>
      <c r="B10" s="94">
        <f>VLOOKUP($B$2,$S$2:$AF$11,9,0)</f>
        <v>0</v>
      </c>
      <c r="C10" s="94">
        <f>SUMIF(RECEBIMENTO!$P$5:$P$202,Conciliação!A10,RECEBIMENTO!$H$5:$H$202)</f>
        <v>0</v>
      </c>
      <c r="D10" s="90">
        <f t="shared" si="0"/>
        <v>0</v>
      </c>
      <c r="E10" s="95"/>
      <c r="F10" s="94">
        <f>VLOOKUP($F$2,$S$2:$AF$11,9,0)</f>
        <v>0</v>
      </c>
      <c r="G10" s="94">
        <f>SUMIF(RECEBIMENTO!$P$5:$P$202,Conciliação!A10,RECEBIMENTO!$K$5:$K$202)</f>
        <v>0</v>
      </c>
      <c r="H10" s="96">
        <f t="shared" si="1"/>
        <v>0</v>
      </c>
      <c r="I10" s="95"/>
      <c r="J10" s="90"/>
      <c r="K10" s="94">
        <f>SUMIF(RECEBIMENTO!$P$5:$P$202,Conciliação!A10,RECEBIMENTO!$J$5:$J$202)</f>
        <v>0</v>
      </c>
      <c r="L10" s="96">
        <f t="shared" si="2"/>
        <v>0</v>
      </c>
      <c r="M10" s="95"/>
      <c r="N10" s="90"/>
      <c r="O10" s="94">
        <f>SUMIF(RECEBIMENTO!$P$5:$P$202,Conciliação!A10,RECEBIMENTO!$I$5:$I$202)</f>
        <v>0</v>
      </c>
      <c r="P10" s="96">
        <f t="shared" si="3"/>
        <v>0</v>
      </c>
      <c r="S10" s="87">
        <v>11641009</v>
      </c>
      <c r="T10" s="84" t="s">
        <v>199</v>
      </c>
      <c r="U10" s="86">
        <v>676.02</v>
      </c>
      <c r="V10" s="86">
        <v>33142.17</v>
      </c>
      <c r="W10" s="86">
        <v>370.8</v>
      </c>
      <c r="X10" s="86">
        <v>626.91</v>
      </c>
      <c r="Y10" s="86">
        <v>1359.99</v>
      </c>
      <c r="Z10" s="86">
        <v>1225.76</v>
      </c>
    </row>
    <row r="11" spans="1:26">
      <c r="A11" s="82">
        <v>46235</v>
      </c>
      <c r="B11" s="94">
        <f>VLOOKUP($B$2,$S$2:$AF$11,10,0)</f>
        <v>0</v>
      </c>
      <c r="C11" s="94">
        <f>SUMIF(RECEBIMENTO!$P$5:$P$202,Conciliação!A11,RECEBIMENTO!$H$5:$H$202)</f>
        <v>0</v>
      </c>
      <c r="D11" s="90">
        <f t="shared" si="0"/>
        <v>0</v>
      </c>
      <c r="E11" s="95"/>
      <c r="F11" s="94">
        <f>VLOOKUP($F$2,$S$2:$AF$11,10,0)</f>
        <v>0</v>
      </c>
      <c r="G11" s="94">
        <f>SUMIF(RECEBIMENTO!$P$5:$P$202,Conciliação!A11,RECEBIMENTO!$K$5:$K$202)</f>
        <v>0</v>
      </c>
      <c r="H11" s="96">
        <f t="shared" si="1"/>
        <v>0</v>
      </c>
      <c r="I11" s="95"/>
      <c r="J11" s="90"/>
      <c r="K11" s="94">
        <f>SUMIF(RECEBIMENTO!$P$5:$P$202,Conciliação!A11,RECEBIMENTO!$J$5:$J$202)</f>
        <v>0</v>
      </c>
      <c r="L11" s="96">
        <f t="shared" si="2"/>
        <v>0</v>
      </c>
      <c r="M11" s="95"/>
      <c r="N11" s="90"/>
      <c r="O11" s="94">
        <f>SUMIF(RECEBIMENTO!$P$5:$P$202,Conciliação!A11,RECEBIMENTO!$I$5:$I$202)</f>
        <v>0</v>
      </c>
      <c r="P11" s="96">
        <f t="shared" si="3"/>
        <v>0</v>
      </c>
    </row>
    <row r="12" spans="1:26">
      <c r="A12" s="82">
        <v>46266</v>
      </c>
      <c r="B12" s="94">
        <f>VLOOKUP($B$2,$S$2:$AF$11,11,0)</f>
        <v>0</v>
      </c>
      <c r="C12" s="94">
        <f>SUMIF(RECEBIMENTO!$P$5:$P$202,Conciliação!A12,RECEBIMENTO!$H$5:$H$202)</f>
        <v>0</v>
      </c>
      <c r="D12" s="90">
        <f t="shared" si="0"/>
        <v>0</v>
      </c>
      <c r="E12" s="95"/>
      <c r="F12" s="94">
        <f>VLOOKUP($F$2,$S$2:$AF$11,11,0)</f>
        <v>0</v>
      </c>
      <c r="G12" s="94">
        <f>SUMIF(RECEBIMENTO!$P$5:$P$202,Conciliação!A12,RECEBIMENTO!$K$5:$K$202)</f>
        <v>0</v>
      </c>
      <c r="H12" s="96">
        <f t="shared" si="1"/>
        <v>0</v>
      </c>
      <c r="I12" s="95"/>
      <c r="J12" s="90"/>
      <c r="K12" s="94">
        <f>SUMIF(RECEBIMENTO!$P$5:$P$202,Conciliação!A12,RECEBIMENTO!$J$5:$J$202)</f>
        <v>0</v>
      </c>
      <c r="L12" s="96">
        <f t="shared" si="2"/>
        <v>0</v>
      </c>
      <c r="M12" s="95"/>
      <c r="N12" s="90"/>
      <c r="O12" s="94">
        <f>SUMIF(RECEBIMENTO!$P$5:$P$202,Conciliação!A12,RECEBIMENTO!$I$5:$I$202)</f>
        <v>0</v>
      </c>
      <c r="P12" s="96">
        <f t="shared" si="3"/>
        <v>0</v>
      </c>
    </row>
    <row r="13" spans="1:26">
      <c r="A13" s="82">
        <v>46296</v>
      </c>
      <c r="B13" s="94">
        <f>VLOOKUP($B$2,$S$2:$AF$11,12,0)</f>
        <v>0</v>
      </c>
      <c r="C13" s="94">
        <f>SUMIF(RECEBIMENTO!$P$5:$P$202,Conciliação!A13,RECEBIMENTO!$H$5:$H$202)</f>
        <v>0</v>
      </c>
      <c r="D13" s="90">
        <f t="shared" si="0"/>
        <v>0</v>
      </c>
      <c r="E13" s="95"/>
      <c r="F13" s="94">
        <f>VLOOKUP($F$2,$S$2:$AF$11,12,0)</f>
        <v>0</v>
      </c>
      <c r="G13" s="94">
        <f>SUMIF(RECEBIMENTO!$P$5:$P$202,Conciliação!A13,RECEBIMENTO!$K$5:$K$202)</f>
        <v>0</v>
      </c>
      <c r="H13" s="96">
        <f t="shared" si="1"/>
        <v>0</v>
      </c>
      <c r="I13" s="95"/>
      <c r="J13" s="90"/>
      <c r="K13" s="94">
        <f>SUMIF(RECEBIMENTO!$P$5:$P$202,Conciliação!A13,RECEBIMENTO!$J$5:$J$202)</f>
        <v>0</v>
      </c>
      <c r="L13" s="96">
        <f t="shared" si="2"/>
        <v>0</v>
      </c>
      <c r="M13" s="95"/>
      <c r="N13" s="90"/>
      <c r="O13" s="94">
        <f>SUMIF(RECEBIMENTO!$P$5:$P$202,Conciliação!A13,RECEBIMENTO!$I$5:$I$202)</f>
        <v>0</v>
      </c>
      <c r="P13" s="96">
        <f t="shared" si="3"/>
        <v>0</v>
      </c>
    </row>
    <row r="14" spans="1:26">
      <c r="A14" s="82">
        <v>46327</v>
      </c>
      <c r="B14" s="94">
        <f>VLOOKUP($B$2,$S$2:$AF$11,13,0)</f>
        <v>0</v>
      </c>
      <c r="C14" s="94">
        <f>SUMIF(RECEBIMENTO!$P$5:$P$202,Conciliação!A14,RECEBIMENTO!$H$5:$H$202)</f>
        <v>0</v>
      </c>
      <c r="D14" s="90">
        <f t="shared" si="0"/>
        <v>0</v>
      </c>
      <c r="E14" s="95"/>
      <c r="F14" s="94">
        <f>VLOOKUP($F$2,$S$2:$AF$11,13,0)</f>
        <v>0</v>
      </c>
      <c r="G14" s="94">
        <f>SUMIF(RECEBIMENTO!$P$5:$P$202,Conciliação!A14,RECEBIMENTO!$K$5:$K$202)</f>
        <v>0</v>
      </c>
      <c r="H14" s="96">
        <f t="shared" si="1"/>
        <v>0</v>
      </c>
      <c r="I14" s="95"/>
      <c r="J14" s="90"/>
      <c r="K14" s="94">
        <f>SUMIF(RECEBIMENTO!$P$5:$P$202,Conciliação!A14,RECEBIMENTO!$J$5:$J$202)</f>
        <v>0</v>
      </c>
      <c r="L14" s="96">
        <f t="shared" si="2"/>
        <v>0</v>
      </c>
      <c r="M14" s="95"/>
      <c r="N14" s="90"/>
      <c r="O14" s="94">
        <f>SUMIF(RECEBIMENTO!$P$5:$P$202,Conciliação!A14,RECEBIMENTO!$I$5:$I$202)</f>
        <v>0</v>
      </c>
      <c r="P14" s="96">
        <f t="shared" si="3"/>
        <v>0</v>
      </c>
    </row>
    <row r="15" spans="1:26">
      <c r="A15" s="82">
        <v>46357</v>
      </c>
      <c r="B15" s="97">
        <f>VLOOKUP($B$2,$S$2:$AF$11,14,0)</f>
        <v>0</v>
      </c>
      <c r="C15" s="97">
        <f>SUMIF(RECEBIMENTO!$P$5:$P$202,Conciliação!A15,RECEBIMENTO!$H$5:$H$202)</f>
        <v>0</v>
      </c>
      <c r="D15" s="97">
        <f t="shared" si="0"/>
        <v>0</v>
      </c>
      <c r="E15" s="98"/>
      <c r="F15" s="97">
        <f>VLOOKUP($F$2,$S$2:$AF$11,14,0)</f>
        <v>0</v>
      </c>
      <c r="G15" s="97">
        <f>SUMIF(RECEBIMENTO!$P$5:$P$202,Conciliação!A15,RECEBIMENTO!$K$5:$K$202)</f>
        <v>0</v>
      </c>
      <c r="H15" s="97">
        <f t="shared" si="1"/>
        <v>0</v>
      </c>
      <c r="I15" s="98"/>
      <c r="J15" s="91"/>
      <c r="K15" s="97">
        <f>SUMIF(RECEBIMENTO!$P$5:$P$202,Conciliação!A15,RECEBIMENTO!$J$5:$J$202)</f>
        <v>0</v>
      </c>
      <c r="L15" s="97">
        <f t="shared" si="2"/>
        <v>0</v>
      </c>
      <c r="M15" s="98"/>
      <c r="N15" s="91"/>
      <c r="O15" s="97">
        <f>SUMIF(RECEBIMENTO!$P$5:$P$202,Conciliação!A15,RECEBIMENTO!$I$5:$I$202)</f>
        <v>0</v>
      </c>
      <c r="P15" s="97">
        <f t="shared" si="3"/>
        <v>0</v>
      </c>
    </row>
    <row r="16" spans="1:26">
      <c r="C16" s="99">
        <f>SUM(C4:C15)</f>
        <v>4918.6500000000005</v>
      </c>
      <c r="G16" s="99">
        <f>SUM(G4:G15)</f>
        <v>2198.7399999999998</v>
      </c>
      <c r="K16" s="99">
        <f>SUM(K4:K15)</f>
        <v>10147.65</v>
      </c>
      <c r="O16" s="99">
        <f>SUM(O4:O15)</f>
        <v>3382.66</v>
      </c>
    </row>
  </sheetData>
  <mergeCells count="8">
    <mergeCell ref="B1:D1"/>
    <mergeCell ref="F1:H1"/>
    <mergeCell ref="J1:L1"/>
    <mergeCell ref="N1:P1"/>
    <mergeCell ref="B2:D2"/>
    <mergeCell ref="F2:H2"/>
    <mergeCell ref="J2:L2"/>
    <mergeCell ref="N2:P2"/>
  </mergeCells>
  <pageMargins left="0.511811024" right="0.511811024" top="0.78740157499999996" bottom="0.78740157499999996" header="0.31496062000000002" footer="0.31496062000000002"/>
  <legacyDrawing r:id="rId1"/>
</worksheet>
</file>

<file path=docMetadata/LabelInfo.xml><?xml version="1.0" encoding="utf-8"?>
<clbl:labelList xmlns:clbl="http://schemas.microsoft.com/office/2020/mipLabelMetadata">
  <clbl:label id="{d86988d4-be3b-4ec2-b594-a5e71ab61a46}" enabled="1" method="Privileged" siteId="{3ef37b1d-05c0-422c-a5e3-242605904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Dayane Silva Marreti</dc:creator>
  <cp:keywords/>
  <dc:description/>
  <cp:lastModifiedBy/>
  <cp:revision/>
  <dcterms:created xsi:type="dcterms:W3CDTF">2014-08-18T16:49:38Z</dcterms:created>
  <dcterms:modified xsi:type="dcterms:W3CDTF">2026-07-23T11:25:18Z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Faturamento Vistomar 072018.xlsx</vt:lpwstr>
  </property>
  <property fmtid="{D5CDD505-2E9C-101B-9397-08002B2CF9AE}" pid="3" name="MSIP_Label_50a24c59-84cb-4146-8d7a-9807431c161b_Enabled">
    <vt:lpwstr>true</vt:lpwstr>
  </property>
  <property fmtid="{D5CDD505-2E9C-101B-9397-08002B2CF9AE}" pid="4" name="MSIP_Label_50a24c59-84cb-4146-8d7a-9807431c161b_SetDate">
    <vt:lpwstr>2023-05-04T20:11:06Z</vt:lpwstr>
  </property>
  <property fmtid="{D5CDD505-2E9C-101B-9397-08002B2CF9AE}" pid="5" name="MSIP_Label_50a24c59-84cb-4146-8d7a-9807431c161b_Method">
    <vt:lpwstr>Privileged</vt:lpwstr>
  </property>
  <property fmtid="{D5CDD505-2E9C-101B-9397-08002B2CF9AE}" pid="6" name="MSIP_Label_50a24c59-84cb-4146-8d7a-9807431c161b_Name">
    <vt:lpwstr>Interno</vt:lpwstr>
  </property>
  <property fmtid="{D5CDD505-2E9C-101B-9397-08002B2CF9AE}" pid="7" name="MSIP_Label_50a24c59-84cb-4146-8d7a-9807431c161b_SiteId">
    <vt:lpwstr>3ef37b1d-05c0-422c-a5e3-2426059042a1</vt:lpwstr>
  </property>
  <property fmtid="{D5CDD505-2E9C-101B-9397-08002B2CF9AE}" pid="8" name="MSIP_Label_50a24c59-84cb-4146-8d7a-9807431c161b_ActionId">
    <vt:lpwstr>06531425-a39f-4dcc-9b67-8ac1ef9752ab</vt:lpwstr>
  </property>
  <property fmtid="{D5CDD505-2E9C-101B-9397-08002B2CF9AE}" pid="9" name="MSIP_Label_50a24c59-84cb-4146-8d7a-9807431c161b_ContentBits">
    <vt:lpwstr>2</vt:lpwstr>
  </property>
</Properties>
</file>